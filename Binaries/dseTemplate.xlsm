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Concurrent CompactionFlushes" sheetId="60" r:id="rId27"/>
    <sheet name="Droppable" sheetId="26" r:id="rId28"/>
    <sheet name="Storage-Size" sheetId="15" r:id="rId29"/>
    <sheet name="Hints" sheetId="50" r:id="rId30"/>
    <sheet name="Batches" sheetId="33" r:id="rId31"/>
    <sheet name="Histogram - Read" sheetId="36" r:id="rId32"/>
    <sheet name="Histogram - SSTables" sheetId="45" r:id="rId33"/>
    <sheet name="Histogram - Write" sheetId="37" r:id="rId34"/>
    <sheet name="Histogram - Cell Counts" sheetId="38" r:id="rId35"/>
    <sheet name="Histogram - Partition" sheetId="44" r:id="rId36"/>
    <sheet name="Cassandra Log Exceptions" sheetId="47" r:id="rId37"/>
    <sheet name="Cassandra Summary Logs" sheetId="39" r:id="rId38"/>
    <sheet name="Solr" sheetId="54" r:id="rId39"/>
    <sheet name="Solr by Node" sheetId="55" r:id="rId40"/>
    <sheet name="Application" sheetId="27" r:id="rId41"/>
    <sheet name="--Marker--" sheetId="42" r:id="rId42"/>
    <sheet name="Read Repair History" sheetId="49" r:id="rId43"/>
    <sheet name="CFStats" sheetId="4" r:id="rId44"/>
    <sheet name="NodeStats" sheetId="16" r:id="rId45"/>
    <sheet name="TableHistogram" sheetId="32" r:id="rId46"/>
  </sheets>
  <definedNames>
    <definedName name="_xlnm._FilterDatabase" localSheetId="37" hidden="1">'Cassandra Summary Logs'!$A$2:$H$2</definedName>
    <definedName name="_xlnm._FilterDatabase" localSheetId="43" hidden="1">CFStats!$A$1:$K$68</definedName>
    <definedName name="_xlnm._FilterDatabase" localSheetId="5" hidden="1">'DDL Keyspaces'!$A$1:$E$1</definedName>
    <definedName name="_xlnm._FilterDatabase" localSheetId="44" hidden="1">NodeStats!$A$1:$M$130</definedName>
    <definedName name="_xlnm._FilterDatabase" localSheetId="4" hidden="1">'Settings-Yamls'!$A$1:$E$1</definedName>
    <definedName name="_xlnm._FilterDatabase" localSheetId="4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47"/>
    <pivotCache cacheId="1" r:id="rId48"/>
    <pivotCache cacheId="2" r:id="rId49"/>
    <pivotCache cacheId="3" r:id="rId50"/>
    <pivotCache cacheId="6" r:id="rId51"/>
    <pivotCache cacheId="7" r:id="rId52"/>
    <pivotCache cacheId="21"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59" l="1"/>
  <c r="B8" i="57"/>
  <c r="A8" i="57"/>
  <c r="A9" i="54" l="1"/>
  <c r="A9" i="53" l="1"/>
  <c r="B8" i="51"/>
  <c r="A8" i="51"/>
  <c r="A8" i="44" l="1"/>
  <c r="A8" i="38"/>
  <c r="A8" i="37"/>
  <c r="A8" i="45"/>
  <c r="A8" i="36"/>
  <c r="A9" i="33"/>
  <c r="A9" i="15"/>
  <c r="A8" i="19"/>
  <c r="A9" i="12"/>
  <c r="A9" i="22"/>
  <c r="A8" i="11"/>
  <c r="A8" i="21"/>
  <c r="B8" i="44"/>
  <c r="B8" i="38"/>
  <c r="B8" i="37"/>
  <c r="B8" i="45"/>
  <c r="B8" i="36"/>
  <c r="B8" i="19"/>
  <c r="B8" i="11"/>
  <c r="B8" i="21"/>
  <c r="A7" i="50" l="1"/>
  <c r="D11" i="47" l="1"/>
  <c r="D10" i="47" l="1"/>
  <c r="M9" i="24" l="1"/>
  <c r="A9" i="35" l="1"/>
  <c r="A9" i="34"/>
  <c r="A9" i="31" l="1"/>
  <c r="A9" i="30" l="1"/>
  <c r="A9" i="29"/>
  <c r="Z9" i="29"/>
  <c r="Q9" i="29"/>
  <c r="A9" i="28"/>
  <c r="A9" i="26" l="1"/>
  <c r="A9" i="25"/>
  <c r="A9" i="24" l="1"/>
  <c r="A9" i="23"/>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<sst xmlns="http://schemas.openxmlformats.org/spreadsheetml/2006/main" count="4393" uniqueCount="700">
  <si>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</si>
  <si>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</si>
  <si>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</si>
  <si>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</si>
  <si>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</si>
  <si>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</si>
  <si>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</si>
  <si>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</si>
  <si>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</si>
  <si>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</si>
  <si>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</si>
  <si>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</si>
  <si>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</si>
  <si>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</si>
  <si>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</si>
  <si>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</si>
  <si>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</si>
  <si>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</si>
  <si>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</si>
  <si>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</si>
  <si>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</si>
  <si>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</si>
  <si>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</si>
  <si>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</si>
  <si>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</si>
  <si>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</si>
  <si>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</si>
  <si>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</si>
  <si>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</si>
  <si>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</si>
  <si>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</si>
  <si>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</si>
  <si>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</si>
  <si>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</si>
  <si>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</si>
  <si>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</si>
  <si>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</si>
  <si>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</si>
  <si>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</si>
  <si>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</si>
  <si>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</si>
  <si>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</si>
  <si>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</si>
  <si>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</si>
  <si>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</si>
  <si>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</si>
  <si>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</si>
  <si>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</si>
  <si>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</si>
  <si>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</si>
  <si>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</si>
  <si>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</si>
  <si>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</si>
  <si>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</si>
  <si>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</si>
  <si>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</si>
  <si>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</si>
  <si>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</si>
  <si>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</si>
  <si>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</si>
  <si>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</si>
  <si>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</si>
  <si>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</si>
  <si>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</si>
  <si>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</si>
  <si>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</si>
  <si>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</si>
  <si>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</si>
  <si>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</si>
  <si>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</si>
  <si>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</si>
  <si>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</si>
  <si>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</si>
  <si>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</si>
  <si>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</si>
  <si>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</si>
  <si>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</si>
  <si>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</si>
  <si>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</si>
  <si>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</si>
  <si>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</si>
  <si>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</si>
  <si>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</si>
  <si>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</si>
  <si>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</si>
  <si>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</si>
  <si>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</si>
  <si>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</si>
  <si>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</si>
  <si>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</si>
  <si>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</si>
  <si>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</si>
  <si>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</si>
  <si>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</si>
  <si>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</si>
  <si>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</si>
  <si>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</si>
  <si>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</si>
  <si>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</si>
  <si>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</si>
  <si>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</si>
  <si>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</si>
  <si>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</si>
  <si>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</si>
  <si>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</si>
  <si>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</si>
  <si>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</si>
  <si>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</si>
  <si>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</si>
  <si>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</si>
  <si>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</si>
  <si>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</si>
  <si>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</si>
  <si>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</si>
  <si>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</si>
  <si>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</si>
  <si>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</si>
  <si>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</si>
  <si>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</si>
  <si>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</si>
  <si>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</si>
  <si>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</si>
  <si>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</si>
  <si>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</si>
  <si>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</si>
  <si>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</si>
  <si>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</si>
  <si>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</si>
  <si>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</si>
  <si>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</si>
  <si>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</si>
  <si>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</si>
  <si>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</si>
  <si>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</si>
  <si>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</si>
  <si>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</si>
  <si>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</si>
  <si>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</si>
  <si>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</si>
  <si>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</si>
  <si>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</si>
  <si>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</si>
  <si>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</si>
  <si>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</si>
  <si>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</si>
  <si>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</si>
  <si>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</si>
  <si>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</si>
  <si>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</si>
  <si>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</si>
  <si>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</si>
  <si>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</si>
  <si>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</si>
  <si>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</si>
  <si>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</si>
  <si>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</si>
  <si>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</si>
  <si>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</si>
  <si>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</si>
  <si>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</si>
  <si>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</si>
  <si>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</si>
  <si>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</si>
  <si>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</si>
  <si>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</si>
  <si>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</si>
  <si>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</si>
  <si>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</si>
  <si>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</si>
  <si>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</si>
  <si>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</si>
  <si>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</si>
  <si>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</si>
  <si>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</si>
  <si>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</si>
  <si>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</si>
  <si>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</si>
  <si>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</si>
  <si>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</si>
  <si>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</si>
  <si>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</si>
  <si>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</si>
  <si>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</si>
  <si>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</si>
  <si>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</si>
  <si>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</si>
  <si>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</si>
  <si>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</si>
  <si>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</si>
  <si>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</si>
  <si>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</si>
  <si>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</si>
  <si>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</si>
  <si>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</si>
  <si>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</si>
  <si>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</si>
  <si>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</si>
  <si>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</si>
  <si>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</si>
  <si>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</si>
  <si>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</si>
  <si>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</si>
  <si>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</si>
  <si>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</si>
  <si>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</si>
  <si>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</si>
  <si>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</si>
  <si>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</si>
  <si>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</si>
  <si>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</si>
  <si>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</si>
  <si>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</si>
  <si>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</si>
  <si>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</si>
  <si>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</si>
  <si>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</si>
  <si>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</si>
  <si>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</si>
  <si>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</si>
  <si>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</si>
  <si>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</si>
  <si>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</si>
  <si>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</si>
  <si>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</si>
  <si>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</si>
  <si>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</si>
  <si>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</si>
  <si>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</si>
  <si>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</si>
  <si>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</si>
  <si>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</si>
  <si>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</si>
  <si>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</si>
  <si>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</si>
  <si>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</si>
  <si>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</si>
  <si>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</si>
  <si>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</si>
  <si>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</si>
  <si>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</si>
  <si>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</si>
  <si>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</si>
  <si>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</si>
  <si>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</si>
  <si>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</si>
  <si>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</si>
  <si>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</si>
  <si>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</si>
  <si>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</si>
  <si>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</si>
  <si>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</si>
  <si>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</si>
  <si>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</si>
  <si>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</si>
  <si>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</si>
  <si>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</si>
  <si>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</si>
  <si>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</si>
  <si>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</si>
  <si>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</si>
  <si>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</si>
  <si>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</si>
  <si>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</si>
  <si>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</si>
  <si>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</si>
  <si>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</si>
  <si>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</si>
  <si>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</si>
  <si>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</si>
  <si>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</si>
  <si>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</si>
  <si>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</si>
  <si>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</si>
  <si>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</si>
  <si>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</si>
  <si>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</si>
  <si>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</si>
  <si>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</si>
  <si>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</si>
  <si>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</si>
  <si>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</si>
  <si>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</si>
  <si>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</si>
  <si>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</si>
  <si>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</si>
  <si>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</si>
  <si>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</si>
  <si>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</si>
  <si>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</si>
  <si>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</si>
  <si>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</si>
  <si>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</si>
  <si>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</si>
  <si>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</si>
  <si>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</si>
  <si>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</si>
  <si>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</si>
  <si>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</si>
  <si>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</si>
  <si>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</si>
  <si>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</si>
  <si>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</si>
  <si>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</si>
  <si>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</si>
  <si>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</si>
  <si>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</si>
  <si>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</si>
  <si>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</si>
  <si>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</si>
  <si>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</si>
  <si>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</si>
  <si>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</si>
  <si>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</si>
  <si>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</si>
  <si>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</si>
  <si>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</si>
  <si>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</si>
  <si>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</si>
  <si>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</si>
  <si>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</si>
  <si>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</si>
  <si>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</si>
  <si>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</si>
  <si>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</si>
  <si>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</si>
  <si>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</si>
  <si>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</si>
  <si>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</si>
  <si>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</si>
  <si>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</si>
  <si>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</si>
  <si>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</si>
  <si>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</si>
  <si>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</si>
  <si>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</si>
  <si>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</si>
  <si>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</si>
  <si>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</si>
  <si>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</si>
  <si>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</si>
  <si>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</si>
  <si>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</si>
  <si>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</si>
  <si>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</si>
  <si>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</si>
  <si>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</si>
  <si>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</si>
  <si>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</si>
  <si>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</si>
  <si>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</si>
  <si>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</si>
  <si>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</si>
  <si>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</si>
  <si>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</si>
  <si>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</si>
  <si>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</si>
  <si>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</si>
  <si>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</si>
  <si>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</si>
  <si>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</si>
  <si>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</si>
  <si>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</si>
  <si>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</si>
  <si>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</si>
  <si>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</si>
  <si>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</si>
  <si>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</si>
  <si>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</si>
  <si>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</si>
  <si>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</si>
  <si>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</si>
  <si>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</si>
  <si>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</si>
  <si>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</si>
  <si>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</si>
  <si>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</si>
  <si>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</si>
  <si>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</si>
  <si>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</si>
  <si>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</si>
  <si>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</si>
  <si>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</si>
  <si>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</si>
  <si>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</si>
  <si>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</si>
  <si>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</si>
  <si>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</si>
  <si>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</si>
  <si>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</si>
  <si>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</si>
  <si>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</si>
  <si>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</si>
  <si>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</si>
  <si>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</si>
  <si>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</si>
  <si>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</si>
  <si>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</si>
  <si>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</si>
  <si>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</si>
  <si>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</si>
  <si>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</si>
  <si>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</si>
  <si>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</si>
  <si>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</si>
  <si>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</si>
  <si>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</si>
  <si>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</si>
  <si>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</si>
  <si>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</si>
  <si>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</si>
  <si>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</si>
  <si>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</si>
  <si>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</si>
  <si>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</si>
  <si>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</si>
  <si>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</si>
  <si>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</si>
  <si>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</si>
  <si>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</si>
  <si>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</si>
  <si>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</si>
  <si>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</si>
  <si>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</si>
  <si>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</si>
  <si>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</si>
  <si>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</si>
  <si>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</si>
  <si>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</si>
  <si>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</si>
  <si>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</si>
  <si>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</si>
  <si>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</si>
  <si>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</si>
  <si>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</si>
  <si>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</si>
  <si>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</si>
  <si>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</si>
  <si>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</si>
  <si>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</si>
  <si>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</si>
  <si>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</si>
  <si>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</si>
  <si>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</si>
  <si>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</si>
  <si>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</si>
  <si>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</si>
  <si>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</si>
  <si>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</si>
  <si>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</si>
  <si>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</si>
  <si>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</si>
  <si>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</si>
  <si>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</si>
  <si>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</si>
  <si>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</si>
  <si>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</si>
  <si>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</si>
  <si>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</si>
  <si>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</si>
  <si>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</si>
  <si>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</si>
  <si>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</si>
  <si>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</si>
  <si>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</si>
  <si>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</si>
  <si>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</si>
  <si>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</si>
  <si>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</si>
  <si>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</si>
  <si>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</si>
  <si>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</si>
  <si>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</si>
  <si>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</si>
  <si>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</si>
  <si>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</si>
  <si>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</si>
  <si>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</si>
  <si>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</si>
  <si>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</si>
  <si>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</si>
  <si>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</si>
  <si>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</si>
  <si>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</si>
  <si>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</si>
  <si>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</si>
  <si>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</si>
  <si>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</si>
  <si>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</si>
  <si>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</si>
  <si>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</si>
  <si>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</si>
  <si>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</si>
  <si>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</si>
  <si>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</si>
  <si>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</si>
  <si>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</si>
  <si>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</si>
  <si>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</si>
  <si>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</si>
  <si>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</si>
  <si>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</si>
  <si>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</si>
  <si>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</si>
  <si>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</si>
  <si>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</si>
  <si>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</si>
  <si>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</si>
  <si>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</si>
  <si>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</si>
  <si>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</si>
  <si>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</si>
  <si>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</si>
  <si>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</si>
  <si>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</si>
  <si>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</si>
  <si>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</si>
  <si>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</si>
  <si>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</si>
  <si>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</si>
  <si>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</si>
  <si>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</si>
  <si>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</si>
  <si>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</si>
  <si>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</si>
  <si>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</si>
  <si>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</si>
  <si>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</si>
  <si>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</si>
  <si>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</si>
  <si>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</si>
  <si>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</si>
  <si>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</si>
  <si>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</si>
  <si>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</si>
  <si>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</si>
  <si>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</si>
  <si>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</si>
  <si>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</si>
  <si>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</si>
  <si>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</si>
  <si>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</si>
  <si>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</si>
  <si>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</si>
  <si>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</si>
  <si>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</si>
  <si>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</si>
  <si>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</si>
  <si>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</si>
  <si>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</si>
  <si>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</si>
  <si>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</si>
  <si>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</si>
  <si>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</si>
  <si>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</si>
  <si>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</si>
  <si>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</si>
  <si>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</si>
  <si>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</si>
  <si>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</si>
  <si>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</si>
  <si>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</si>
  <si>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</si>
  <si>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</si>
  <si>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</si>
  <si>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</si>
  <si>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</si>
  <si>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</si>
  <si>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</si>
  <si>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</si>
  <si>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</si>
  <si>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</si>
  <si>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</si>
  <si>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</si>
  <si>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</si>
  <si>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</si>
  <si>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</si>
  <si>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</si>
  <si>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</si>
  <si>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</si>
  <si>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</si>
  <si>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</si>
  <si>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</si>
  <si>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</si>
  <si>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</si>
  <si>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</si>
  <si>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</si>
  <si>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</si>
  <si>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</si>
  <si>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</si>
  <si>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</si>
  <si>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</si>
  <si>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</si>
  <si>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</si>
  <si>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</si>
  <si>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</si>
  <si>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</si>
  <si>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</si>
  <si>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</si>
  <si>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</si>
  <si>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</si>
  <si>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</si>
  <si>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</si>
  <si>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</si>
  <si>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</si>
  <si>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</si>
  <si>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</si>
  <si>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</si>
  <si>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</si>
  <si>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</si>
  <si>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</si>
  <si>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</si>
  <si>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</si>
  <si>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</si>
  <si>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</si>
  <si>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</si>
  <si>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</si>
  <si>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Hints Completed</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</si>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</sst>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0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168" fontId="1" fillId="2" borderId="0" xfId="0" applyNumberFormat="1" applyFont="1" applyFill="1" applyBorder="1" applyAlignment="1">
      <alignment horizontal="center"/>
    </xf>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cellXfs>
  <cellStyles count="2">
    <cellStyle name="Normal" xfId="0" builtinId="0"/>
    <cellStyle name="Normal 2" xfId="1"/>
  </cellStyles>
  <dxfs count="451">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alignment shrinkToFit="1" readingOrder="0"/>
    </dxf>
    <dxf>
      <numFmt numFmtId="3" formatCode="#,##0"/>
    </dxf>
    <dxf>
      <numFmt numFmtId="3" formatCode="#,##0"/>
    </dxf>
    <dxf>
      <numFmt numFmtId="3" formatCode="#,##0"/>
    </dxf>
    <dxf>
      <numFmt numFmtId="172" formatCode="#,##0.000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pivotCacheDefinition" Target="pivotCache/pivotCacheDefinition4.xml"/><Relationship Id="rId55" Type="http://schemas.microsoft.com/office/2007/relationships/slicerCache" Target="slicerCaches/slicerCache2.xml"/><Relationship Id="rId63" Type="http://schemas.microsoft.com/office/2007/relationships/slicerCache" Target="slicerCaches/slicerCache10.xml"/><Relationship Id="rId68" Type="http://schemas.microsoft.com/office/2007/relationships/slicerCache" Target="slicerCaches/slicerCache15.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7.xml"/><Relationship Id="rId58" Type="http://schemas.microsoft.com/office/2007/relationships/slicerCache" Target="slicerCaches/slicerCache5.xml"/><Relationship Id="rId66" Type="http://schemas.microsoft.com/office/2007/relationships/slicerCache" Target="slicerCaches/slicerCache13.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6.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48.779690393516" createdVersion="5" refreshedVersion="5"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50.894385532411" createdVersion="5" refreshedVersion="5" minRefreshableVersion="3" recordCount="17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51.231683564816" createdVersion="5" refreshedVersion="5" minRefreshableVersion="3" recordCount="9">
  <cacheSource type="worksheet">
    <worksheetSource ref="A2:AK999999" sheet="Read Repair History"/>
  </cacheSource>
  <cacheFields count="37">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Cache/pivotCacheRecords6.xml><?xml version="1.0" encoding="utf-8"?>
<pivotCacheRecords xmlns="http://schemas.openxmlformats.org/spreadsheetml/2006/main" xmlns:r="http://schemas.openxmlformats.org/officeDocument/2006/relationships" count="17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2"/>
    <x v="1"/>
    <x v="1"/>
    <x v="169"/>
    <m/>
    <m/>
    <m/>
    <m/>
    <m/>
    <m/>
    <m/>
    <m/>
    <m/>
    <m/>
    <m/>
    <m/>
    <m/>
    <m/>
  </r>
</pivotCacheRecords>
</file>

<file path=xl/pivotCache/pivotCacheRecords7.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125"/>
    <n v="3464"/>
  </r>
  <r>
    <x v="2"/>
    <s v="66e8f380-94ab-11e6-bd93-e9761d4b6077"/>
    <x v="0"/>
    <x v="0"/>
    <s v="Compaction"/>
    <x v="0"/>
    <s v="TestTbl"/>
    <d v="2016-10-17T15:51:50"/>
    <x v="1"/>
    <m/>
    <m/>
    <m/>
    <m/>
    <m/>
    <m/>
    <m/>
    <m/>
    <m/>
    <m/>
    <m/>
    <m/>
    <m/>
    <m/>
    <m/>
    <m/>
    <n v="2"/>
    <n v="108.86038303375244"/>
    <n v="104"/>
    <n v="52319"/>
    <n v="1.983803"/>
    <m/>
    <n v="15"/>
    <m/>
    <m/>
    <m/>
    <m/>
    <m/>
  </r>
  <r>
    <x v="3"/>
    <s v="66e8f380-94ab-11e6-bd93-e9761d4b6077"/>
    <x v="0"/>
    <x v="0"/>
    <s v="Compaction"/>
    <x v="0"/>
    <s v="TestTbl"/>
    <d v="2016-10-17T15:52:09"/>
    <x v="1"/>
    <m/>
    <m/>
    <m/>
    <m/>
    <m/>
    <m/>
    <m/>
    <m/>
    <m/>
    <m/>
    <m/>
    <m/>
    <m/>
    <m/>
    <m/>
    <m/>
    <n v="2"/>
    <n v="133.73400020599365"/>
    <n v="129"/>
    <n v="69156"/>
    <n v="1.8655379999999999"/>
    <m/>
    <n v="15"/>
    <m/>
    <m/>
    <m/>
    <m/>
    <m/>
  </r>
  <r>
    <x v="4"/>
    <s v="66e8f380-94ab-11e6-bd93-e9761d4b6077"/>
    <x v="0"/>
    <x v="0"/>
    <s v="Compaction"/>
    <x v="0"/>
    <s v="TestTbl"/>
    <d v="2016-10-17T15:52:10"/>
    <x v="1"/>
    <m/>
    <m/>
    <m/>
    <m/>
    <m/>
    <m/>
    <m/>
    <m/>
    <m/>
    <m/>
    <m/>
    <m/>
    <m/>
    <m/>
    <m/>
    <m/>
    <n v="2"/>
    <n v="130.4456787109375"/>
    <n v="122"/>
    <n v="64274"/>
    <n v="1.903929"/>
    <m/>
    <n v="15"/>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CntMax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R8:V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TPReadNbr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X8:AA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CntMaxin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450">
      <pivotArea collapsedLevelsAreSubtotals="1" fieldPosition="0">
        <references count="2">
          <reference field="4294967294" count="1" selected="0">
            <x v="0"/>
          </reference>
          <reference field="2" count="1">
            <x v="0"/>
          </reference>
        </references>
      </pivotArea>
    </format>
    <format dxfId="44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447">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SlowQueryOccurrences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48">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2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ead Repair Keyspace">
  <location ref="B8:P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s>
  <rowFields count="3">
    <field x="5"/>
    <field x="3"/>
    <field x="8"/>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446">
      <pivotArea field="3" type="button" dataOnly="0" labelOnly="1" outline="0" axis="axisRow" fieldPosition="1"/>
    </format>
    <format dxfId="445">
      <pivotArea dataOnly="0" labelOnly="1" outline="0" fieldPosition="0">
        <references count="1">
          <reference field="4294967294" count="9">
            <x v="0"/>
            <x v="1"/>
            <x v="2"/>
            <x v="3"/>
            <x v="5"/>
            <x v="6"/>
            <x v="11"/>
            <x v="12"/>
            <x v="13"/>
          </reference>
        </references>
      </pivotArea>
    </format>
    <format dxfId="444">
      <pivotArea outline="0" fieldPosition="0">
        <references count="1">
          <reference field="4294967294" count="1">
            <x v="7"/>
          </reference>
        </references>
      </pivotArea>
    </format>
    <format dxfId="443">
      <pivotArea dataOnly="0" labelOnly="1" outline="0" fieldPosition="0">
        <references count="1">
          <reference field="4294967294" count="1">
            <x v="7"/>
          </reference>
        </references>
      </pivotArea>
    </format>
    <format dxfId="442">
      <pivotArea collapsedLevelsAreSubtotals="1" fieldPosition="0">
        <references count="2">
          <reference field="4294967294" count="1" selected="0">
            <x v="3"/>
          </reference>
          <reference field="3" count="1">
            <x v="0"/>
          </reference>
        </references>
      </pivotArea>
    </format>
    <format dxfId="441">
      <pivotArea outline="0" fieldPosition="0">
        <references count="1">
          <reference field="4294967294" count="1">
            <x v="4"/>
          </reference>
        </references>
      </pivotArea>
    </format>
    <format dxfId="440">
      <pivotArea outline="0" fieldPosition="0">
        <references count="1">
          <reference field="4294967294" count="1">
            <x v="8"/>
          </reference>
        </references>
      </pivotArea>
    </format>
    <format dxfId="439">
      <pivotArea outline="0" fieldPosition="0">
        <references count="1">
          <reference field="4294967294" count="1">
            <x v="9"/>
          </reference>
        </references>
      </pivotArea>
    </format>
    <format dxfId="438">
      <pivotArea outline="0" fieldPosition="0">
        <references count="1">
          <reference field="4294967294"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6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Nbr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 cacheId="2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K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items>
    </pivotField>
    <pivotField showAll="0"/>
    <pivotField axis="axisRow" showAll="0">
      <items count="3">
        <item x="0"/>
        <item x="1"/>
        <item t="default"/>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3">
    <field x="3"/>
    <field x="8"/>
    <field x="5"/>
  </rowFields>
  <rowItems count="3">
    <i>
      <x/>
    </i>
    <i>
      <x v="1"/>
    </i>
    <i t="grand">
      <x/>
    </i>
  </rowItems>
  <colFields count="1">
    <field x="-2"/>
  </colFields>
  <colItems count="13">
    <i>
      <x/>
    </i>
    <i i="1">
      <x v="1"/>
    </i>
    <i i="2">
      <x v="2"/>
    </i>
    <i i="3">
      <x v="3"/>
    </i>
    <i i="4">
      <x v="4"/>
    </i>
    <i i="5">
      <x v="5"/>
    </i>
    <i i="6">
      <x v="6"/>
    </i>
    <i i="7">
      <x v="7"/>
    </i>
    <i i="8">
      <x v="8"/>
    </i>
    <i i="9">
      <x v="9"/>
    </i>
    <i i="10">
      <x v="10"/>
    </i>
    <i i="11">
      <x v="11"/>
    </i>
    <i i="12">
      <x v="12"/>
    </i>
  </colItems>
  <pageFields count="2">
    <pageField fld="0" hier="-1"/>
    <pageField fld="2" hier="-1"/>
  </pageFields>
  <dataFields count="13">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of Flush Events" fld="30"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437">
      <pivotArea field="3" type="button" dataOnly="0" labelOnly="1" outline="0" axis="axisRow" fieldPosition="0"/>
    </format>
    <format dxfId="436">
      <pivotArea dataOnly="0" labelOnly="1" outline="0" fieldPosition="0">
        <references count="1">
          <reference field="4294967294" count="9">
            <x v="0"/>
            <x v="1"/>
            <x v="2"/>
            <x v="3"/>
            <x v="5"/>
            <x v="7"/>
            <x v="10"/>
            <x v="11"/>
            <x v="12"/>
          </reference>
        </references>
      </pivotArea>
    </format>
    <format dxfId="435">
      <pivotArea outline="0" fieldPosition="0">
        <references count="1">
          <reference field="4294967294" count="1">
            <x v="6"/>
          </reference>
        </references>
      </pivotArea>
    </format>
    <format dxfId="434">
      <pivotArea outline="0" fieldPosition="0">
        <references count="1">
          <reference field="4294967294" count="1">
            <x v="8"/>
          </reference>
        </references>
      </pivotArea>
    </format>
    <format dxfId="433">
      <pivotArea dataOnly="0" labelOnly="1" outline="0" fieldPosition="0">
        <references count="1">
          <reference field="4294967294" count="1">
            <x v="8"/>
          </reference>
        </references>
      </pivotArea>
    </format>
    <format dxfId="432">
      <pivotArea dataOnly="0" labelOnly="1" outline="0" fieldPosition="0">
        <references count="1">
          <reference field="4294967294" count="1">
            <x v="6"/>
          </reference>
        </references>
      </pivotArea>
    </format>
    <format dxfId="431">
      <pivotArea collapsedLevelsAreSubtotals="1" fieldPosition="0">
        <references count="2">
          <reference field="4294967294" count="1" selected="0">
            <x v="3"/>
          </reference>
          <reference field="3" count="1">
            <x v="0"/>
          </reference>
        </references>
      </pivotArea>
    </format>
    <format dxfId="430">
      <pivotArea outline="0" fieldPosition="0">
        <references count="1">
          <reference field="4294967294" count="1">
            <x v="4"/>
          </reference>
        </references>
      </pivotArea>
    </format>
    <format dxfId="0">
      <pivotArea outline="0" fieldPosition="0">
        <references count="1">
          <reference field="4294967294" count="1">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Max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DigestQryNbr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418">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41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421">
      <pivotArea dataOnly="0" labelOnly="1" outline="0" fieldPosition="0">
        <references count="1">
          <reference field="4294967294" count="1">
            <x v="1"/>
          </reference>
        </references>
      </pivotArea>
    </format>
    <format dxfId="42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424">
      <pivotArea dataOnly="0" labelOnly="1" outline="0" axis="axisValues" fieldPosition="0"/>
    </format>
    <format dxfId="423">
      <pivotArea dataOnly="0" outline="0" axis="axisValues" fieldPosition="0"/>
    </format>
    <format dxfId="4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26">
      <pivotArea dataOnly="0" labelOnly="1" outline="0" fieldPosition="0">
        <references count="1">
          <reference field="4294967294" count="1">
            <x v="0"/>
          </reference>
        </references>
      </pivotArea>
    </format>
    <format dxfId="42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42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29">
      <pivotArea dataOnly="0" labelOnly="1" outline="0" fieldPosition="0">
        <references count="1">
          <reference field="4294967294" count="1">
            <x v="0"/>
          </reference>
        </references>
      </pivotArea>
    </format>
    <format dxfId="42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406">
      <pivotArea dataOnly="0" labelOnly="1" outline="0" fieldPosition="0">
        <references count="1">
          <reference field="4294967294" count="1">
            <x v="1"/>
          </reference>
        </references>
      </pivotArea>
    </format>
    <format dxfId="40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08">
      <pivotArea dataOnly="0" labelOnly="1" outline="0" fieldPosition="0">
        <references count="1">
          <reference field="4294967294" count="1">
            <x v="0"/>
          </reference>
        </references>
      </pivotArea>
    </format>
    <format dxfId="40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411">
      <pivotArea dataOnly="0" labelOnly="1" outline="0" axis="axisValues" fieldPosition="0"/>
    </format>
    <format dxfId="410">
      <pivotArea dataOnly="0" outline="0" axis="axisValues" fieldPosition="0"/>
    </format>
    <format dxfId="40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413">
      <pivotArea dataOnly="0" labelOnly="1" outline="0" fieldPosition="0">
        <references count="1">
          <reference field="4294967294" count="1">
            <x v="0"/>
          </reference>
        </references>
      </pivotArea>
    </format>
    <format dxfId="4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41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41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417">
      <pivotArea dataOnly="0" labelOnly="1" outline="0" fieldPosition="0">
        <references count="1">
          <reference field="4294967294" count="1">
            <x v="1"/>
          </reference>
        </references>
      </pivotArea>
    </format>
    <format dxfId="416">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1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5"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98">
      <pivotArea collapsedLevelsAreSubtotals="1" fieldPosition="0">
        <references count="1">
          <reference field="4" count="1">
            <x v="1"/>
          </reference>
        </references>
      </pivotArea>
    </format>
    <format dxfId="39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401">
      <pivotArea dataOnly="0" labelOnly="1" outline="0" axis="axisValues" fieldPosition="0"/>
    </format>
    <format dxfId="400">
      <pivotArea collapsedLevelsAreSubtotals="1" fieldPosition="0">
        <references count="1">
          <reference field="4" count="1">
            <x v="1"/>
          </reference>
        </references>
      </pivotArea>
    </format>
    <format dxfId="39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404">
      <pivotArea dataOnly="0" labelOnly="1" outline="0" axis="axisValues" fieldPosition="0"/>
    </format>
    <format dxfId="403">
      <pivotArea collapsedLevelsAreSubtotals="1" fieldPosition="0">
        <references count="1">
          <reference field="4" count="1">
            <x v="1"/>
          </reference>
        </references>
      </pivotArea>
    </format>
    <format dxfId="40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8:W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96">
      <pivotArea collapsedLevelsAreSubtotals="1" fieldPosition="0">
        <references count="1">
          <reference field="4" count="1">
            <x v="1"/>
          </reference>
        </references>
      </pivotArea>
    </format>
    <format dxfId="39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8:Z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8:A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94">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G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1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1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15"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1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1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91">
      <pivotArea dataOnly="0" labelOnly="1" outline="0" fieldPosition="0">
        <references count="1">
          <reference field="4294967294" count="1">
            <x v="0"/>
          </reference>
        </references>
      </pivotArea>
    </format>
    <format dxfId="39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93">
      <pivotArea dataOnly="0" labelOnly="1" outline="0" fieldPosition="0">
        <references count="1">
          <reference field="4294967294" count="1">
            <x v="0"/>
          </reference>
        </references>
      </pivotArea>
    </format>
    <format dxfId="39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5"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Hints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82">
      <pivotArea dataOnly="0" labelOnly="1" outline="0" axis="axisValues" fieldPosition="0"/>
    </format>
    <format dxfId="381">
      <pivotArea dataOnly="0" outline="0" axis="axisValues" fieldPosition="0"/>
    </format>
    <format dxfId="38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84">
      <pivotArea dataOnly="0" labelOnly="1" outline="0" axis="axisValues" fieldPosition="0"/>
    </format>
    <format dxfId="38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86">
      <pivotArea dataOnly="0" labelOnly="1" outline="0" axis="axisValues" fieldPosition="0"/>
    </format>
    <format dxfId="38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5.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89">
      <pivotArea dataOnly="0" labelOnly="1" outline="0" axis="axisValues" fieldPosition="0"/>
    </format>
    <format dxfId="388">
      <pivotArea dataOnly="0" outline="0" axis="axisValues" fieldPosition="0"/>
    </format>
    <format dxfId="38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57">
      <pivotArea outline="0" collapsedLevelsAreSubtotals="1" fieldPosition="0">
        <references count="1">
          <reference field="4294967294" count="1" selected="0">
            <x v="3"/>
          </reference>
        </references>
      </pivotArea>
    </format>
    <format dxfId="356">
      <pivotArea dataOnly="0" labelOnly="1" outline="0" fieldPosition="0">
        <references count="1">
          <reference field="4294967294" count="1">
            <x v="3"/>
          </reference>
        </references>
      </pivotArea>
    </format>
    <format dxfId="355">
      <pivotArea outline="0" collapsedLevelsAreSubtotals="1" fieldPosition="0">
        <references count="1">
          <reference field="4294967294" count="1" selected="0">
            <x v="6"/>
          </reference>
        </references>
      </pivotArea>
    </format>
    <format dxfId="354">
      <pivotArea dataOnly="0" labelOnly="1" outline="0" fieldPosition="0">
        <references count="1">
          <reference field="4294967294" count="1">
            <x v="6"/>
          </reference>
        </references>
      </pivotArea>
    </format>
    <format dxfId="353">
      <pivotArea outline="0" collapsedLevelsAreSubtotals="1" fieldPosition="0">
        <references count="1">
          <reference field="4294967294" count="1" selected="0">
            <x v="9"/>
          </reference>
        </references>
      </pivotArea>
    </format>
    <format dxfId="352">
      <pivotArea dataOnly="0" labelOnly="1" outline="0" fieldPosition="0">
        <references count="1">
          <reference field="4294967294" count="1">
            <x v="9"/>
          </reference>
        </references>
      </pivotArea>
    </format>
    <format dxfId="351">
      <pivotArea outline="0" collapsedLevelsAreSubtotals="1" fieldPosition="0">
        <references count="1">
          <reference field="4294967294" count="1" selected="0">
            <x v="12"/>
          </reference>
        </references>
      </pivotArea>
    </format>
    <format dxfId="350">
      <pivotArea dataOnly="0" labelOnly="1" outline="0" fieldPosition="0">
        <references count="1">
          <reference field="4294967294" count="1">
            <x v="12"/>
          </reference>
        </references>
      </pivotArea>
    </format>
    <format dxfId="349">
      <pivotArea outline="0" collapsedLevelsAreSubtotals="1" fieldPosition="0">
        <references count="1">
          <reference field="4294967294" count="1" selected="0">
            <x v="15"/>
          </reference>
        </references>
      </pivotArea>
    </format>
    <format dxfId="348">
      <pivotArea dataOnly="0" labelOnly="1" outline="0" fieldPosition="0">
        <references count="1">
          <reference field="4294967294" count="1">
            <x v="15"/>
          </reference>
        </references>
      </pivotArea>
    </format>
    <format dxfId="347">
      <pivotArea dataOnly="0" labelOnly="1" outline="0" fieldPosition="0">
        <references count="1">
          <reference field="4294967294" count="3">
            <x v="3"/>
            <x v="4"/>
            <x v="5"/>
          </reference>
        </references>
      </pivotArea>
    </format>
    <format dxfId="346">
      <pivotArea dataOnly="0" labelOnly="1" outline="0" fieldPosition="0">
        <references count="1">
          <reference field="4294967294" count="3">
            <x v="9"/>
            <x v="10"/>
            <x v="11"/>
          </reference>
        </references>
      </pivotArea>
    </format>
    <format dxfId="345">
      <pivotArea dataOnly="0" labelOnly="1" outline="0" fieldPosition="0">
        <references count="1">
          <reference field="4294967294" count="3">
            <x v="15"/>
            <x v="16"/>
            <x v="17"/>
          </reference>
        </references>
      </pivotArea>
    </format>
    <format dxfId="344">
      <pivotArea field="4" type="button" dataOnly="0" labelOnly="1" outline="0" axis="axisRow" fieldPosition="0"/>
    </format>
    <format dxfId="343">
      <pivotArea dataOnly="0" labelOnly="1" fieldPosition="0">
        <references count="1">
          <reference field="4" count="1">
            <x v="0"/>
          </reference>
        </references>
      </pivotArea>
    </format>
    <format dxfId="342">
      <pivotArea dataOnly="0" labelOnly="1" grandRow="1" outline="0" fieldPosition="0"/>
    </format>
    <format dxfId="341">
      <pivotArea dataOnly="0" labelOnly="1" outline="0" fieldPosition="0">
        <references count="1">
          <reference field="4294967294" count="1">
            <x v="0"/>
          </reference>
        </references>
      </pivotArea>
    </format>
    <format dxfId="34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79">
      <pivotArea dataOnly="0" labelOnly="1" outline="0" fieldPosition="0">
        <references count="1">
          <reference field="4294967294" count="3">
            <x v="3"/>
            <x v="4"/>
            <x v="5"/>
          </reference>
        </references>
      </pivotArea>
    </format>
    <format dxfId="378">
      <pivotArea dataOnly="0" labelOnly="1" outline="0" fieldPosition="0">
        <references count="1">
          <reference field="4294967294" count="3">
            <x v="9"/>
            <x v="10"/>
            <x v="11"/>
          </reference>
        </references>
      </pivotArea>
    </format>
    <format dxfId="377">
      <pivotArea dataOnly="0" labelOnly="1" outline="0" fieldPosition="0">
        <references count="1">
          <reference field="4294967294" count="3">
            <x v="15"/>
            <x v="16"/>
            <x v="17"/>
          </reference>
        </references>
      </pivotArea>
    </format>
    <format dxfId="376">
      <pivotArea field="4" type="button" dataOnly="0" labelOnly="1" outline="0" axis="axisPage" fieldPosition="2"/>
    </format>
    <format dxfId="375">
      <pivotArea dataOnly="0" labelOnly="1" fieldPosition="0">
        <references count="1">
          <reference field="4" count="1">
            <x v="0"/>
          </reference>
        </references>
      </pivotArea>
    </format>
    <format dxfId="374">
      <pivotArea dataOnly="0" labelOnly="1" outline="0" fieldPosition="0">
        <references count="1">
          <reference field="4294967294" count="1">
            <x v="0"/>
          </reference>
        </references>
      </pivotArea>
    </format>
    <format dxfId="373">
      <pivotArea field="4" type="button" dataOnly="0" labelOnly="1" outline="0" axis="axisPage" fieldPosition="2"/>
    </format>
    <format dxfId="372">
      <pivotArea field="2" type="button" dataOnly="0" labelOnly="1" outline="0" axis="axisRow" fieldPosition="0"/>
    </format>
    <format dxfId="371">
      <pivotArea dataOnly="0" labelOnly="1" fieldPosition="0">
        <references count="1">
          <reference field="2" count="1">
            <x v="0"/>
          </reference>
        </references>
      </pivotArea>
    </format>
    <format dxfId="370">
      <pivotArea dataOnly="0" labelOnly="1" grandRow="1" outline="0" fieldPosition="0"/>
    </format>
    <format dxfId="369">
      <pivotArea outline="0" collapsedLevelsAreSubtotals="1" fieldPosition="0">
        <references count="1">
          <reference field="4294967294" count="1" selected="0">
            <x v="3"/>
          </reference>
        </references>
      </pivotArea>
    </format>
    <format dxfId="368">
      <pivotArea dataOnly="0" labelOnly="1" outline="0" fieldPosition="0">
        <references count="1">
          <reference field="4294967294" count="1">
            <x v="3"/>
          </reference>
        </references>
      </pivotArea>
    </format>
    <format dxfId="367">
      <pivotArea outline="0" collapsedLevelsAreSubtotals="1" fieldPosition="0">
        <references count="1">
          <reference field="4294967294" count="1" selected="0">
            <x v="6"/>
          </reference>
        </references>
      </pivotArea>
    </format>
    <format dxfId="366">
      <pivotArea dataOnly="0" labelOnly="1" outline="0" fieldPosition="0">
        <references count="1">
          <reference field="4294967294" count="1">
            <x v="6"/>
          </reference>
        </references>
      </pivotArea>
    </format>
    <format dxfId="365">
      <pivotArea outline="0" collapsedLevelsAreSubtotals="1" fieldPosition="0">
        <references count="1">
          <reference field="4294967294" count="1" selected="0">
            <x v="9"/>
          </reference>
        </references>
      </pivotArea>
    </format>
    <format dxfId="364">
      <pivotArea dataOnly="0" labelOnly="1" outline="0" fieldPosition="0">
        <references count="1">
          <reference field="4294967294" count="1">
            <x v="9"/>
          </reference>
        </references>
      </pivotArea>
    </format>
    <format dxfId="363">
      <pivotArea outline="0" collapsedLevelsAreSubtotals="1" fieldPosition="0">
        <references count="1">
          <reference field="4294967294" count="1" selected="0">
            <x v="12"/>
          </reference>
        </references>
      </pivotArea>
    </format>
    <format dxfId="362">
      <pivotArea dataOnly="0" labelOnly="1" outline="0" fieldPosition="0">
        <references count="1">
          <reference field="4294967294" count="1">
            <x v="12"/>
          </reference>
        </references>
      </pivotArea>
    </format>
    <format dxfId="361">
      <pivotArea outline="0" collapsedLevelsAreSubtotals="1" fieldPosition="0">
        <references count="1">
          <reference field="4294967294" count="1" selected="0">
            <x v="15"/>
          </reference>
        </references>
      </pivotArea>
    </format>
    <format dxfId="360">
      <pivotArea dataOnly="0" labelOnly="1" outline="0" fieldPosition="0">
        <references count="1">
          <reference field="4294967294" count="1">
            <x v="15"/>
          </reference>
        </references>
      </pivotArea>
    </format>
    <format dxfId="359">
      <pivotArea outline="0" collapsedLevelsAreSubtotals="1" fieldPosition="0">
        <references count="1">
          <reference field="4294967294" count="1" selected="0">
            <x v="17"/>
          </reference>
        </references>
      </pivotArea>
    </format>
    <format dxfId="35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dataOnly="0" labelOnly="1" outline="0" fieldPosition="0">
        <references count="1">
          <reference field="4294967294" count="3">
            <x v="3"/>
            <x v="4"/>
            <x v="5"/>
          </reference>
        </references>
      </pivotArea>
    </format>
    <format dxfId="288">
      <pivotArea dataOnly="0" labelOnly="1" outline="0" fieldPosition="0">
        <references count="1">
          <reference field="4294967294" count="3">
            <x v="9"/>
            <x v="10"/>
            <x v="11"/>
          </reference>
        </references>
      </pivotArea>
    </format>
    <format dxfId="287">
      <pivotArea dataOnly="0" labelOnly="1" outline="0" fieldPosition="0">
        <references count="1">
          <reference field="4294967294" count="3">
            <x v="15"/>
            <x v="16"/>
            <x v="17"/>
          </reference>
        </references>
      </pivotArea>
    </format>
    <format dxfId="286">
      <pivotArea field="4" type="button" dataOnly="0" labelOnly="1" outline="0" axis="axisRow" fieldPosition="0"/>
    </format>
    <format dxfId="285">
      <pivotArea dataOnly="0" labelOnly="1" fieldPosition="0">
        <references count="1">
          <reference field="4" count="1">
            <x v="0"/>
          </reference>
        </references>
      </pivotArea>
    </format>
    <format dxfId="284">
      <pivotArea dataOnly="0" labelOnly="1" grandRow="1" outline="0" fieldPosition="0"/>
    </format>
    <format dxfId="283">
      <pivotArea dataOnly="0" labelOnly="1" outline="0" fieldPosition="0">
        <references count="1">
          <reference field="4294967294" count="1">
            <x v="0"/>
          </reference>
        </references>
      </pivotArea>
    </format>
    <format dxfId="282">
      <pivotArea field="4" type="button" dataOnly="0" labelOnly="1" outline="0" axis="axisRow" fieldPosition="0"/>
    </format>
    <format dxfId="281">
      <pivotArea outline="0" fieldPosition="0">
        <references count="1">
          <reference field="4294967294" count="1">
            <x v="0"/>
          </reference>
        </references>
      </pivotArea>
    </format>
    <format dxfId="280">
      <pivotArea outline="0" fieldPosition="0">
        <references count="1">
          <reference field="4294967294" count="1">
            <x v="1"/>
          </reference>
        </references>
      </pivotArea>
    </format>
    <format dxfId="279">
      <pivotArea outline="0" fieldPosition="0">
        <references count="1">
          <reference field="4294967294" count="1">
            <x v="2"/>
          </reference>
        </references>
      </pivotArea>
    </format>
    <format dxfId="278">
      <pivotArea outline="0" fieldPosition="0">
        <references count="1">
          <reference field="4294967294" count="1">
            <x v="3"/>
          </reference>
        </references>
      </pivotArea>
    </format>
    <format dxfId="277">
      <pivotArea outline="0" fieldPosition="0">
        <references count="1">
          <reference field="4294967294" count="1">
            <x v="4"/>
          </reference>
        </references>
      </pivotArea>
    </format>
    <format dxfId="276">
      <pivotArea outline="0" fieldPosition="0">
        <references count="1">
          <reference field="4294967294" count="1">
            <x v="5"/>
          </reference>
        </references>
      </pivotArea>
    </format>
    <format dxfId="275">
      <pivotArea outline="0" fieldPosition="0">
        <references count="1">
          <reference field="4294967294" count="1">
            <x v="6"/>
          </reference>
        </references>
      </pivotArea>
    </format>
    <format dxfId="274">
      <pivotArea outline="0" fieldPosition="0">
        <references count="1">
          <reference field="4294967294" count="1">
            <x v="7"/>
          </reference>
        </references>
      </pivotArea>
    </format>
    <format dxfId="273">
      <pivotArea outline="0" fieldPosition="0">
        <references count="1">
          <reference field="4294967294" count="1">
            <x v="8"/>
          </reference>
        </references>
      </pivotArea>
    </format>
    <format dxfId="272">
      <pivotArea outline="0" fieldPosition="0">
        <references count="1">
          <reference field="4294967294" count="1">
            <x v="9"/>
          </reference>
        </references>
      </pivotArea>
    </format>
    <format dxfId="271">
      <pivotArea outline="0" fieldPosition="0">
        <references count="1">
          <reference field="4294967294" count="1">
            <x v="10"/>
          </reference>
        </references>
      </pivotArea>
    </format>
    <format dxfId="270">
      <pivotArea outline="0" fieldPosition="0">
        <references count="1">
          <reference field="4294967294" count="1">
            <x v="11"/>
          </reference>
        </references>
      </pivotArea>
    </format>
    <format dxfId="269">
      <pivotArea outline="0" fieldPosition="0">
        <references count="1">
          <reference field="4294967294" count="1">
            <x v="12"/>
          </reference>
        </references>
      </pivotArea>
    </format>
    <format dxfId="268">
      <pivotArea outline="0" fieldPosition="0">
        <references count="1">
          <reference field="4294967294" count="1">
            <x v="13"/>
          </reference>
        </references>
      </pivotArea>
    </format>
    <format dxfId="267">
      <pivotArea outline="0" fieldPosition="0">
        <references count="1">
          <reference field="4294967294" count="1">
            <x v="14"/>
          </reference>
        </references>
      </pivotArea>
    </format>
    <format dxfId="266">
      <pivotArea outline="0" fieldPosition="0">
        <references count="1">
          <reference field="4294967294" count="1">
            <x v="15"/>
          </reference>
        </references>
      </pivotArea>
    </format>
    <format dxfId="265">
      <pivotArea outline="0" fieldPosition="0">
        <references count="1">
          <reference field="4294967294" count="1">
            <x v="16"/>
          </reference>
        </references>
      </pivotArea>
    </format>
    <format dxfId="26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39">
      <pivotArea dataOnly="0" labelOnly="1" outline="0" fieldPosition="0">
        <references count="1">
          <reference field="4294967294" count="3">
            <x v="3"/>
            <x v="4"/>
            <x v="5"/>
          </reference>
        </references>
      </pivotArea>
    </format>
    <format dxfId="338">
      <pivotArea dataOnly="0" labelOnly="1" outline="0" fieldPosition="0">
        <references count="1">
          <reference field="4294967294" count="3">
            <x v="9"/>
            <x v="10"/>
            <x v="11"/>
          </reference>
        </references>
      </pivotArea>
    </format>
    <format dxfId="337">
      <pivotArea dataOnly="0" labelOnly="1" outline="0" fieldPosition="0">
        <references count="1">
          <reference field="4294967294" count="3">
            <x v="15"/>
            <x v="16"/>
            <x v="17"/>
          </reference>
        </references>
      </pivotArea>
    </format>
    <format dxfId="336">
      <pivotArea field="4" type="button" dataOnly="0" labelOnly="1" outline="0" axis="axisPage" fieldPosition="2"/>
    </format>
    <format dxfId="335">
      <pivotArea dataOnly="0" labelOnly="1" fieldPosition="0">
        <references count="1">
          <reference field="4" count="1">
            <x v="0"/>
          </reference>
        </references>
      </pivotArea>
    </format>
    <format dxfId="334">
      <pivotArea dataOnly="0" labelOnly="1" outline="0" fieldPosition="0">
        <references count="1">
          <reference field="4294967294" count="1">
            <x v="0"/>
          </reference>
        </references>
      </pivotArea>
    </format>
    <format dxfId="333">
      <pivotArea field="4" type="button" dataOnly="0" labelOnly="1" outline="0" axis="axisPage" fieldPosition="2"/>
    </format>
    <format dxfId="332">
      <pivotArea field="2" type="button" dataOnly="0" labelOnly="1" outline="0" axis="axisRow" fieldPosition="0"/>
    </format>
    <format dxfId="331">
      <pivotArea dataOnly="0" labelOnly="1" fieldPosition="0">
        <references count="1">
          <reference field="2" count="1">
            <x v="0"/>
          </reference>
        </references>
      </pivotArea>
    </format>
    <format dxfId="330">
      <pivotArea dataOnly="0" labelOnly="1" grandRow="1" outline="0" fieldPosition="0"/>
    </format>
    <format dxfId="329">
      <pivotArea outline="0" collapsedLevelsAreSubtotals="1" fieldPosition="0">
        <references count="1">
          <reference field="4294967294" count="1" selected="0">
            <x v="3"/>
          </reference>
        </references>
      </pivotArea>
    </format>
    <format dxfId="328">
      <pivotArea dataOnly="0" labelOnly="1" outline="0" fieldPosition="0">
        <references count="1">
          <reference field="4294967294" count="1">
            <x v="3"/>
          </reference>
        </references>
      </pivotArea>
    </format>
    <format dxfId="327">
      <pivotArea outline="0" collapsedLevelsAreSubtotals="1" fieldPosition="0">
        <references count="1">
          <reference field="4294967294" count="1" selected="0">
            <x v="6"/>
          </reference>
        </references>
      </pivotArea>
    </format>
    <format dxfId="326">
      <pivotArea dataOnly="0" labelOnly="1" outline="0" fieldPosition="0">
        <references count="1">
          <reference field="4294967294" count="1">
            <x v="6"/>
          </reference>
        </references>
      </pivotArea>
    </format>
    <format dxfId="325">
      <pivotArea outline="0" collapsedLevelsAreSubtotals="1" fieldPosition="0">
        <references count="1">
          <reference field="4294967294" count="1" selected="0">
            <x v="9"/>
          </reference>
        </references>
      </pivotArea>
    </format>
    <format dxfId="324">
      <pivotArea dataOnly="0" labelOnly="1" outline="0" fieldPosition="0">
        <references count="1">
          <reference field="4294967294" count="1">
            <x v="9"/>
          </reference>
        </references>
      </pivotArea>
    </format>
    <format dxfId="323">
      <pivotArea outline="0" collapsedLevelsAreSubtotals="1" fieldPosition="0">
        <references count="1">
          <reference field="4294967294" count="1" selected="0">
            <x v="12"/>
          </reference>
        </references>
      </pivotArea>
    </format>
    <format dxfId="322">
      <pivotArea dataOnly="0" labelOnly="1" outline="0" fieldPosition="0">
        <references count="1">
          <reference field="4294967294" count="1">
            <x v="12"/>
          </reference>
        </references>
      </pivotArea>
    </format>
    <format dxfId="321">
      <pivotArea outline="0" collapsedLevelsAreSubtotals="1" fieldPosition="0">
        <references count="1">
          <reference field="4294967294" count="1" selected="0">
            <x v="15"/>
          </reference>
        </references>
      </pivotArea>
    </format>
    <format dxfId="320">
      <pivotArea dataOnly="0" labelOnly="1" outline="0" fieldPosition="0">
        <references count="1">
          <reference field="4294967294" count="1">
            <x v="15"/>
          </reference>
        </references>
      </pivotArea>
    </format>
    <format dxfId="319">
      <pivotArea outline="0" collapsedLevelsAreSubtotals="1" fieldPosition="0">
        <references count="1">
          <reference field="4294967294" count="1" selected="0">
            <x v="17"/>
          </reference>
        </references>
      </pivotArea>
    </format>
    <format dxfId="318">
      <pivotArea dataOnly="0" labelOnly="1" outline="0" fieldPosition="0">
        <references count="1">
          <reference field="4294967294" count="1">
            <x v="17"/>
          </reference>
        </references>
      </pivotArea>
    </format>
    <format dxfId="317">
      <pivotArea outline="0" fieldPosition="0">
        <references count="1">
          <reference field="4294967294" count="1">
            <x v="0"/>
          </reference>
        </references>
      </pivotArea>
    </format>
    <format dxfId="316">
      <pivotArea outline="0" fieldPosition="0">
        <references count="1">
          <reference field="4294967294" count="1">
            <x v="1"/>
          </reference>
        </references>
      </pivotArea>
    </format>
    <format dxfId="315">
      <pivotArea outline="0" fieldPosition="0">
        <references count="1">
          <reference field="4294967294" count="1">
            <x v="2"/>
          </reference>
        </references>
      </pivotArea>
    </format>
    <format dxfId="314">
      <pivotArea outline="0" fieldPosition="0">
        <references count="1">
          <reference field="4294967294" count="1">
            <x v="3"/>
          </reference>
        </references>
      </pivotArea>
    </format>
    <format dxfId="313">
      <pivotArea outline="0" fieldPosition="0">
        <references count="1">
          <reference field="4294967294" count="1">
            <x v="4"/>
          </reference>
        </references>
      </pivotArea>
    </format>
    <format dxfId="312">
      <pivotArea outline="0" fieldPosition="0">
        <references count="1">
          <reference field="4294967294" count="1">
            <x v="5"/>
          </reference>
        </references>
      </pivotArea>
    </format>
    <format dxfId="311">
      <pivotArea outline="0" fieldPosition="0">
        <references count="1">
          <reference field="4294967294" count="1">
            <x v="6"/>
          </reference>
        </references>
      </pivotArea>
    </format>
    <format dxfId="310">
      <pivotArea outline="0" fieldPosition="0">
        <references count="1">
          <reference field="4294967294" count="1">
            <x v="7"/>
          </reference>
        </references>
      </pivotArea>
    </format>
    <format dxfId="309">
      <pivotArea outline="0" fieldPosition="0">
        <references count="1">
          <reference field="4294967294" count="1">
            <x v="8"/>
          </reference>
        </references>
      </pivotArea>
    </format>
    <format dxfId="308">
      <pivotArea outline="0" fieldPosition="0">
        <references count="1">
          <reference field="4294967294" count="1">
            <x v="9"/>
          </reference>
        </references>
      </pivotArea>
    </format>
    <format dxfId="307">
      <pivotArea outline="0" fieldPosition="0">
        <references count="1">
          <reference field="4294967294" count="1">
            <x v="10"/>
          </reference>
        </references>
      </pivotArea>
    </format>
    <format dxfId="306">
      <pivotArea outline="0" fieldPosition="0">
        <references count="1">
          <reference field="4294967294" count="1">
            <x v="11"/>
          </reference>
        </references>
      </pivotArea>
    </format>
    <format dxfId="305">
      <pivotArea outline="0" fieldPosition="0">
        <references count="1">
          <reference field="4294967294" count="1">
            <x v="12"/>
          </reference>
        </references>
      </pivotArea>
    </format>
    <format dxfId="304">
      <pivotArea outline="0" fieldPosition="0">
        <references count="1">
          <reference field="4294967294" count="1">
            <x v="13"/>
          </reference>
        </references>
      </pivotArea>
    </format>
    <format dxfId="303">
      <pivotArea outline="0" fieldPosition="0">
        <references count="1">
          <reference field="4294967294" count="1">
            <x v="14"/>
          </reference>
        </references>
      </pivotArea>
    </format>
    <format dxfId="302">
      <pivotArea outline="0" fieldPosition="0">
        <references count="1">
          <reference field="4294967294" count="1">
            <x v="15"/>
          </reference>
        </references>
      </pivotArea>
    </format>
    <format dxfId="301">
      <pivotArea outline="0" fieldPosition="0">
        <references count="1">
          <reference field="4294967294" count="1">
            <x v="16"/>
          </reference>
        </references>
      </pivotArea>
    </format>
    <format dxfId="30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41">
      <pivotArea outline="0" collapsedLevelsAreSubtotals="1" fieldPosition="0">
        <references count="1">
          <reference field="4294967294" count="1" selected="0">
            <x v="3"/>
          </reference>
        </references>
      </pivotArea>
    </format>
    <format dxfId="240">
      <pivotArea dataOnly="0" labelOnly="1" outline="0" fieldPosition="0">
        <references count="1">
          <reference field="4294967294" count="1">
            <x v="3"/>
          </reference>
        </references>
      </pivotArea>
    </format>
    <format dxfId="239">
      <pivotArea outline="0" collapsedLevelsAreSubtotals="1" fieldPosition="0">
        <references count="1">
          <reference field="4294967294" count="1" selected="0">
            <x v="6"/>
          </reference>
        </references>
      </pivotArea>
    </format>
    <format dxfId="238">
      <pivotArea dataOnly="0" labelOnly="1" outline="0" fieldPosition="0">
        <references count="1">
          <reference field="4294967294" count="1">
            <x v="6"/>
          </reference>
        </references>
      </pivotArea>
    </format>
    <format dxfId="237">
      <pivotArea outline="0" collapsedLevelsAreSubtotals="1" fieldPosition="0">
        <references count="1">
          <reference field="4294967294" count="1" selected="0">
            <x v="9"/>
          </reference>
        </references>
      </pivotArea>
    </format>
    <format dxfId="236">
      <pivotArea dataOnly="0" labelOnly="1" outline="0" fieldPosition="0">
        <references count="1">
          <reference field="4294967294" count="1">
            <x v="9"/>
          </reference>
        </references>
      </pivotArea>
    </format>
    <format dxfId="235">
      <pivotArea outline="0" collapsedLevelsAreSubtotals="1" fieldPosition="0">
        <references count="1">
          <reference field="4294967294" count="1" selected="0">
            <x v="12"/>
          </reference>
        </references>
      </pivotArea>
    </format>
    <format dxfId="234">
      <pivotArea dataOnly="0" labelOnly="1" outline="0" fieldPosition="0">
        <references count="1">
          <reference field="4294967294" count="1">
            <x v="12"/>
          </reference>
        </references>
      </pivotArea>
    </format>
    <format dxfId="233">
      <pivotArea outline="0" collapsedLevelsAreSubtotals="1" fieldPosition="0">
        <references count="1">
          <reference field="4294967294" count="1" selected="0">
            <x v="15"/>
          </reference>
        </references>
      </pivotArea>
    </format>
    <format dxfId="232">
      <pivotArea dataOnly="0" labelOnly="1" outline="0" fieldPosition="0">
        <references count="1">
          <reference field="4294967294" count="1">
            <x v="15"/>
          </reference>
        </references>
      </pivotArea>
    </format>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Row" fieldPosition="0"/>
    </format>
    <format dxfId="227">
      <pivotArea dataOnly="0" labelOnly="1" fieldPosition="0">
        <references count="1">
          <reference field="4" count="1">
            <x v="0"/>
          </reference>
        </references>
      </pivotArea>
    </format>
    <format dxfId="226">
      <pivotArea dataOnly="0" labelOnly="1" grandRow="1" outline="0" fieldPosition="0"/>
    </format>
    <format dxfId="225">
      <pivotArea dataOnly="0" labelOnly="1" outline="0" fieldPosition="0">
        <references count="1">
          <reference field="4294967294" count="1">
            <x v="0"/>
          </reference>
        </references>
      </pivotArea>
    </format>
    <format dxfId="22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1.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63">
      <pivotArea dataOnly="0" labelOnly="1" outline="0" fieldPosition="0">
        <references count="1">
          <reference field="4294967294" count="3">
            <x v="3"/>
            <x v="4"/>
            <x v="5"/>
          </reference>
        </references>
      </pivotArea>
    </format>
    <format dxfId="262">
      <pivotArea dataOnly="0" labelOnly="1" outline="0" fieldPosition="0">
        <references count="1">
          <reference field="4294967294" count="3">
            <x v="9"/>
            <x v="10"/>
            <x v="11"/>
          </reference>
        </references>
      </pivotArea>
    </format>
    <format dxfId="261">
      <pivotArea dataOnly="0" labelOnly="1" outline="0" fieldPosition="0">
        <references count="1">
          <reference field="4294967294" count="3">
            <x v="15"/>
            <x v="16"/>
            <x v="17"/>
          </reference>
        </references>
      </pivotArea>
    </format>
    <format dxfId="260">
      <pivotArea field="4" type="button" dataOnly="0" labelOnly="1" outline="0" axis="axisPage" fieldPosition="2"/>
    </format>
    <format dxfId="259">
      <pivotArea dataOnly="0" labelOnly="1" fieldPosition="0">
        <references count="1">
          <reference field="4" count="1">
            <x v="0"/>
          </reference>
        </references>
      </pivotArea>
    </format>
    <format dxfId="258">
      <pivotArea dataOnly="0" labelOnly="1" outline="0" fieldPosition="0">
        <references count="1">
          <reference field="4294967294" count="1">
            <x v="0"/>
          </reference>
        </references>
      </pivotArea>
    </format>
    <format dxfId="257">
      <pivotArea field="4" type="button" dataOnly="0" labelOnly="1" outline="0" axis="axisPage" fieldPosition="2"/>
    </format>
    <format dxfId="256">
      <pivotArea field="2" type="button" dataOnly="0" labelOnly="1" outline="0" axis="axisRow" fieldPosition="0"/>
    </format>
    <format dxfId="255">
      <pivotArea dataOnly="0" labelOnly="1" fieldPosition="0">
        <references count="1">
          <reference field="2" count="1">
            <x v="0"/>
          </reference>
        </references>
      </pivotArea>
    </format>
    <format dxfId="254">
      <pivotArea dataOnly="0" labelOnly="1" grandRow="1" outline="0" fieldPosition="0"/>
    </format>
    <format dxfId="253">
      <pivotArea outline="0" collapsedLevelsAreSubtotals="1" fieldPosition="0">
        <references count="1">
          <reference field="4294967294" count="1" selected="0">
            <x v="3"/>
          </reference>
        </references>
      </pivotArea>
    </format>
    <format dxfId="252">
      <pivotArea dataOnly="0" labelOnly="1" outline="0" fieldPosition="0">
        <references count="1">
          <reference field="4294967294" count="1">
            <x v="3"/>
          </reference>
        </references>
      </pivotArea>
    </format>
    <format dxfId="251">
      <pivotArea outline="0" collapsedLevelsAreSubtotals="1" fieldPosition="0">
        <references count="1">
          <reference field="4294967294" count="1" selected="0">
            <x v="6"/>
          </reference>
        </references>
      </pivotArea>
    </format>
    <format dxfId="250">
      <pivotArea dataOnly="0" labelOnly="1" outline="0" fieldPosition="0">
        <references count="1">
          <reference field="4294967294" count="1">
            <x v="6"/>
          </reference>
        </references>
      </pivotArea>
    </format>
    <format dxfId="249">
      <pivotArea outline="0" collapsedLevelsAreSubtotals="1" fieldPosition="0">
        <references count="1">
          <reference field="4294967294" count="1" selected="0">
            <x v="9"/>
          </reference>
        </references>
      </pivotArea>
    </format>
    <format dxfId="248">
      <pivotArea dataOnly="0" labelOnly="1" outline="0" fieldPosition="0">
        <references count="1">
          <reference field="4294967294" count="1">
            <x v="9"/>
          </reference>
        </references>
      </pivotArea>
    </format>
    <format dxfId="247">
      <pivotArea outline="0" collapsedLevelsAreSubtotals="1" fieldPosition="0">
        <references count="1">
          <reference field="4294967294" count="1" selected="0">
            <x v="12"/>
          </reference>
        </references>
      </pivotArea>
    </format>
    <format dxfId="246">
      <pivotArea dataOnly="0" labelOnly="1" outline="0" fieldPosition="0">
        <references count="1">
          <reference field="4294967294" count="1">
            <x v="12"/>
          </reference>
        </references>
      </pivotArea>
    </format>
    <format dxfId="245">
      <pivotArea outline="0" collapsedLevelsAreSubtotals="1" fieldPosition="0">
        <references count="1">
          <reference field="4294967294" count="1" selected="0">
            <x v="15"/>
          </reference>
        </references>
      </pivotArea>
    </format>
    <format dxfId="244">
      <pivotArea dataOnly="0" labelOnly="1" outline="0" fieldPosition="0">
        <references count="1">
          <reference field="4294967294" count="1">
            <x v="15"/>
          </reference>
        </references>
      </pivotArea>
    </format>
    <format dxfId="243">
      <pivotArea outline="0" collapsedLevelsAreSubtotals="1" fieldPosition="0">
        <references count="1">
          <reference field="4294967294" count="1" selected="0">
            <x v="17"/>
          </reference>
        </references>
      </pivotArea>
    </format>
    <format dxfId="24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2.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dataOnly="0" labelOnly="1" outline="0" fieldPosition="0">
        <references count="1">
          <reference field="4294967294" count="3">
            <x v="3"/>
            <x v="4"/>
            <x v="5"/>
          </reference>
        </references>
      </pivotArea>
    </format>
    <format dxfId="172">
      <pivotArea dataOnly="0" labelOnly="1" outline="0" fieldPosition="0">
        <references count="1">
          <reference field="4294967294" count="3">
            <x v="9"/>
            <x v="10"/>
            <x v="11"/>
          </reference>
        </references>
      </pivotArea>
    </format>
    <format dxfId="171">
      <pivotArea dataOnly="0" labelOnly="1" outline="0" fieldPosition="0">
        <references count="1">
          <reference field="4294967294" count="3">
            <x v="15"/>
            <x v="16"/>
            <x v="17"/>
          </reference>
        </references>
      </pivotArea>
    </format>
    <format dxfId="170">
      <pivotArea field="4" type="button" dataOnly="0" labelOnly="1" outline="0" axis="axisRow" fieldPosition="0"/>
    </format>
    <format dxfId="169">
      <pivotArea dataOnly="0" labelOnly="1" fieldPosition="0">
        <references count="1">
          <reference field="4" count="1">
            <x v="0"/>
          </reference>
        </references>
      </pivotArea>
    </format>
    <format dxfId="168">
      <pivotArea dataOnly="0" labelOnly="1" grandRow="1" outline="0" fieldPosition="0"/>
    </format>
    <format dxfId="167">
      <pivotArea dataOnly="0" labelOnly="1" outline="0" fieldPosition="0">
        <references count="1">
          <reference field="4294967294" count="1">
            <x v="0"/>
          </reference>
        </references>
      </pivotArea>
    </format>
    <format dxfId="166">
      <pivotArea field="4" type="button" dataOnly="0" labelOnly="1" outline="0" axis="axisRow" fieldPosition="0"/>
    </format>
    <format dxfId="165">
      <pivotArea outline="0" fieldPosition="0">
        <references count="1">
          <reference field="4294967294" count="1">
            <x v="0"/>
          </reference>
        </references>
      </pivotArea>
    </format>
    <format dxfId="164">
      <pivotArea outline="0" fieldPosition="0">
        <references count="1">
          <reference field="4294967294" count="1">
            <x v="1"/>
          </reference>
        </references>
      </pivotArea>
    </format>
    <format dxfId="163">
      <pivotArea outline="0" fieldPosition="0">
        <references count="1">
          <reference field="4294967294" count="1">
            <x v="2"/>
          </reference>
        </references>
      </pivotArea>
    </format>
    <format dxfId="162">
      <pivotArea outline="0" fieldPosition="0">
        <references count="1">
          <reference field="4294967294" count="1">
            <x v="3"/>
          </reference>
        </references>
      </pivotArea>
    </format>
    <format dxfId="161">
      <pivotArea outline="0" fieldPosition="0">
        <references count="1">
          <reference field="4294967294" count="1">
            <x v="4"/>
          </reference>
        </references>
      </pivotArea>
    </format>
    <format dxfId="160">
      <pivotArea outline="0" fieldPosition="0">
        <references count="1">
          <reference field="4294967294" count="1">
            <x v="5"/>
          </reference>
        </references>
      </pivotArea>
    </format>
    <format dxfId="159">
      <pivotArea outline="0" fieldPosition="0">
        <references count="1">
          <reference field="4294967294" count="1">
            <x v="6"/>
          </reference>
        </references>
      </pivotArea>
    </format>
    <format dxfId="158">
      <pivotArea outline="0" fieldPosition="0">
        <references count="1">
          <reference field="4294967294" count="1">
            <x v="7"/>
          </reference>
        </references>
      </pivotArea>
    </format>
    <format dxfId="157">
      <pivotArea outline="0" fieldPosition="0">
        <references count="1">
          <reference field="4294967294" count="1">
            <x v="8"/>
          </reference>
        </references>
      </pivotArea>
    </format>
    <format dxfId="156">
      <pivotArea outline="0" fieldPosition="0">
        <references count="1">
          <reference field="4294967294" count="1">
            <x v="9"/>
          </reference>
        </references>
      </pivotArea>
    </format>
    <format dxfId="155">
      <pivotArea outline="0" fieldPosition="0">
        <references count="1">
          <reference field="4294967294" count="1">
            <x v="10"/>
          </reference>
        </references>
      </pivotArea>
    </format>
    <format dxfId="154">
      <pivotArea outline="0" fieldPosition="0">
        <references count="1">
          <reference field="4294967294" count="1">
            <x v="11"/>
          </reference>
        </references>
      </pivotArea>
    </format>
    <format dxfId="153">
      <pivotArea outline="0" fieldPosition="0">
        <references count="1">
          <reference field="4294967294" count="1">
            <x v="12"/>
          </reference>
        </references>
      </pivotArea>
    </format>
    <format dxfId="152">
      <pivotArea outline="0" fieldPosition="0">
        <references count="1">
          <reference field="4294967294" count="1">
            <x v="13"/>
          </reference>
        </references>
      </pivotArea>
    </format>
    <format dxfId="151">
      <pivotArea outline="0" fieldPosition="0">
        <references count="1">
          <reference field="4294967294" count="1">
            <x v="14"/>
          </reference>
        </references>
      </pivotArea>
    </format>
    <format dxfId="150">
      <pivotArea outline="0" fieldPosition="0">
        <references count="1">
          <reference field="4294967294" count="1">
            <x v="15"/>
          </reference>
        </references>
      </pivotArea>
    </format>
    <format dxfId="149">
      <pivotArea outline="0" fieldPosition="0">
        <references count="1">
          <reference field="4294967294" count="1">
            <x v="16"/>
          </reference>
        </references>
      </pivotArea>
    </format>
    <format dxfId="14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3.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23">
      <pivotArea dataOnly="0" labelOnly="1" outline="0" fieldPosition="0">
        <references count="1">
          <reference field="4294967294" count="3">
            <x v="3"/>
            <x v="4"/>
            <x v="5"/>
          </reference>
        </references>
      </pivotArea>
    </format>
    <format dxfId="222">
      <pivotArea dataOnly="0" labelOnly="1" outline="0" fieldPosition="0">
        <references count="1">
          <reference field="4294967294" count="3">
            <x v="9"/>
            <x v="10"/>
            <x v="11"/>
          </reference>
        </references>
      </pivotArea>
    </format>
    <format dxfId="221">
      <pivotArea dataOnly="0" labelOnly="1" outline="0" fieldPosition="0">
        <references count="1">
          <reference field="4294967294" count="3">
            <x v="15"/>
            <x v="16"/>
            <x v="17"/>
          </reference>
        </references>
      </pivotArea>
    </format>
    <format dxfId="220">
      <pivotArea field="4" type="button" dataOnly="0" labelOnly="1" outline="0" axis="axisPage" fieldPosition="2"/>
    </format>
    <format dxfId="219">
      <pivotArea dataOnly="0" labelOnly="1" fieldPosition="0">
        <references count="1">
          <reference field="4" count="1">
            <x v="0"/>
          </reference>
        </references>
      </pivotArea>
    </format>
    <format dxfId="218">
      <pivotArea dataOnly="0" labelOnly="1" outline="0" fieldPosition="0">
        <references count="1">
          <reference field="4294967294" count="1">
            <x v="0"/>
          </reference>
        </references>
      </pivotArea>
    </format>
    <format dxfId="217">
      <pivotArea field="4" type="button" dataOnly="0" labelOnly="1" outline="0" axis="axisPage" fieldPosition="2"/>
    </format>
    <format dxfId="216">
      <pivotArea field="2" type="button" dataOnly="0" labelOnly="1" outline="0" axis="axisRow" fieldPosition="0"/>
    </format>
    <format dxfId="215">
      <pivotArea dataOnly="0" labelOnly="1" fieldPosition="0">
        <references count="1">
          <reference field="2" count="1">
            <x v="0"/>
          </reference>
        </references>
      </pivotArea>
    </format>
    <format dxfId="214">
      <pivotArea dataOnly="0" labelOnly="1" grandRow="1" outline="0" fieldPosition="0"/>
    </format>
    <format dxfId="213">
      <pivotArea outline="0" collapsedLevelsAreSubtotals="1" fieldPosition="0">
        <references count="1">
          <reference field="4294967294" count="1" selected="0">
            <x v="3"/>
          </reference>
        </references>
      </pivotArea>
    </format>
    <format dxfId="212">
      <pivotArea dataOnly="0" labelOnly="1" outline="0" fieldPosition="0">
        <references count="1">
          <reference field="4294967294" count="1">
            <x v="3"/>
          </reference>
        </references>
      </pivotArea>
    </format>
    <format dxfId="211">
      <pivotArea outline="0" collapsedLevelsAreSubtotals="1" fieldPosition="0">
        <references count="1">
          <reference field="4294967294" count="1" selected="0">
            <x v="6"/>
          </reference>
        </references>
      </pivotArea>
    </format>
    <format dxfId="210">
      <pivotArea dataOnly="0" labelOnly="1" outline="0" fieldPosition="0">
        <references count="1">
          <reference field="4294967294" count="1">
            <x v="6"/>
          </reference>
        </references>
      </pivotArea>
    </format>
    <format dxfId="209">
      <pivotArea outline="0" collapsedLevelsAreSubtotals="1" fieldPosition="0">
        <references count="1">
          <reference field="4294967294" count="1" selected="0">
            <x v="9"/>
          </reference>
        </references>
      </pivotArea>
    </format>
    <format dxfId="208">
      <pivotArea dataOnly="0" labelOnly="1" outline="0" fieldPosition="0">
        <references count="1">
          <reference field="4294967294" count="1">
            <x v="9"/>
          </reference>
        </references>
      </pivotArea>
    </format>
    <format dxfId="207">
      <pivotArea outline="0" collapsedLevelsAreSubtotals="1" fieldPosition="0">
        <references count="1">
          <reference field="4294967294" count="1" selected="0">
            <x v="12"/>
          </reference>
        </references>
      </pivotArea>
    </format>
    <format dxfId="206">
      <pivotArea dataOnly="0" labelOnly="1" outline="0" fieldPosition="0">
        <references count="1">
          <reference field="4294967294" count="1">
            <x v="12"/>
          </reference>
        </references>
      </pivotArea>
    </format>
    <format dxfId="205">
      <pivotArea outline="0" collapsedLevelsAreSubtotals="1" fieldPosition="0">
        <references count="1">
          <reference field="4294967294" count="1" selected="0">
            <x v="15"/>
          </reference>
        </references>
      </pivotArea>
    </format>
    <format dxfId="204">
      <pivotArea dataOnly="0" labelOnly="1" outline="0" fieldPosition="0">
        <references count="1">
          <reference field="4294967294" count="1">
            <x v="15"/>
          </reference>
        </references>
      </pivotArea>
    </format>
    <format dxfId="203">
      <pivotArea outline="0" collapsedLevelsAreSubtotals="1" fieldPosition="0">
        <references count="1">
          <reference field="4294967294" count="1" selected="0">
            <x v="17"/>
          </reference>
        </references>
      </pivotArea>
    </format>
    <format dxfId="202">
      <pivotArea dataOnly="0" labelOnly="1" outline="0" fieldPosition="0">
        <references count="1">
          <reference field="4294967294" count="1">
            <x v="17"/>
          </reference>
        </references>
      </pivotArea>
    </format>
    <format dxfId="201">
      <pivotArea outline="0" fieldPosition="0">
        <references count="1">
          <reference field="4294967294" count="1">
            <x v="0"/>
          </reference>
        </references>
      </pivotArea>
    </format>
    <format dxfId="200">
      <pivotArea outline="0" fieldPosition="0">
        <references count="1">
          <reference field="4294967294" count="1">
            <x v="1"/>
          </reference>
        </references>
      </pivotArea>
    </format>
    <format dxfId="199">
      <pivotArea outline="0" fieldPosition="0">
        <references count="1">
          <reference field="4294967294" count="1">
            <x v="2"/>
          </reference>
        </references>
      </pivotArea>
    </format>
    <format dxfId="198">
      <pivotArea outline="0" fieldPosition="0">
        <references count="1">
          <reference field="4294967294" count="1">
            <x v="3"/>
          </reference>
        </references>
      </pivotArea>
    </format>
    <format dxfId="197">
      <pivotArea outline="0" fieldPosition="0">
        <references count="1">
          <reference field="4294967294" count="1">
            <x v="4"/>
          </reference>
        </references>
      </pivotArea>
    </format>
    <format dxfId="196">
      <pivotArea outline="0" fieldPosition="0">
        <references count="1">
          <reference field="4294967294" count="1">
            <x v="5"/>
          </reference>
        </references>
      </pivotArea>
    </format>
    <format dxfId="195">
      <pivotArea outline="0" fieldPosition="0">
        <references count="1">
          <reference field="4294967294" count="1">
            <x v="6"/>
          </reference>
        </references>
      </pivotArea>
    </format>
    <format dxfId="194">
      <pivotArea outline="0" fieldPosition="0">
        <references count="1">
          <reference field="4294967294" count="1">
            <x v="7"/>
          </reference>
        </references>
      </pivotArea>
    </format>
    <format dxfId="193">
      <pivotArea outline="0" fieldPosition="0">
        <references count="1">
          <reference field="4294967294" count="1">
            <x v="8"/>
          </reference>
        </references>
      </pivotArea>
    </format>
    <format dxfId="192">
      <pivotArea outline="0" fieldPosition="0">
        <references count="1">
          <reference field="4294967294" count="1">
            <x v="9"/>
          </reference>
        </references>
      </pivotArea>
    </format>
    <format dxfId="191">
      <pivotArea outline="0" fieldPosition="0">
        <references count="1">
          <reference field="4294967294" count="1">
            <x v="10"/>
          </reference>
        </references>
      </pivotArea>
    </format>
    <format dxfId="190">
      <pivotArea outline="0" fieldPosition="0">
        <references count="1">
          <reference field="4294967294" count="1">
            <x v="11"/>
          </reference>
        </references>
      </pivotArea>
    </format>
    <format dxfId="189">
      <pivotArea outline="0" fieldPosition="0">
        <references count="1">
          <reference field="4294967294" count="1">
            <x v="12"/>
          </reference>
        </references>
      </pivotArea>
    </format>
    <format dxfId="188">
      <pivotArea outline="0" fieldPosition="0">
        <references count="1">
          <reference field="4294967294" count="1">
            <x v="13"/>
          </reference>
        </references>
      </pivotArea>
    </format>
    <format dxfId="187">
      <pivotArea outline="0" fieldPosition="0">
        <references count="1">
          <reference field="4294967294" count="1">
            <x v="14"/>
          </reference>
        </references>
      </pivotArea>
    </format>
    <format dxfId="186">
      <pivotArea outline="0" fieldPosition="0">
        <references count="1">
          <reference field="4294967294" count="1">
            <x v="15"/>
          </reference>
        </references>
      </pivotArea>
    </format>
    <format dxfId="185">
      <pivotArea outline="0" fieldPosition="0">
        <references count="1">
          <reference field="4294967294" count="1">
            <x v="16"/>
          </reference>
        </references>
      </pivotArea>
    </format>
    <format dxfId="18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105">
      <pivotArea outline="0" collapsedLevelsAreSubtotals="1" fieldPosition="0">
        <references count="1">
          <reference field="4294967294" count="1" selected="0">
            <x v="3"/>
          </reference>
        </references>
      </pivotArea>
    </format>
    <format dxfId="104">
      <pivotArea dataOnly="0" labelOnly="1" outline="0" fieldPosition="0">
        <references count="1">
          <reference field="4294967294" count="1">
            <x v="3"/>
          </reference>
        </references>
      </pivotArea>
    </format>
    <format dxfId="103">
      <pivotArea outline="0" collapsedLevelsAreSubtotals="1" fieldPosition="0">
        <references count="1">
          <reference field="4294967294" count="1" selected="0">
            <x v="6"/>
          </reference>
        </references>
      </pivotArea>
    </format>
    <format dxfId="102">
      <pivotArea dataOnly="0" labelOnly="1" outline="0" fieldPosition="0">
        <references count="1">
          <reference field="4294967294" count="1">
            <x v="6"/>
          </reference>
        </references>
      </pivotArea>
    </format>
    <format dxfId="101">
      <pivotArea outline="0" collapsedLevelsAreSubtotals="1" fieldPosition="0">
        <references count="1">
          <reference field="4294967294" count="1" selected="0">
            <x v="9"/>
          </reference>
        </references>
      </pivotArea>
    </format>
    <format dxfId="100">
      <pivotArea dataOnly="0" labelOnly="1" outline="0" fieldPosition="0">
        <references count="1">
          <reference field="4294967294" count="1">
            <x v="9"/>
          </reference>
        </references>
      </pivotArea>
    </format>
    <format dxfId="99">
      <pivotArea outline="0" collapsedLevelsAreSubtotals="1" fieldPosition="0">
        <references count="1">
          <reference field="4294967294" count="1" selected="0">
            <x v="12"/>
          </reference>
        </references>
      </pivotArea>
    </format>
    <format dxfId="98">
      <pivotArea dataOnly="0" labelOnly="1" outline="0" fieldPosition="0">
        <references count="1">
          <reference field="4294967294" count="1">
            <x v="12"/>
          </reference>
        </references>
      </pivotArea>
    </format>
    <format dxfId="97">
      <pivotArea outline="0" collapsedLevelsAreSubtotals="1" fieldPosition="0">
        <references count="1">
          <reference field="4294967294" count="1" selected="0">
            <x v="15"/>
          </reference>
        </references>
      </pivotArea>
    </format>
    <format dxfId="96">
      <pivotArea dataOnly="0" labelOnly="1" outline="0" fieldPosition="0">
        <references count="1">
          <reference field="4294967294" count="1">
            <x v="15"/>
          </reference>
        </references>
      </pivotArea>
    </format>
    <format dxfId="95">
      <pivotArea dataOnly="0" labelOnly="1" outline="0" fieldPosition="0">
        <references count="1">
          <reference field="4294967294" count="3">
            <x v="3"/>
            <x v="4"/>
            <x v="5"/>
          </reference>
        </references>
      </pivotArea>
    </format>
    <format dxfId="94">
      <pivotArea dataOnly="0" labelOnly="1" outline="0" fieldPosition="0">
        <references count="1">
          <reference field="4294967294" count="3">
            <x v="9"/>
            <x v="10"/>
            <x v="11"/>
          </reference>
        </references>
      </pivotArea>
    </format>
    <format dxfId="93">
      <pivotArea dataOnly="0" labelOnly="1" outline="0" fieldPosition="0">
        <references count="1">
          <reference field="4294967294" count="3">
            <x v="15"/>
            <x v="16"/>
            <x v="17"/>
          </reference>
        </references>
      </pivotArea>
    </format>
    <format dxfId="92">
      <pivotArea field="4" type="button" dataOnly="0" labelOnly="1" outline="0" axis="axisRow" fieldPosition="0"/>
    </format>
    <format dxfId="91">
      <pivotArea dataOnly="0" labelOnly="1" fieldPosition="0">
        <references count="1">
          <reference field="4" count="1">
            <x v="0"/>
          </reference>
        </references>
      </pivotArea>
    </format>
    <format dxfId="90">
      <pivotArea dataOnly="0" labelOnly="1" grandRow="1" outline="0" fieldPosition="0"/>
    </format>
    <format dxfId="89">
      <pivotArea dataOnly="0" labelOnly="1" outline="0" fieldPosition="0">
        <references count="1">
          <reference field="4294967294" count="1">
            <x v="0"/>
          </reference>
        </references>
      </pivotArea>
    </format>
    <format dxfId="88">
      <pivotArea field="4" type="button" dataOnly="0" labelOnly="1" outline="0" axis="axisRow" fieldPosition="0"/>
    </format>
    <format dxfId="87">
      <pivotArea outline="0" fieldPosition="0">
        <references count="1">
          <reference field="4294967294" count="1">
            <x v="0"/>
          </reference>
        </references>
      </pivotArea>
    </format>
    <format dxfId="86">
      <pivotArea outline="0" fieldPosition="0">
        <references count="1">
          <reference field="4294967294" count="1">
            <x v="1"/>
          </reference>
        </references>
      </pivotArea>
    </format>
    <format dxfId="85">
      <pivotArea outline="0" fieldPosition="0">
        <references count="1">
          <reference field="4294967294" count="1">
            <x v="2"/>
          </reference>
        </references>
      </pivotArea>
    </format>
    <format dxfId="84">
      <pivotArea outline="0" fieldPosition="0">
        <references count="1">
          <reference field="4294967294" count="1">
            <x v="3"/>
          </reference>
        </references>
      </pivotArea>
    </format>
    <format dxfId="83">
      <pivotArea outline="0" fieldPosition="0">
        <references count="1">
          <reference field="4294967294" count="1">
            <x v="4"/>
          </reference>
        </references>
      </pivotArea>
    </format>
    <format dxfId="82">
      <pivotArea outline="0" fieldPosition="0">
        <references count="1">
          <reference field="4294967294" count="1">
            <x v="5"/>
          </reference>
        </references>
      </pivotArea>
    </format>
    <format dxfId="81">
      <pivotArea outline="0" fieldPosition="0">
        <references count="1">
          <reference field="4294967294" count="1">
            <x v="6"/>
          </reference>
        </references>
      </pivotArea>
    </format>
    <format dxfId="80">
      <pivotArea outline="0" fieldPosition="0">
        <references count="1">
          <reference field="4294967294" count="1">
            <x v="7"/>
          </reference>
        </references>
      </pivotArea>
    </format>
    <format dxfId="79">
      <pivotArea outline="0" fieldPosition="0">
        <references count="1">
          <reference field="4294967294" count="1">
            <x v="8"/>
          </reference>
        </references>
      </pivotArea>
    </format>
    <format dxfId="78">
      <pivotArea outline="0" fieldPosition="0">
        <references count="1">
          <reference field="4294967294" count="1">
            <x v="9"/>
          </reference>
        </references>
      </pivotArea>
    </format>
    <format dxfId="77">
      <pivotArea outline="0" fieldPosition="0">
        <references count="1">
          <reference field="4294967294" count="1">
            <x v="10"/>
          </reference>
        </references>
      </pivotArea>
    </format>
    <format dxfId="76">
      <pivotArea outline="0" fieldPosition="0">
        <references count="1">
          <reference field="4294967294" count="1">
            <x v="11"/>
          </reference>
        </references>
      </pivotArea>
    </format>
    <format dxfId="75">
      <pivotArea outline="0" fieldPosition="0">
        <references count="1">
          <reference field="4294967294" count="1">
            <x v="12"/>
          </reference>
        </references>
      </pivotArea>
    </format>
    <format dxfId="74">
      <pivotArea outline="0" fieldPosition="0">
        <references count="1">
          <reference field="4294967294" count="1">
            <x v="13"/>
          </reference>
        </references>
      </pivotArea>
    </format>
    <format dxfId="73">
      <pivotArea outline="0" fieldPosition="0">
        <references count="1">
          <reference field="4294967294" count="1">
            <x v="14"/>
          </reference>
        </references>
      </pivotArea>
    </format>
    <format dxfId="72">
      <pivotArea outline="0" fieldPosition="0">
        <references count="1">
          <reference field="4294967294" count="1">
            <x v="15"/>
          </reference>
        </references>
      </pivotArea>
    </format>
    <format dxfId="71">
      <pivotArea outline="0" fieldPosition="0">
        <references count="1">
          <reference field="4294967294" count="1">
            <x v="16"/>
          </reference>
        </references>
      </pivotArea>
    </format>
    <format dxfId="7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47">
      <pivotArea dataOnly="0" labelOnly="1" outline="0" fieldPosition="0">
        <references count="1">
          <reference field="4294967294" count="3">
            <x v="3"/>
            <x v="4"/>
            <x v="5"/>
          </reference>
        </references>
      </pivotArea>
    </format>
    <format dxfId="146">
      <pivotArea dataOnly="0" labelOnly="1" outline="0" fieldPosition="0">
        <references count="1">
          <reference field="4294967294" count="3">
            <x v="9"/>
            <x v="10"/>
            <x v="11"/>
          </reference>
        </references>
      </pivotArea>
    </format>
    <format dxfId="145">
      <pivotArea dataOnly="0" labelOnly="1" outline="0" fieldPosition="0">
        <references count="1">
          <reference field="4294967294" count="3">
            <x v="15"/>
            <x v="16"/>
            <x v="17"/>
          </reference>
        </references>
      </pivotArea>
    </format>
    <format dxfId="144">
      <pivotArea field="4" type="button" dataOnly="0" labelOnly="1" outline="0" axis="axisPage" fieldPosition="2"/>
    </format>
    <format dxfId="143">
      <pivotArea dataOnly="0" labelOnly="1" fieldPosition="0">
        <references count="1">
          <reference field="4" count="1">
            <x v="0"/>
          </reference>
        </references>
      </pivotArea>
    </format>
    <format dxfId="142">
      <pivotArea dataOnly="0" labelOnly="1" outline="0" fieldPosition="0">
        <references count="1">
          <reference field="4294967294" count="1">
            <x v="0"/>
          </reference>
        </references>
      </pivotArea>
    </format>
    <format dxfId="141">
      <pivotArea field="4" type="button" dataOnly="0" labelOnly="1" outline="0" axis="axisPage" fieldPosition="2"/>
    </format>
    <format dxfId="140">
      <pivotArea field="2" type="button" dataOnly="0" labelOnly="1" outline="0" axis="axisRow" fieldPosition="0"/>
    </format>
    <format dxfId="139">
      <pivotArea dataOnly="0" labelOnly="1" fieldPosition="0">
        <references count="1">
          <reference field="2" count="1">
            <x v="0"/>
          </reference>
        </references>
      </pivotArea>
    </format>
    <format dxfId="138">
      <pivotArea dataOnly="0" labelOnly="1" grandRow="1" outline="0" fieldPosition="0"/>
    </format>
    <format dxfId="137">
      <pivotArea outline="0" collapsedLevelsAreSubtotals="1" fieldPosition="0">
        <references count="1">
          <reference field="4294967294" count="1" selected="0">
            <x v="3"/>
          </reference>
        </references>
      </pivotArea>
    </format>
    <format dxfId="136">
      <pivotArea dataOnly="0" labelOnly="1" outline="0" fieldPosition="0">
        <references count="1">
          <reference field="4294967294" count="1">
            <x v="3"/>
          </reference>
        </references>
      </pivotArea>
    </format>
    <format dxfId="135">
      <pivotArea outline="0" collapsedLevelsAreSubtotals="1" fieldPosition="0">
        <references count="1">
          <reference field="4294967294" count="1" selected="0">
            <x v="6"/>
          </reference>
        </references>
      </pivotArea>
    </format>
    <format dxfId="134">
      <pivotArea dataOnly="0" labelOnly="1" outline="0" fieldPosition="0">
        <references count="1">
          <reference field="4294967294" count="1">
            <x v="6"/>
          </reference>
        </references>
      </pivotArea>
    </format>
    <format dxfId="133">
      <pivotArea outline="0" collapsedLevelsAreSubtotals="1" fieldPosition="0">
        <references count="1">
          <reference field="4294967294" count="1" selected="0">
            <x v="9"/>
          </reference>
        </references>
      </pivotArea>
    </format>
    <format dxfId="132">
      <pivotArea dataOnly="0" labelOnly="1" outline="0" fieldPosition="0">
        <references count="1">
          <reference field="4294967294" count="1">
            <x v="9"/>
          </reference>
        </references>
      </pivotArea>
    </format>
    <format dxfId="131">
      <pivotArea outline="0" collapsedLevelsAreSubtotals="1" fieldPosition="0">
        <references count="1">
          <reference field="4294967294" count="1" selected="0">
            <x v="12"/>
          </reference>
        </references>
      </pivotArea>
    </format>
    <format dxfId="130">
      <pivotArea dataOnly="0" labelOnly="1" outline="0" fieldPosition="0">
        <references count="1">
          <reference field="4294967294" count="1">
            <x v="12"/>
          </reference>
        </references>
      </pivotArea>
    </format>
    <format dxfId="129">
      <pivotArea outline="0" collapsedLevelsAreSubtotals="1" fieldPosition="0">
        <references count="1">
          <reference field="4294967294" count="1" selected="0">
            <x v="15"/>
          </reference>
        </references>
      </pivotArea>
    </format>
    <format dxfId="128">
      <pivotArea dataOnly="0" labelOnly="1" outline="0" fieldPosition="0">
        <references count="1">
          <reference field="4294967294" count="1">
            <x v="15"/>
          </reference>
        </references>
      </pivotArea>
    </format>
    <format dxfId="127">
      <pivotArea outline="0" collapsedLevelsAreSubtotals="1" fieldPosition="0">
        <references count="1">
          <reference field="4294967294" count="1" selected="0">
            <x v="17"/>
          </reference>
        </references>
      </pivotArea>
    </format>
    <format dxfId="126">
      <pivotArea dataOnly="0" labelOnly="1" outline="0" fieldPosition="0">
        <references count="1">
          <reference field="4294967294" count="1">
            <x v="17"/>
          </reference>
        </references>
      </pivotArea>
    </format>
    <format dxfId="125">
      <pivotArea outline="0" fieldPosition="0">
        <references count="1">
          <reference field="4294967294" count="1">
            <x v="0"/>
          </reference>
        </references>
      </pivotArea>
    </format>
    <format dxfId="124">
      <pivotArea outline="0" fieldPosition="0">
        <references count="1">
          <reference field="4294967294" count="1">
            <x v="1"/>
          </reference>
        </references>
      </pivotArea>
    </format>
    <format dxfId="123">
      <pivotArea collapsedLevelsAreSubtotals="1" fieldPosition="0">
        <references count="2">
          <reference field="4294967294" count="1" selected="0">
            <x v="0"/>
          </reference>
          <reference field="2" count="1">
            <x v="2"/>
          </reference>
        </references>
      </pivotArea>
    </format>
    <format dxfId="122">
      <pivotArea collapsedLevelsAreSubtotals="1" fieldPosition="0">
        <references count="2">
          <reference field="4294967294" count="1" selected="0">
            <x v="1"/>
          </reference>
          <reference field="2" count="1">
            <x v="2"/>
          </reference>
        </references>
      </pivotArea>
    </format>
    <format dxfId="121">
      <pivotArea outline="0" fieldPosition="0">
        <references count="1">
          <reference field="4294967294" count="1">
            <x v="2"/>
          </reference>
        </references>
      </pivotArea>
    </format>
    <format dxfId="120">
      <pivotArea outline="0" fieldPosition="0">
        <references count="1">
          <reference field="4294967294" count="1">
            <x v="3"/>
          </reference>
        </references>
      </pivotArea>
    </format>
    <format dxfId="119">
      <pivotArea outline="0" fieldPosition="0">
        <references count="1">
          <reference field="4294967294" count="1">
            <x v="4"/>
          </reference>
        </references>
      </pivotArea>
    </format>
    <format dxfId="118">
      <pivotArea outline="0" fieldPosition="0">
        <references count="1">
          <reference field="4294967294" count="1">
            <x v="5"/>
          </reference>
        </references>
      </pivotArea>
    </format>
    <format dxfId="117">
      <pivotArea outline="0" fieldPosition="0">
        <references count="1">
          <reference field="4294967294" count="1">
            <x v="6"/>
          </reference>
        </references>
      </pivotArea>
    </format>
    <format dxfId="116">
      <pivotArea outline="0" fieldPosition="0">
        <references count="1">
          <reference field="4294967294" count="1">
            <x v="7"/>
          </reference>
        </references>
      </pivotArea>
    </format>
    <format dxfId="115">
      <pivotArea outline="0" fieldPosition="0">
        <references count="1">
          <reference field="4294967294" count="1">
            <x v="8"/>
          </reference>
        </references>
      </pivotArea>
    </format>
    <format dxfId="114">
      <pivotArea outline="0" fieldPosition="0">
        <references count="1">
          <reference field="4294967294" count="1">
            <x v="9"/>
          </reference>
        </references>
      </pivotArea>
    </format>
    <format dxfId="113">
      <pivotArea outline="0" fieldPosition="0">
        <references count="1">
          <reference field="4294967294" count="1">
            <x v="10"/>
          </reference>
        </references>
      </pivotArea>
    </format>
    <format dxfId="112">
      <pivotArea outline="0" fieldPosition="0">
        <references count="1">
          <reference field="4294967294" count="1">
            <x v="11"/>
          </reference>
        </references>
      </pivotArea>
    </format>
    <format dxfId="111">
      <pivotArea outline="0" fieldPosition="0">
        <references count="1">
          <reference field="4294967294" count="1">
            <x v="12"/>
          </reference>
        </references>
      </pivotArea>
    </format>
    <format dxfId="110">
      <pivotArea outline="0" fieldPosition="0">
        <references count="1">
          <reference field="4294967294" count="1">
            <x v="13"/>
          </reference>
        </references>
      </pivotArea>
    </format>
    <format dxfId="109">
      <pivotArea outline="0" fieldPosition="0">
        <references count="1">
          <reference field="4294967294" count="1">
            <x v="14"/>
          </reference>
        </references>
      </pivotArea>
    </format>
    <format dxfId="108">
      <pivotArea outline="0" fieldPosition="0">
        <references count="1">
          <reference field="4294967294" count="1">
            <x v="15"/>
          </reference>
        </references>
      </pivotArea>
    </format>
    <format dxfId="107">
      <pivotArea outline="0" fieldPosition="0">
        <references count="1">
          <reference field="4294967294" count="1">
            <x v="16"/>
          </reference>
        </references>
      </pivotArea>
    </format>
    <format dxfId="10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6.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7.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66">
      <pivotArea dataOnly="0" labelOnly="1" outline="0" axis="axisValues" fieldPosition="0"/>
    </format>
    <format dxfId="65">
      <pivotArea dataOnly="0" outline="0" axis="axisValues" fieldPosition="0"/>
    </format>
    <format dxfId="6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69">
      <pivotArea dataOnly="0" labelOnly="1" outline="0" axis="axisValues" fieldPosition="0"/>
    </format>
    <format dxfId="68">
      <pivotArea outline="0" fieldPosition="0">
        <references count="1">
          <reference field="4294967294" count="1">
            <x v="0"/>
          </reference>
        </references>
      </pivotArea>
    </format>
    <format dxfId="6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60">
      <pivotArea dataOnly="0" labelOnly="1" outline="0" axis="axisValues" fieldPosition="0"/>
    </format>
    <format dxfId="59">
      <pivotArea outline="0" fieldPosition="0">
        <references count="1">
          <reference field="4294967294" count="1">
            <x v="0"/>
          </reference>
        </references>
      </pivotArea>
    </format>
    <format dxfId="5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63">
      <pivotArea dataOnly="0" labelOnly="1" outline="0" axis="axisValues" fieldPosition="0"/>
    </format>
    <format dxfId="62">
      <pivotArea dataOnly="0" outline="0" axis="axisValues" fieldPosition="0"/>
    </format>
    <format dxfId="6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69.xml"/><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10" Type="http://schemas.openxmlformats.org/officeDocument/2006/relationships/printerSettings" Target="../printerSettings/printerSettings16.bin"/><Relationship Id="rId4" Type="http://schemas.openxmlformats.org/officeDocument/2006/relationships/pivotTable" Target="../pivotTables/pivotTable65.xml"/><Relationship Id="rId9"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5" Type="http://schemas.openxmlformats.org/officeDocument/2006/relationships/pivotTable" Target="../pivotTables/pivotTable75.xml"/><Relationship Id="rId10" Type="http://schemas.openxmlformats.org/officeDocument/2006/relationships/printerSettings" Target="../printerSettings/printerSettings17.bin"/><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8.xml"/><Relationship Id="rId7" Type="http://schemas.openxmlformats.org/officeDocument/2006/relationships/printerSettings" Target="../printerSettings/printerSettings19.bin"/><Relationship Id="rId2" Type="http://schemas.openxmlformats.org/officeDocument/2006/relationships/pivotTable" Target="../pivotTables/pivotTable87.xml"/><Relationship Id="rId1" Type="http://schemas.openxmlformats.org/officeDocument/2006/relationships/pivotTable" Target="../pivotTables/pivotTable86.xml"/><Relationship Id="rId6" Type="http://schemas.openxmlformats.org/officeDocument/2006/relationships/pivotTable" Target="../pivotTables/pivotTable91.xml"/><Relationship Id="rId5" Type="http://schemas.openxmlformats.org/officeDocument/2006/relationships/pivotTable" Target="../pivotTables/pivotTable90.xml"/><Relationship Id="rId4" Type="http://schemas.openxmlformats.org/officeDocument/2006/relationships/pivotTable" Target="../pivotTables/pivotTable8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4.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rinterSettings" Target="../printerSettings/printerSettings20.bin"/><Relationship Id="rId5" Type="http://schemas.openxmlformats.org/officeDocument/2006/relationships/pivotTable" Target="../pivotTables/pivotTable96.xml"/><Relationship Id="rId4" Type="http://schemas.openxmlformats.org/officeDocument/2006/relationships/pivotTable" Target="../pivotTables/pivotTable95.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1.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104.xml"/><Relationship Id="rId2" Type="http://schemas.openxmlformats.org/officeDocument/2006/relationships/pivotTable" Target="../pivotTables/pivotTable103.xml"/><Relationship Id="rId1" Type="http://schemas.openxmlformats.org/officeDocument/2006/relationships/pivotTable" Target="../pivotTables/pivotTable102.xml"/><Relationship Id="rId5" Type="http://schemas.openxmlformats.org/officeDocument/2006/relationships/printerSettings" Target="../printerSettings/printerSettings22.bin"/><Relationship Id="rId4" Type="http://schemas.openxmlformats.org/officeDocument/2006/relationships/pivotTable" Target="../pivotTables/pivotTable105.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3.xml"/><Relationship Id="rId3" Type="http://schemas.openxmlformats.org/officeDocument/2006/relationships/pivotTable" Target="../pivotTables/pivotTable108.xml"/><Relationship Id="rId7" Type="http://schemas.openxmlformats.org/officeDocument/2006/relationships/pivotTable" Target="../pivotTables/pivotTable112.xml"/><Relationship Id="rId2" Type="http://schemas.openxmlformats.org/officeDocument/2006/relationships/pivotTable" Target="../pivotTables/pivotTable107.xml"/><Relationship Id="rId1" Type="http://schemas.openxmlformats.org/officeDocument/2006/relationships/pivotTable" Target="../pivotTables/pivotTable106.xml"/><Relationship Id="rId6" Type="http://schemas.openxmlformats.org/officeDocument/2006/relationships/pivotTable" Target="../pivotTables/pivotTable111.xml"/><Relationship Id="rId11" Type="http://schemas.openxmlformats.org/officeDocument/2006/relationships/printerSettings" Target="../printerSettings/printerSettings23.bin"/><Relationship Id="rId5" Type="http://schemas.openxmlformats.org/officeDocument/2006/relationships/pivotTable" Target="../pivotTables/pivotTable110.xml"/><Relationship Id="rId10" Type="http://schemas.openxmlformats.org/officeDocument/2006/relationships/pivotTable" Target="../pivotTables/pivotTable115.xml"/><Relationship Id="rId4" Type="http://schemas.openxmlformats.org/officeDocument/2006/relationships/pivotTable" Target="../pivotTables/pivotTable109.xml"/><Relationship Id="rId9" Type="http://schemas.openxmlformats.org/officeDocument/2006/relationships/pivotTable" Target="../pivotTables/pivotTable114.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17.xml"/><Relationship Id="rId1" Type="http://schemas.openxmlformats.org/officeDocument/2006/relationships/pivotTable" Target="../pivotTables/pivotTable116.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ivotTable" Target="../pivotTables/pivotTable119.xml"/><Relationship Id="rId1" Type="http://schemas.openxmlformats.org/officeDocument/2006/relationships/pivotTable" Target="../pivotTables/pivotTable118.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2.xml"/><Relationship Id="rId7" Type="http://schemas.openxmlformats.org/officeDocument/2006/relationships/printerSettings" Target="../printerSettings/printerSettings26.bin"/><Relationship Id="rId2" Type="http://schemas.openxmlformats.org/officeDocument/2006/relationships/pivotTable" Target="../pivotTables/pivotTable121.xml"/><Relationship Id="rId1" Type="http://schemas.openxmlformats.org/officeDocument/2006/relationships/pivotTable" Target="../pivotTables/pivotTable120.xml"/><Relationship Id="rId6" Type="http://schemas.openxmlformats.org/officeDocument/2006/relationships/pivotTable" Target="../pivotTables/pivotTable125.xml"/><Relationship Id="rId5" Type="http://schemas.openxmlformats.org/officeDocument/2006/relationships/pivotTable" Target="../pivotTables/pivotTable124.xml"/><Relationship Id="rId4" Type="http://schemas.openxmlformats.org/officeDocument/2006/relationships/pivotTable" Target="../pivotTables/pivotTable123.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27.xml"/><Relationship Id="rId1" Type="http://schemas.openxmlformats.org/officeDocument/2006/relationships/pivotTable" Target="../pivotTables/pivotTable126.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29.xml"/><Relationship Id="rId1" Type="http://schemas.openxmlformats.org/officeDocument/2006/relationships/pivotTable" Target="../pivotTables/pivotTable128.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31.xml"/><Relationship Id="rId1" Type="http://schemas.openxmlformats.org/officeDocument/2006/relationships/pivotTable" Target="../pivotTables/pivotTable130.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33.xml"/><Relationship Id="rId1" Type="http://schemas.openxmlformats.org/officeDocument/2006/relationships/pivotTable" Target="../pivotTables/pivotTable132.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35.xml"/><Relationship Id="rId1" Type="http://schemas.openxmlformats.org/officeDocument/2006/relationships/pivotTable" Target="../pivotTables/pivotTable134.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38.xml"/><Relationship Id="rId2" Type="http://schemas.openxmlformats.org/officeDocument/2006/relationships/pivotTable" Target="../pivotTables/pivotTable137.xml"/><Relationship Id="rId1" Type="http://schemas.openxmlformats.org/officeDocument/2006/relationships/pivotTable" Target="../pivotTables/pivotTable136.xml"/><Relationship Id="rId4"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41.xml"/><Relationship Id="rId2" Type="http://schemas.openxmlformats.org/officeDocument/2006/relationships/pivotTable" Target="../pivotTables/pivotTable140.xml"/><Relationship Id="rId1" Type="http://schemas.openxmlformats.org/officeDocument/2006/relationships/pivotTable" Target="../pivotTables/pivotTable139.xml"/><Relationship Id="rId4"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44.xml"/><Relationship Id="rId2" Type="http://schemas.openxmlformats.org/officeDocument/2006/relationships/pivotTable" Target="../pivotTables/pivotTable143.xml"/><Relationship Id="rId1" Type="http://schemas.openxmlformats.org/officeDocument/2006/relationships/pivotTable" Target="../pivotTables/pivotTable142.xml"/><Relationship Id="rId4"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59" t="s">
        <v>521</v>
      </c>
      <c r="C5" s="159"/>
      <c r="D5" s="159"/>
      <c r="F5" s="159" t="s">
        <v>522</v>
      </c>
      <c r="G5" s="159"/>
      <c r="H5" s="159"/>
      <c r="J5" s="159" t="s">
        <v>365</v>
      </c>
      <c r="K5" s="159"/>
      <c r="L5" s="159"/>
      <c r="N5" s="159" t="s">
        <v>515</v>
      </c>
      <c r="O5" s="159"/>
      <c r="P5" s="159"/>
      <c r="Q5" s="160"/>
      <c r="R5" s="160"/>
      <c r="S5" s="160"/>
      <c r="T5" s="160"/>
      <c r="U5" s="160"/>
      <c r="V5" s="160"/>
      <c r="W5" s="160"/>
      <c r="X5" s="160"/>
      <c r="Y5" s="160"/>
      <c r="Z5" s="160"/>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65" t="s">
        <v>236</v>
      </c>
      <c r="K1" s="163" t="s">
        <v>236</v>
      </c>
      <c r="L1" s="163" t="s">
        <v>236</v>
      </c>
      <c r="M1" s="164" t="s">
        <v>236</v>
      </c>
      <c r="N1" s="161" t="s">
        <v>237</v>
      </c>
      <c r="O1" s="162" t="s">
        <v>237</v>
      </c>
      <c r="P1" s="162" t="s">
        <v>237</v>
      </c>
      <c r="Q1" s="162" t="s">
        <v>237</v>
      </c>
      <c r="R1" s="162" t="s">
        <v>237</v>
      </c>
      <c r="S1" s="166" t="s">
        <v>237</v>
      </c>
      <c r="T1" s="167" t="s">
        <v>238</v>
      </c>
      <c r="U1" s="168" t="s">
        <v>238</v>
      </c>
      <c r="V1" s="168" t="s">
        <v>238</v>
      </c>
      <c r="W1" s="168" t="s">
        <v>238</v>
      </c>
      <c r="X1" s="169" t="s">
        <v>238</v>
      </c>
      <c r="Y1" s="170" t="s">
        <v>239</v>
      </c>
      <c r="Z1" s="168" t="s">
        <v>239</v>
      </c>
      <c r="AA1" s="163" t="s">
        <v>239</v>
      </c>
      <c r="AB1" s="169" t="s">
        <v>239</v>
      </c>
      <c r="AC1" s="170" t="s">
        <v>240</v>
      </c>
      <c r="AD1" s="163" t="s">
        <v>240</v>
      </c>
      <c r="AE1" s="163" t="s">
        <v>240</v>
      </c>
      <c r="AF1" s="164" t="s">
        <v>240</v>
      </c>
      <c r="AG1" s="167" t="s">
        <v>241</v>
      </c>
      <c r="AH1" s="168" t="s">
        <v>241</v>
      </c>
      <c r="AI1" s="168" t="s">
        <v>241</v>
      </c>
      <c r="AJ1" s="168" t="s">
        <v>241</v>
      </c>
      <c r="AK1" s="171" t="s">
        <v>241</v>
      </c>
      <c r="AL1" s="161" t="s">
        <v>242</v>
      </c>
      <c r="AM1" s="162" t="s">
        <v>242</v>
      </c>
      <c r="AN1" s="162" t="s">
        <v>242</v>
      </c>
      <c r="AO1" s="162" t="s">
        <v>242</v>
      </c>
      <c r="AP1" s="162" t="s">
        <v>242</v>
      </c>
      <c r="AQ1" s="163" t="s">
        <v>242</v>
      </c>
      <c r="AR1" s="163" t="s">
        <v>242</v>
      </c>
      <c r="AS1" s="164"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67" t="s">
        <v>89</v>
      </c>
      <c r="H1" s="172" t="s">
        <v>89</v>
      </c>
      <c r="I1" s="172" t="s">
        <v>89</v>
      </c>
      <c r="J1" s="171" t="s">
        <v>89</v>
      </c>
      <c r="K1" s="14"/>
      <c r="L1" s="173" t="s">
        <v>431</v>
      </c>
      <c r="M1" s="174" t="s">
        <v>431</v>
      </c>
      <c r="N1" s="174" t="s">
        <v>431</v>
      </c>
      <c r="O1" s="174"/>
      <c r="P1" s="174"/>
      <c r="Q1" s="175"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76" t="s">
        <v>377</v>
      </c>
      <c r="D1" s="177"/>
      <c r="E1" s="177"/>
      <c r="F1" s="177"/>
      <c r="G1" s="177"/>
      <c r="H1" s="177"/>
      <c r="I1" s="177"/>
      <c r="J1" s="177"/>
      <c r="L1" s="176" t="s">
        <v>365</v>
      </c>
      <c r="M1" s="177"/>
      <c r="N1" s="177"/>
      <c r="O1" s="177"/>
      <c r="P1" s="177"/>
      <c r="Q1" s="177"/>
      <c r="R1" s="177"/>
      <c r="S1" s="61"/>
      <c r="T1" s="176" t="s">
        <v>628</v>
      </c>
      <c r="U1" s="177"/>
      <c r="V1" s="177"/>
      <c r="W1" s="177"/>
    </row>
    <row r="2" spans="1:23">
      <c r="A2" s="30"/>
      <c r="B2" s="31"/>
      <c r="C2" s="149" t="s">
        <v>0</v>
      </c>
      <c r="D2" s="150" t="s">
        <v>16</v>
      </c>
      <c r="E2" s="53"/>
      <c r="F2" s="53"/>
      <c r="G2" s="149" t="s">
        <v>0</v>
      </c>
      <c r="H2" s="150" t="s">
        <v>16</v>
      </c>
      <c r="I2" s="53"/>
      <c r="J2" s="61"/>
      <c r="K2" s="61"/>
      <c r="L2" s="107" t="s">
        <v>0</v>
      </c>
      <c r="M2" s="108" t="s">
        <v>16</v>
      </c>
      <c r="N2" s="61"/>
      <c r="O2" s="61"/>
      <c r="P2" s="107" t="s">
        <v>0</v>
      </c>
      <c r="Q2" s="108" t="s">
        <v>16</v>
      </c>
      <c r="R2" s="61"/>
      <c r="S2" s="61"/>
      <c r="T2" s="149" t="s">
        <v>0</v>
      </c>
      <c r="U2" s="150" t="s">
        <v>16</v>
      </c>
      <c r="V2" s="135"/>
    </row>
    <row r="3" spans="1:23">
      <c r="A3" s="30"/>
      <c r="B3" s="30"/>
      <c r="C3" s="149" t="s">
        <v>1</v>
      </c>
      <c r="D3" s="150" t="s">
        <v>16</v>
      </c>
      <c r="G3" s="149" t="s">
        <v>1</v>
      </c>
      <c r="H3" s="150" t="s">
        <v>16</v>
      </c>
      <c r="L3" s="107" t="s">
        <v>1</v>
      </c>
      <c r="M3" s="108" t="s">
        <v>16</v>
      </c>
      <c r="P3" s="107" t="s">
        <v>1</v>
      </c>
      <c r="Q3" s="108" t="s">
        <v>16</v>
      </c>
      <c r="R3" s="57"/>
      <c r="T3" s="149" t="s">
        <v>1</v>
      </c>
      <c r="U3" s="150" t="s">
        <v>16</v>
      </c>
      <c r="V3" s="136"/>
    </row>
    <row r="4" spans="1:23">
      <c r="A4" s="30"/>
      <c r="B4" s="30"/>
      <c r="C4" s="149" t="s">
        <v>52</v>
      </c>
      <c r="D4" s="150" t="s">
        <v>16</v>
      </c>
      <c r="G4" s="149" t="s">
        <v>52</v>
      </c>
      <c r="H4" s="150" t="s">
        <v>16</v>
      </c>
      <c r="L4" s="107" t="s">
        <v>52</v>
      </c>
      <c r="M4" s="108" t="s">
        <v>16</v>
      </c>
      <c r="P4" s="107" t="s">
        <v>52</v>
      </c>
      <c r="Q4" s="108" t="s">
        <v>16</v>
      </c>
      <c r="R4" s="57"/>
      <c r="T4" s="149" t="s">
        <v>52</v>
      </c>
      <c r="U4" s="150" t="s">
        <v>16</v>
      </c>
      <c r="V4" s="136"/>
    </row>
    <row r="5" spans="1:23">
      <c r="A5" s="30"/>
      <c r="B5" s="30"/>
      <c r="C5" s="149" t="s">
        <v>3</v>
      </c>
      <c r="D5" s="150" t="s">
        <v>10</v>
      </c>
      <c r="G5" s="149" t="s">
        <v>3</v>
      </c>
      <c r="H5" s="150" t="s">
        <v>9</v>
      </c>
      <c r="L5" s="107" t="s">
        <v>3</v>
      </c>
      <c r="M5" s="108" t="s">
        <v>441</v>
      </c>
      <c r="P5" s="107" t="s">
        <v>3</v>
      </c>
      <c r="Q5" s="108" t="s">
        <v>367</v>
      </c>
      <c r="R5" s="57"/>
      <c r="T5" s="149" t="s">
        <v>3</v>
      </c>
      <c r="U5" s="150" t="s">
        <v>26</v>
      </c>
      <c r="V5" s="136"/>
    </row>
    <row r="6" spans="1:23">
      <c r="A6" s="30"/>
      <c r="B6" s="30"/>
      <c r="R6" s="57"/>
      <c r="T6" s="136"/>
      <c r="U6" s="136"/>
      <c r="V6" s="136"/>
    </row>
    <row r="7" spans="1:23">
      <c r="A7" s="24" t="s">
        <v>330</v>
      </c>
      <c r="B7" s="24" t="s">
        <v>94</v>
      </c>
      <c r="C7" s="149" t="s">
        <v>2</v>
      </c>
      <c r="D7" s="150" t="s">
        <v>302</v>
      </c>
      <c r="E7" s="150" t="s">
        <v>415</v>
      </c>
      <c r="G7" s="149" t="s">
        <v>2</v>
      </c>
      <c r="H7" s="150" t="s">
        <v>380</v>
      </c>
      <c r="I7" s="150" t="s">
        <v>376</v>
      </c>
      <c r="J7" s="150" t="s">
        <v>381</v>
      </c>
      <c r="L7" s="107" t="s">
        <v>2</v>
      </c>
      <c r="M7" s="108" t="s">
        <v>375</v>
      </c>
      <c r="N7" s="108" t="s">
        <v>415</v>
      </c>
      <c r="P7" s="107" t="s">
        <v>2</v>
      </c>
      <c r="Q7" s="108" t="s">
        <v>302</v>
      </c>
      <c r="R7" s="108" t="s">
        <v>415</v>
      </c>
      <c r="T7" s="149" t="s">
        <v>2</v>
      </c>
      <c r="U7" s="150" t="s">
        <v>625</v>
      </c>
      <c r="V7" s="150" t="s">
        <v>626</v>
      </c>
      <c r="W7" s="150" t="s">
        <v>627</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0">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0">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2"/>
  <sheetViews>
    <sheetView workbookViewId="0"/>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8.5703125" style="136" customWidth="1"/>
    <col min="13" max="13" width="11.42578125" style="136" customWidth="1"/>
    <col min="14" max="14" width="26" style="136" customWidth="1"/>
    <col min="15" max="15" width="20.42578125" style="136" customWidth="1"/>
    <col min="16" max="16" width="19.85546875" style="57" customWidth="1"/>
    <col min="17" max="17" width="9.140625" style="136"/>
    <col min="18" max="18" width="11.42578125" style="57" customWidth="1"/>
    <col min="19" max="19" width="17.85546875" style="57" customWidth="1"/>
    <col min="20" max="20" width="11.5703125" style="57" customWidth="1"/>
    <col min="21" max="21" width="17.5703125" style="57" customWidth="1"/>
    <col min="22" max="22" width="19.5703125" style="57" customWidth="1"/>
    <col min="23" max="23" width="6.85546875" style="57" customWidth="1"/>
    <col min="24" max="24" width="11.42578125" style="57" customWidth="1"/>
    <col min="25" max="25" width="19.5703125" style="57" customWidth="1"/>
    <col min="26" max="26" width="16.5703125" style="57" customWidth="1"/>
    <col min="27" max="27" width="24.28515625" style="57" customWidth="1"/>
    <col min="28" max="16384" width="9.140625" style="57"/>
  </cols>
  <sheetData>
    <row r="1" spans="1:29">
      <c r="A1" s="31"/>
      <c r="B1" s="176" t="s">
        <v>377</v>
      </c>
      <c r="C1" s="177"/>
      <c r="D1" s="177"/>
      <c r="E1" s="177"/>
      <c r="F1" s="177"/>
      <c r="G1" s="177"/>
      <c r="H1" s="61"/>
      <c r="I1" s="176" t="s">
        <v>365</v>
      </c>
      <c r="J1" s="177"/>
      <c r="K1" s="177"/>
      <c r="L1" s="135"/>
      <c r="M1" s="176" t="s">
        <v>628</v>
      </c>
      <c r="N1" s="177"/>
      <c r="O1" s="177"/>
      <c r="P1" s="177"/>
      <c r="Q1" s="135"/>
      <c r="R1" s="180" t="s">
        <v>488</v>
      </c>
      <c r="S1" s="181"/>
      <c r="T1" s="177"/>
      <c r="U1" s="177"/>
      <c r="V1" s="177"/>
      <c r="W1" s="177"/>
      <c r="X1" s="177"/>
      <c r="Y1" s="177"/>
      <c r="Z1" s="177"/>
      <c r="AA1" s="177"/>
      <c r="AB1" s="177"/>
      <c r="AC1" s="177"/>
    </row>
    <row r="2" spans="1:29">
      <c r="A2" s="31"/>
      <c r="B2" s="149" t="s">
        <v>0</v>
      </c>
      <c r="C2" s="150" t="s">
        <v>16</v>
      </c>
      <c r="D2" s="31"/>
      <c r="E2" s="31"/>
      <c r="F2" s="178" t="s">
        <v>0</v>
      </c>
      <c r="G2" s="179" t="s">
        <v>16</v>
      </c>
      <c r="I2" s="107" t="s">
        <v>0</v>
      </c>
      <c r="J2" s="108" t="s">
        <v>16</v>
      </c>
      <c r="K2" s="61"/>
      <c r="L2" s="135"/>
      <c r="M2" s="149" t="s">
        <v>0</v>
      </c>
      <c r="N2" s="150" t="s">
        <v>16</v>
      </c>
      <c r="R2" s="62"/>
      <c r="S2" s="62"/>
      <c r="T2" s="62"/>
      <c r="U2" s="62"/>
      <c r="V2" s="62"/>
      <c r="W2" s="62"/>
      <c r="X2" s="62"/>
      <c r="Y2" s="62"/>
      <c r="Z2" s="62"/>
      <c r="AA2" s="62"/>
      <c r="AB2" s="62"/>
      <c r="AC2" s="62"/>
    </row>
    <row r="3" spans="1:29">
      <c r="A3" s="31"/>
      <c r="B3" s="149" t="s">
        <v>1</v>
      </c>
      <c r="C3" s="150" t="s">
        <v>16</v>
      </c>
      <c r="D3" s="31"/>
      <c r="E3" s="31"/>
      <c r="F3" s="178" t="s">
        <v>1</v>
      </c>
      <c r="G3" s="179" t="s">
        <v>16</v>
      </c>
      <c r="I3" s="107" t="s">
        <v>1</v>
      </c>
      <c r="J3" s="108" t="s">
        <v>16</v>
      </c>
      <c r="K3" s="61"/>
      <c r="L3" s="135"/>
      <c r="M3" s="149" t="s">
        <v>1</v>
      </c>
      <c r="N3" s="150" t="s">
        <v>16</v>
      </c>
      <c r="O3" s="135"/>
      <c r="P3" s="136"/>
      <c r="R3" s="62"/>
      <c r="S3" s="63"/>
      <c r="T3" s="63"/>
      <c r="U3" s="63"/>
      <c r="V3" s="63"/>
      <c r="W3" s="63"/>
      <c r="X3" s="63"/>
      <c r="Y3" s="63"/>
      <c r="Z3" s="63"/>
      <c r="AA3" s="63"/>
      <c r="AB3" s="63"/>
      <c r="AC3" s="63"/>
    </row>
    <row r="4" spans="1:29">
      <c r="A4" s="31"/>
      <c r="B4" s="149" t="s">
        <v>2</v>
      </c>
      <c r="C4" s="150" t="s">
        <v>16</v>
      </c>
      <c r="F4" s="149" t="s">
        <v>2</v>
      </c>
      <c r="G4" s="150" t="s">
        <v>16</v>
      </c>
      <c r="I4" s="107" t="s">
        <v>2</v>
      </c>
      <c r="J4" s="108" t="s">
        <v>16</v>
      </c>
      <c r="M4" s="149" t="s">
        <v>2</v>
      </c>
      <c r="N4" s="150" t="s">
        <v>16</v>
      </c>
      <c r="P4" s="136"/>
      <c r="R4" s="31"/>
      <c r="S4" s="31"/>
      <c r="X4" s="31"/>
      <c r="Y4" s="31"/>
    </row>
    <row r="5" spans="1:29">
      <c r="A5" s="31"/>
      <c r="B5" s="149" t="s">
        <v>52</v>
      </c>
      <c r="C5" s="150" t="s">
        <v>16</v>
      </c>
      <c r="F5" s="149" t="s">
        <v>52</v>
      </c>
      <c r="G5" s="150" t="s">
        <v>16</v>
      </c>
      <c r="I5" s="107" t="s">
        <v>52</v>
      </c>
      <c r="J5" s="108" t="s">
        <v>16</v>
      </c>
      <c r="M5" s="149" t="s">
        <v>52</v>
      </c>
      <c r="N5" s="150" t="s">
        <v>16</v>
      </c>
      <c r="P5" s="136"/>
      <c r="R5" s="154" t="s">
        <v>0</v>
      </c>
      <c r="S5" s="155" t="s">
        <v>16</v>
      </c>
      <c r="X5" s="154" t="s">
        <v>0</v>
      </c>
      <c r="Y5" s="155" t="s">
        <v>16</v>
      </c>
    </row>
    <row r="6" spans="1:29">
      <c r="A6" s="31"/>
      <c r="B6" s="149" t="s">
        <v>3</v>
      </c>
      <c r="C6" s="150" t="s">
        <v>10</v>
      </c>
      <c r="F6" s="149" t="s">
        <v>3</v>
      </c>
      <c r="G6" s="150" t="s">
        <v>9</v>
      </c>
      <c r="I6" s="107" t="s">
        <v>3</v>
      </c>
      <c r="J6" s="108" t="s">
        <v>367</v>
      </c>
      <c r="M6" s="149" t="s">
        <v>3</v>
      </c>
      <c r="N6" s="150" t="s">
        <v>26</v>
      </c>
      <c r="P6" s="136"/>
      <c r="R6" s="154" t="s">
        <v>3</v>
      </c>
      <c r="S6" s="155" t="s">
        <v>310</v>
      </c>
      <c r="X6" s="154" t="s">
        <v>3</v>
      </c>
      <c r="Y6" s="155" t="s">
        <v>310</v>
      </c>
    </row>
    <row r="7" spans="1:29">
      <c r="A7" s="31"/>
      <c r="P7" s="136"/>
    </row>
    <row r="8" spans="1:29">
      <c r="A8" s="24" t="s">
        <v>122</v>
      </c>
      <c r="B8" s="149" t="s">
        <v>296</v>
      </c>
      <c r="C8" s="150" t="s">
        <v>302</v>
      </c>
      <c r="D8" s="150" t="s">
        <v>415</v>
      </c>
      <c r="F8" s="149" t="s">
        <v>296</v>
      </c>
      <c r="G8" t="s">
        <v>382</v>
      </c>
      <c r="I8" s="107" t="s">
        <v>2</v>
      </c>
      <c r="J8" s="108" t="s">
        <v>302</v>
      </c>
      <c r="K8" s="108" t="s">
        <v>415</v>
      </c>
      <c r="M8" s="149" t="s">
        <v>2</v>
      </c>
      <c r="N8" s="150" t="s">
        <v>629</v>
      </c>
      <c r="O8" s="150" t="s">
        <v>626</v>
      </c>
      <c r="P8" s="150" t="s">
        <v>627</v>
      </c>
      <c r="Q8" s="5"/>
      <c r="R8" s="154" t="s">
        <v>296</v>
      </c>
      <c r="S8" s="155" t="s">
        <v>312</v>
      </c>
      <c r="T8" s="155" t="s">
        <v>408</v>
      </c>
      <c r="U8" s="155" t="s">
        <v>311</v>
      </c>
      <c r="V8" s="155" t="s">
        <v>416</v>
      </c>
      <c r="X8" s="154" t="s">
        <v>296</v>
      </c>
      <c r="Y8" s="155" t="s">
        <v>313</v>
      </c>
      <c r="Z8" s="155" t="s">
        <v>314</v>
      </c>
      <c r="AA8" s="155" t="s">
        <v>315</v>
      </c>
    </row>
    <row r="9" spans="1:29">
      <c r="A9" s="29">
        <f>INDEX('Node Information'!J:$J,MATCH(B9,'Node Information'!$A:$A,0))</f>
        <v>6.5428240740740704E-2</v>
      </c>
      <c r="B9" s="4" t="s">
        <v>49</v>
      </c>
      <c r="C9" s="9">
        <v>2.5000000000000001E-2</v>
      </c>
      <c r="D9" s="9">
        <v>0</v>
      </c>
      <c r="E9" s="9"/>
      <c r="F9" s="4" t="s">
        <v>49</v>
      </c>
      <c r="G9" s="5">
        <v>23</v>
      </c>
      <c r="H9" s="5"/>
      <c r="I9" s="4" t="s">
        <v>49</v>
      </c>
      <c r="J9" s="9">
        <v>10</v>
      </c>
      <c r="K9" s="9">
        <v>0</v>
      </c>
      <c r="L9" s="9"/>
      <c r="M9" s="4" t="s">
        <v>49</v>
      </c>
      <c r="N9" s="5">
        <v>0</v>
      </c>
      <c r="O9" s="5">
        <v>0</v>
      </c>
      <c r="P9" s="5">
        <v>0</v>
      </c>
      <c r="Q9" s="5"/>
      <c r="R9" s="4" t="s">
        <v>49</v>
      </c>
      <c r="S9" s="5">
        <v>1</v>
      </c>
      <c r="T9" s="5">
        <v>0.5</v>
      </c>
      <c r="U9" s="5">
        <v>0</v>
      </c>
      <c r="V9" s="5">
        <v>0</v>
      </c>
      <c r="X9" s="4" t="s">
        <v>49</v>
      </c>
      <c r="Y9" s="5">
        <v>20388021892</v>
      </c>
      <c r="Z9" s="5">
        <v>0</v>
      </c>
      <c r="AA9" s="5">
        <v>0</v>
      </c>
    </row>
    <row r="10" spans="1:29">
      <c r="B10" s="4" t="s">
        <v>18</v>
      </c>
      <c r="C10" s="9">
        <v>2.5000000000000001E-2</v>
      </c>
      <c r="D10" s="9">
        <v>0</v>
      </c>
      <c r="E10" s="9"/>
      <c r="F10" s="4" t="s">
        <v>18</v>
      </c>
      <c r="G10" s="5">
        <v>23</v>
      </c>
      <c r="H10" s="5"/>
      <c r="I10" s="4" t="s">
        <v>18</v>
      </c>
      <c r="J10" s="9">
        <v>10</v>
      </c>
      <c r="K10" s="9">
        <v>0</v>
      </c>
      <c r="L10" s="9"/>
      <c r="M10" s="4" t="s">
        <v>18</v>
      </c>
      <c r="N10" s="5">
        <v>0</v>
      </c>
      <c r="O10" s="5">
        <v>0</v>
      </c>
      <c r="P10" s="5">
        <v>0</v>
      </c>
      <c r="R10" s="4" t="s">
        <v>18</v>
      </c>
      <c r="S10" s="5">
        <v>1</v>
      </c>
      <c r="T10" s="5">
        <v>0.5</v>
      </c>
      <c r="U10" s="5">
        <v>0</v>
      </c>
      <c r="V10" s="5">
        <v>0</v>
      </c>
      <c r="X10" s="4" t="s">
        <v>18</v>
      </c>
      <c r="Y10" s="5">
        <v>20388021892</v>
      </c>
      <c r="Z10" s="5">
        <v>0</v>
      </c>
      <c r="AA10" s="5">
        <v>0</v>
      </c>
    </row>
    <row r="15" spans="1:29">
      <c r="F15" s="61"/>
    </row>
    <row r="21" spans="4:6">
      <c r="D21" s="4"/>
      <c r="E21" s="5"/>
      <c r="F21" s="5"/>
    </row>
    <row r="22" spans="4:6">
      <c r="D22" s="4"/>
      <c r="E22" s="5"/>
      <c r="F22" s="5"/>
    </row>
  </sheetData>
  <mergeCells count="6">
    <mergeCell ref="F2:G2"/>
    <mergeCell ref="R1:AC1"/>
    <mergeCell ref="F3:G3"/>
    <mergeCell ref="B1:G1"/>
    <mergeCell ref="I1:K1"/>
    <mergeCell ref="M1:P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76" t="s">
        <v>377</v>
      </c>
      <c r="D1" s="177"/>
      <c r="E1" s="177"/>
      <c r="F1" s="177"/>
      <c r="G1" s="177"/>
      <c r="H1" s="177"/>
      <c r="I1" s="177"/>
      <c r="J1" s="177"/>
      <c r="K1" s="61"/>
      <c r="L1" s="176" t="s">
        <v>365</v>
      </c>
      <c r="M1" s="177"/>
      <c r="N1" s="177"/>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49" t="s">
        <v>0</v>
      </c>
      <c r="D2" s="150" t="s">
        <v>16</v>
      </c>
      <c r="E2" s="53"/>
      <c r="F2" s="53"/>
      <c r="G2" s="149" t="s">
        <v>0</v>
      </c>
      <c r="H2" s="150"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49" t="s">
        <v>1</v>
      </c>
      <c r="D3" s="150" t="s">
        <v>16</v>
      </c>
      <c r="G3" s="149" t="s">
        <v>1</v>
      </c>
      <c r="H3" s="150" t="s">
        <v>16</v>
      </c>
      <c r="L3" s="107" t="s">
        <v>1</v>
      </c>
      <c r="M3" s="108" t="s">
        <v>16</v>
      </c>
    </row>
    <row r="4" spans="1:40">
      <c r="A4" s="30"/>
      <c r="B4" s="30"/>
      <c r="C4" s="149" t="s">
        <v>52</v>
      </c>
      <c r="D4" s="150" t="s">
        <v>16</v>
      </c>
      <c r="G4" s="149" t="s">
        <v>52</v>
      </c>
      <c r="H4" s="150" t="s">
        <v>16</v>
      </c>
      <c r="L4" s="107" t="s">
        <v>52</v>
      </c>
      <c r="M4" s="108" t="s">
        <v>16</v>
      </c>
    </row>
    <row r="5" spans="1:40">
      <c r="A5" s="30"/>
      <c r="B5" s="30"/>
      <c r="C5" s="149" t="s">
        <v>3</v>
      </c>
      <c r="D5" s="150" t="s">
        <v>12</v>
      </c>
      <c r="G5" s="149" t="s">
        <v>3</v>
      </c>
      <c r="H5" s="150" t="s">
        <v>11</v>
      </c>
      <c r="L5" s="107" t="s">
        <v>3</v>
      </c>
      <c r="M5" s="108" t="s">
        <v>366</v>
      </c>
    </row>
    <row r="6" spans="1:40">
      <c r="A6" s="30"/>
      <c r="B6" s="30"/>
    </row>
    <row r="7" spans="1:40">
      <c r="A7" s="24" t="s">
        <v>330</v>
      </c>
      <c r="B7" s="24" t="s">
        <v>94</v>
      </c>
      <c r="C7" s="149" t="s">
        <v>2</v>
      </c>
      <c r="D7" s="150" t="s">
        <v>302</v>
      </c>
      <c r="E7" s="150" t="s">
        <v>415</v>
      </c>
      <c r="G7" s="149" t="s">
        <v>2</v>
      </c>
      <c r="H7" s="150" t="s">
        <v>378</v>
      </c>
      <c r="I7" s="150" t="s">
        <v>379</v>
      </c>
      <c r="J7" s="150" t="s">
        <v>383</v>
      </c>
      <c r="L7" s="107" t="s">
        <v>2</v>
      </c>
      <c r="M7" s="108" t="s">
        <v>302</v>
      </c>
      <c r="N7" s="108"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0">
        <v>2</v>
      </c>
      <c r="K8" s="5"/>
      <c r="L8" s="4" t="s">
        <v>50</v>
      </c>
      <c r="M8" s="9">
        <v>4.4999999999999998E-2</v>
      </c>
      <c r="N8" s="9">
        <v>0</v>
      </c>
      <c r="O8" s="5"/>
    </row>
    <row r="9" spans="1:40">
      <c r="C9" s="4" t="s">
        <v>18</v>
      </c>
      <c r="D9" s="9">
        <v>0.03</v>
      </c>
      <c r="E9" s="9">
        <v>0</v>
      </c>
      <c r="G9" s="4" t="s">
        <v>18</v>
      </c>
      <c r="H9" s="5">
        <v>2</v>
      </c>
      <c r="I9" s="5">
        <v>2</v>
      </c>
      <c r="J9" s="150">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76" t="s">
        <v>377</v>
      </c>
      <c r="C1" s="177"/>
      <c r="D1" s="177"/>
      <c r="E1" s="177"/>
      <c r="F1" s="177"/>
      <c r="G1" s="177"/>
      <c r="H1" s="61"/>
      <c r="I1" s="176" t="s">
        <v>365</v>
      </c>
      <c r="J1" s="177"/>
      <c r="K1" s="177"/>
      <c r="L1" s="61"/>
      <c r="M1" s="180" t="s">
        <v>489</v>
      </c>
      <c r="N1" s="181"/>
      <c r="O1" s="177"/>
      <c r="P1" s="177"/>
      <c r="Q1" s="177"/>
      <c r="R1" s="177"/>
      <c r="S1" s="177"/>
      <c r="T1" s="177"/>
      <c r="U1" s="177"/>
      <c r="V1" s="177"/>
    </row>
    <row r="2" spans="1:22" s="31" customFormat="1">
      <c r="B2" s="149" t="s">
        <v>0</v>
      </c>
      <c r="C2" s="150" t="s">
        <v>16</v>
      </c>
      <c r="F2" s="178" t="s">
        <v>0</v>
      </c>
      <c r="G2" s="179" t="s">
        <v>16</v>
      </c>
      <c r="H2" s="57"/>
      <c r="I2" s="107" t="s">
        <v>0</v>
      </c>
      <c r="J2" s="108" t="s">
        <v>16</v>
      </c>
      <c r="L2" s="57"/>
      <c r="M2" s="62"/>
      <c r="N2" s="62"/>
      <c r="O2" s="62"/>
      <c r="P2" s="62"/>
      <c r="Q2" s="62"/>
      <c r="R2" s="62"/>
      <c r="S2" s="62"/>
      <c r="T2" s="62"/>
      <c r="U2" s="62"/>
      <c r="V2" s="62"/>
    </row>
    <row r="3" spans="1:22" s="31" customFormat="1">
      <c r="B3" s="149" t="s">
        <v>1</v>
      </c>
      <c r="C3" s="150" t="s">
        <v>16</v>
      </c>
      <c r="F3" s="178" t="s">
        <v>1</v>
      </c>
      <c r="G3" s="179" t="s">
        <v>16</v>
      </c>
      <c r="H3" s="57"/>
      <c r="I3" s="107" t="s">
        <v>1</v>
      </c>
      <c r="J3" s="108" t="s">
        <v>16</v>
      </c>
      <c r="K3" s="61"/>
      <c r="L3" s="57"/>
      <c r="M3" s="62"/>
      <c r="N3" s="63"/>
      <c r="O3" s="63"/>
      <c r="P3" s="63"/>
      <c r="Q3" s="63"/>
      <c r="R3" s="63"/>
      <c r="S3" s="63"/>
      <c r="T3" s="63"/>
      <c r="U3" s="63"/>
      <c r="V3" s="63"/>
    </row>
    <row r="4" spans="1:22">
      <c r="A4" s="31"/>
      <c r="B4" s="149" t="s">
        <v>2</v>
      </c>
      <c r="C4" s="150" t="s">
        <v>16</v>
      </c>
      <c r="F4" s="149" t="s">
        <v>2</v>
      </c>
      <c r="G4" s="150" t="s">
        <v>16</v>
      </c>
      <c r="I4" s="107" t="s">
        <v>2</v>
      </c>
      <c r="J4" s="108" t="s">
        <v>16</v>
      </c>
      <c r="M4" s="31"/>
      <c r="N4" s="31"/>
    </row>
    <row r="5" spans="1:22">
      <c r="A5" s="31"/>
      <c r="B5" s="149" t="s">
        <v>52</v>
      </c>
      <c r="C5" s="150" t="s">
        <v>16</v>
      </c>
      <c r="F5" s="149" t="s">
        <v>52</v>
      </c>
      <c r="G5" s="150" t="s">
        <v>16</v>
      </c>
      <c r="I5" s="107" t="s">
        <v>52</v>
      </c>
      <c r="J5" s="108" t="s">
        <v>16</v>
      </c>
      <c r="M5" s="154" t="s">
        <v>0</v>
      </c>
      <c r="N5" s="155" t="s">
        <v>16</v>
      </c>
      <c r="S5" s="107" t="s">
        <v>0</v>
      </c>
      <c r="T5" s="108" t="s">
        <v>16</v>
      </c>
    </row>
    <row r="6" spans="1:22">
      <c r="A6" s="31"/>
      <c r="B6" s="149" t="s">
        <v>3</v>
      </c>
      <c r="C6" s="150" t="s">
        <v>12</v>
      </c>
      <c r="F6" s="149" t="s">
        <v>3</v>
      </c>
      <c r="G6" s="150" t="s">
        <v>11</v>
      </c>
      <c r="I6" s="107" t="s">
        <v>3</v>
      </c>
      <c r="J6" s="108" t="s">
        <v>366</v>
      </c>
      <c r="M6" s="154" t="s">
        <v>3</v>
      </c>
      <c r="N6" s="155" t="s">
        <v>310</v>
      </c>
      <c r="S6" s="107" t="s">
        <v>3</v>
      </c>
      <c r="T6" s="108" t="s">
        <v>310</v>
      </c>
    </row>
    <row r="7" spans="1:22">
      <c r="A7" s="31"/>
    </row>
    <row r="8" spans="1:22">
      <c r="A8" s="24" t="s">
        <v>122</v>
      </c>
      <c r="B8" s="149" t="s">
        <v>2</v>
      </c>
      <c r="C8" s="150" t="s">
        <v>302</v>
      </c>
      <c r="D8" s="150" t="s">
        <v>415</v>
      </c>
      <c r="F8" s="149" t="s">
        <v>296</v>
      </c>
      <c r="G8" t="s">
        <v>384</v>
      </c>
      <c r="I8" s="107" t="s">
        <v>2</v>
      </c>
      <c r="J8" s="108" t="s">
        <v>302</v>
      </c>
      <c r="K8" s="108" t="s">
        <v>415</v>
      </c>
      <c r="M8" s="154" t="s">
        <v>296</v>
      </c>
      <c r="N8" s="155" t="s">
        <v>312</v>
      </c>
      <c r="O8" s="155" t="s">
        <v>417</v>
      </c>
      <c r="P8" s="155" t="s">
        <v>311</v>
      </c>
      <c r="Q8" s="155"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82" t="s">
        <v>146</v>
      </c>
      <c r="C2" s="183"/>
      <c r="D2" s="183"/>
      <c r="E2" s="183"/>
      <c r="F2" s="183"/>
      <c r="G2" s="183"/>
      <c r="H2" s="183"/>
      <c r="I2" s="183"/>
      <c r="J2" s="183"/>
      <c r="K2" s="183"/>
      <c r="L2" s="176" t="s">
        <v>377</v>
      </c>
      <c r="M2" s="177"/>
      <c r="N2" s="177"/>
      <c r="O2" s="53"/>
    </row>
    <row r="3" spans="1:15">
      <c r="A3" s="30"/>
      <c r="B3" s="54"/>
      <c r="C3" s="55"/>
      <c r="D3" s="55"/>
      <c r="E3" s="55"/>
      <c r="F3" s="55"/>
      <c r="G3" s="55"/>
      <c r="H3" s="55"/>
      <c r="I3" s="55"/>
      <c r="J3" s="55"/>
      <c r="K3" s="55"/>
      <c r="L3" s="149" t="s">
        <v>0</v>
      </c>
      <c r="M3" s="150" t="s">
        <v>16</v>
      </c>
      <c r="N3" s="53"/>
      <c r="O3" s="49"/>
    </row>
    <row r="4" spans="1:15">
      <c r="A4" s="30"/>
      <c r="B4" s="149" t="s">
        <v>0</v>
      </c>
      <c r="C4" s="150" t="s">
        <v>16</v>
      </c>
      <c r="D4" s="33"/>
      <c r="E4" s="33"/>
      <c r="F4" s="149" t="s">
        <v>0</v>
      </c>
      <c r="G4" s="150" t="s">
        <v>16</v>
      </c>
      <c r="I4" s="149" t="s">
        <v>0</v>
      </c>
      <c r="J4" s="150" t="s">
        <v>16</v>
      </c>
      <c r="K4" s="33"/>
      <c r="L4" s="149" t="s">
        <v>1</v>
      </c>
      <c r="M4" s="150" t="s">
        <v>16</v>
      </c>
    </row>
    <row r="5" spans="1:15">
      <c r="A5" s="30"/>
      <c r="B5" s="149" t="s">
        <v>1</v>
      </c>
      <c r="C5" s="150" t="s">
        <v>16</v>
      </c>
      <c r="D5" s="33"/>
      <c r="E5" s="33"/>
      <c r="F5" s="149" t="s">
        <v>1</v>
      </c>
      <c r="G5" s="150" t="s">
        <v>16</v>
      </c>
      <c r="I5" s="149" t="s">
        <v>1</v>
      </c>
      <c r="J5" s="150" t="s">
        <v>16</v>
      </c>
      <c r="K5" s="33"/>
      <c r="L5" s="149" t="s">
        <v>52</v>
      </c>
      <c r="M5" s="150" t="s">
        <v>16</v>
      </c>
    </row>
    <row r="6" spans="1:15">
      <c r="A6" s="30"/>
      <c r="B6" s="149" t="s">
        <v>3</v>
      </c>
      <c r="C6" s="150" t="s">
        <v>113</v>
      </c>
      <c r="D6" s="33"/>
      <c r="E6" s="33"/>
      <c r="F6" s="149" t="s">
        <v>3</v>
      </c>
      <c r="G6" s="150" t="s">
        <v>115</v>
      </c>
      <c r="I6" s="149" t="s">
        <v>3</v>
      </c>
      <c r="J6" s="150" t="s">
        <v>144</v>
      </c>
      <c r="K6" s="33"/>
      <c r="L6" s="149" t="s">
        <v>3</v>
      </c>
      <c r="M6" s="150" t="s">
        <v>15</v>
      </c>
    </row>
    <row r="7" spans="1:15">
      <c r="A7" s="30"/>
    </row>
    <row r="8" spans="1:15">
      <c r="A8" s="24" t="s">
        <v>330</v>
      </c>
      <c r="B8" s="149" t="s">
        <v>2</v>
      </c>
      <c r="C8" s="150" t="s">
        <v>299</v>
      </c>
      <c r="D8" s="150" t="s">
        <v>418</v>
      </c>
      <c r="F8" s="149" t="s">
        <v>2</v>
      </c>
      <c r="G8" t="s">
        <v>298</v>
      </c>
      <c r="I8" s="149" t="s">
        <v>2</v>
      </c>
      <c r="J8" t="s">
        <v>297</v>
      </c>
      <c r="L8" s="149" t="s">
        <v>2</v>
      </c>
      <c r="M8" s="150" t="s">
        <v>300</v>
      </c>
      <c r="N8" s="150"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82" t="s">
        <v>146</v>
      </c>
      <c r="C1" s="183"/>
      <c r="D1" s="183"/>
      <c r="E1" s="183"/>
      <c r="F1" s="183"/>
      <c r="G1" s="183"/>
      <c r="H1" s="183"/>
      <c r="I1" s="183"/>
      <c r="J1" s="183"/>
      <c r="K1" s="183"/>
      <c r="L1" s="176" t="s">
        <v>377</v>
      </c>
      <c r="M1" s="177"/>
      <c r="N1" s="177"/>
    </row>
    <row r="2" spans="1:14">
      <c r="A2" s="31"/>
      <c r="B2" s="54"/>
      <c r="C2" s="55"/>
      <c r="D2" s="55"/>
      <c r="E2" s="55"/>
      <c r="F2" s="55"/>
      <c r="G2" s="55"/>
      <c r="H2" s="55"/>
      <c r="I2" s="55"/>
      <c r="J2" s="55"/>
      <c r="K2" s="55"/>
      <c r="L2" s="149" t="s">
        <v>0</v>
      </c>
      <c r="M2" s="150" t="s">
        <v>16</v>
      </c>
      <c r="N2" s="53"/>
    </row>
    <row r="3" spans="1:14">
      <c r="A3" s="31"/>
      <c r="B3" s="149" t="s">
        <v>0</v>
      </c>
      <c r="C3" s="150" t="s">
        <v>16</v>
      </c>
      <c r="F3" s="149" t="s">
        <v>0</v>
      </c>
      <c r="G3" s="150" t="s">
        <v>16</v>
      </c>
      <c r="I3" s="149" t="s">
        <v>0</v>
      </c>
      <c r="J3" s="150" t="s">
        <v>16</v>
      </c>
      <c r="L3" s="149" t="s">
        <v>1</v>
      </c>
      <c r="M3" s="150" t="s">
        <v>16</v>
      </c>
    </row>
    <row r="4" spans="1:14">
      <c r="A4" s="31"/>
      <c r="B4" s="149" t="s">
        <v>1</v>
      </c>
      <c r="C4" s="150" t="s">
        <v>16</v>
      </c>
      <c r="D4" s="33"/>
      <c r="E4" s="33"/>
      <c r="F4" s="149" t="s">
        <v>1</v>
      </c>
      <c r="G4" s="150" t="s">
        <v>16</v>
      </c>
      <c r="I4" s="149" t="s">
        <v>1</v>
      </c>
      <c r="J4" s="150" t="s">
        <v>16</v>
      </c>
      <c r="K4" s="33"/>
      <c r="L4" s="149" t="s">
        <v>2</v>
      </c>
      <c r="M4" s="150" t="s">
        <v>16</v>
      </c>
    </row>
    <row r="5" spans="1:14">
      <c r="A5" s="31"/>
      <c r="B5" s="149" t="s">
        <v>2</v>
      </c>
      <c r="C5" s="150" t="s">
        <v>16</v>
      </c>
      <c r="D5" s="33"/>
      <c r="E5" s="33"/>
      <c r="F5" s="149" t="s">
        <v>2</v>
      </c>
      <c r="G5" s="150" t="s">
        <v>16</v>
      </c>
      <c r="I5" s="149" t="s">
        <v>2</v>
      </c>
      <c r="J5" s="150" t="s">
        <v>16</v>
      </c>
      <c r="K5" s="33"/>
      <c r="L5" s="149" t="s">
        <v>52</v>
      </c>
      <c r="M5" s="150" t="s">
        <v>16</v>
      </c>
    </row>
    <row r="6" spans="1:14">
      <c r="A6" s="31"/>
      <c r="B6" s="149" t="s">
        <v>3</v>
      </c>
      <c r="C6" s="150" t="s">
        <v>113</v>
      </c>
      <c r="D6" s="33"/>
      <c r="E6" s="33"/>
      <c r="F6" s="149" t="s">
        <v>3</v>
      </c>
      <c r="G6" s="150" t="s">
        <v>115</v>
      </c>
      <c r="I6" s="149" t="s">
        <v>3</v>
      </c>
      <c r="J6" s="150" t="s">
        <v>144</v>
      </c>
      <c r="K6" s="33"/>
      <c r="L6" s="149" t="s">
        <v>3</v>
      </c>
      <c r="M6" s="150" t="s">
        <v>15</v>
      </c>
    </row>
    <row r="7" spans="1:14">
      <c r="A7" s="31"/>
    </row>
    <row r="8" spans="1:14">
      <c r="A8" s="24" t="s">
        <v>122</v>
      </c>
      <c r="B8" s="149" t="s">
        <v>296</v>
      </c>
      <c r="C8" s="150" t="s">
        <v>299</v>
      </c>
      <c r="D8" s="150" t="s">
        <v>415</v>
      </c>
      <c r="F8" s="149" t="s">
        <v>296</v>
      </c>
      <c r="G8" t="s">
        <v>298</v>
      </c>
      <c r="I8" s="149" t="s">
        <v>296</v>
      </c>
      <c r="J8" t="s">
        <v>297</v>
      </c>
      <c r="L8" s="149" t="s">
        <v>296</v>
      </c>
      <c r="M8" s="150" t="s">
        <v>300</v>
      </c>
      <c r="N8" s="150"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80" t="s">
        <v>308</v>
      </c>
      <c r="C3" s="160"/>
      <c r="D3" s="160"/>
      <c r="E3" s="160"/>
      <c r="F3" s="160"/>
      <c r="G3" s="160"/>
      <c r="H3" s="160"/>
      <c r="I3" s="160"/>
      <c r="J3" s="160"/>
      <c r="K3" s="160"/>
      <c r="M3" s="180" t="s">
        <v>475</v>
      </c>
      <c r="N3" s="177"/>
      <c r="O3" s="177"/>
      <c r="P3" s="177"/>
      <c r="Q3" s="177"/>
      <c r="R3" s="177"/>
      <c r="S3" s="177"/>
    </row>
    <row r="4" spans="1:19">
      <c r="A4" s="31"/>
      <c r="B4" s="180"/>
      <c r="C4" s="160"/>
      <c r="D4" s="160"/>
      <c r="E4" s="160"/>
      <c r="F4" s="160"/>
      <c r="G4" s="160"/>
      <c r="H4" s="160"/>
      <c r="I4" s="160"/>
      <c r="J4" s="160"/>
      <c r="K4" s="160"/>
      <c r="M4" s="96"/>
      <c r="N4" s="149" t="s">
        <v>0</v>
      </c>
      <c r="O4" s="150" t="s">
        <v>16</v>
      </c>
      <c r="P4" s="96"/>
      <c r="Q4" s="149" t="s">
        <v>0</v>
      </c>
      <c r="R4" s="150" t="s">
        <v>16</v>
      </c>
      <c r="S4" s="33"/>
    </row>
    <row r="5" spans="1:19">
      <c r="A5" s="31"/>
      <c r="B5" s="154" t="s">
        <v>0</v>
      </c>
      <c r="C5" s="155" t="s">
        <v>16</v>
      </c>
      <c r="E5" s="154" t="s">
        <v>0</v>
      </c>
      <c r="F5" s="155" t="s">
        <v>16</v>
      </c>
      <c r="I5" s="154" t="s">
        <v>0</v>
      </c>
      <c r="J5" s="155" t="s">
        <v>16</v>
      </c>
      <c r="K5" s="52"/>
      <c r="M5" s="96"/>
      <c r="N5" s="149" t="s">
        <v>1</v>
      </c>
      <c r="O5" s="150" t="s">
        <v>16</v>
      </c>
      <c r="P5" s="96"/>
      <c r="Q5" s="149" t="s">
        <v>1</v>
      </c>
      <c r="R5" s="150" t="s">
        <v>16</v>
      </c>
      <c r="S5" s="33"/>
    </row>
    <row r="6" spans="1:19">
      <c r="A6" s="31"/>
      <c r="B6" s="154" t="s">
        <v>3</v>
      </c>
      <c r="C6" s="155" t="s">
        <v>294</v>
      </c>
      <c r="E6" s="154" t="s">
        <v>3</v>
      </c>
      <c r="F6" s="155" t="s">
        <v>334</v>
      </c>
      <c r="I6" s="154" t="s">
        <v>3</v>
      </c>
      <c r="J6" s="155" t="s">
        <v>335</v>
      </c>
      <c r="K6" s="52"/>
      <c r="M6" s="96"/>
      <c r="N6" s="149" t="s">
        <v>3</v>
      </c>
      <c r="O6" s="150" t="s">
        <v>466</v>
      </c>
      <c r="P6" s="96"/>
      <c r="Q6" s="149" t="s">
        <v>3</v>
      </c>
      <c r="R6" s="150" t="s">
        <v>468</v>
      </c>
      <c r="S6" s="33"/>
    </row>
    <row r="7" spans="1:19">
      <c r="A7" s="31"/>
      <c r="E7" s="52"/>
      <c r="F7" s="52"/>
      <c r="I7" s="52"/>
      <c r="J7" s="52"/>
      <c r="K7" s="52"/>
      <c r="M7" s="96"/>
      <c r="N7" s="96"/>
      <c r="O7" s="96"/>
      <c r="P7" s="96"/>
      <c r="Q7" s="96"/>
      <c r="R7" s="96"/>
      <c r="S7" s="96"/>
    </row>
    <row r="8" spans="1:19" ht="30">
      <c r="A8" s="24" t="s">
        <v>122</v>
      </c>
      <c r="B8" s="154" t="s">
        <v>296</v>
      </c>
      <c r="C8" t="s">
        <v>309</v>
      </c>
      <c r="E8" s="154" t="s">
        <v>296</v>
      </c>
      <c r="F8" s="155" t="s">
        <v>346</v>
      </c>
      <c r="G8" s="155" t="s">
        <v>415</v>
      </c>
      <c r="I8" s="154" t="s">
        <v>296</v>
      </c>
      <c r="J8" s="155" t="s">
        <v>347</v>
      </c>
      <c r="K8" s="155" t="s">
        <v>419</v>
      </c>
      <c r="M8" s="24" t="s">
        <v>330</v>
      </c>
      <c r="N8" s="149" t="s">
        <v>2</v>
      </c>
      <c r="O8" t="s">
        <v>472</v>
      </c>
      <c r="P8" s="96"/>
      <c r="Q8" s="149" t="s">
        <v>2</v>
      </c>
      <c r="R8" s="150" t="s">
        <v>473</v>
      </c>
      <c r="S8" s="150" t="s">
        <v>474</v>
      </c>
    </row>
    <row r="9" spans="1:19" ht="20.25" customHeight="1">
      <c r="A9" s="29">
        <f>INDEX('Node Information'!J:$J,MATCH(B9,'Node Information'!$A:$A,0))</f>
        <v>6.5428240740740704E-2</v>
      </c>
      <c r="B9" s="4" t="s">
        <v>49</v>
      </c>
      <c r="C9" s="5">
        <v>368</v>
      </c>
      <c r="E9" s="4" t="s">
        <v>49</v>
      </c>
      <c r="F9" s="5">
        <v>396</v>
      </c>
      <c r="G9" s="155">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55">
        <v>396</v>
      </c>
      <c r="G10" s="155">
        <v>0</v>
      </c>
      <c r="I10" s="4" t="s">
        <v>18</v>
      </c>
      <c r="J10" s="155">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13"/>
  <sheetViews>
    <sheetView workbookViewId="0"/>
  </sheetViews>
  <sheetFormatPr defaultRowHeight="15"/>
  <cols>
    <col min="1" max="1" width="14.28515625" style="143" customWidth="1"/>
    <col min="2" max="2" width="22.85546875" style="143" customWidth="1"/>
    <col min="3" max="3" width="14.7109375" style="143" customWidth="1"/>
    <col min="4" max="4" width="22.85546875" style="143" customWidth="1"/>
    <col min="5" max="5" width="26.42578125" style="143" customWidth="1"/>
    <col min="6" max="6" width="18.7109375" style="143" customWidth="1"/>
    <col min="7" max="7" width="14.42578125" style="143" customWidth="1"/>
    <col min="8" max="8" width="18.7109375" style="143" customWidth="1"/>
    <col min="9" max="9" width="27" style="143" customWidth="1"/>
    <col min="10" max="10" width="28" style="143" customWidth="1"/>
    <col min="11" max="11" width="12.5703125" style="143" customWidth="1"/>
    <col min="12" max="12" width="22" style="143" customWidth="1"/>
    <col min="13" max="13" width="23" style="143" customWidth="1"/>
    <col min="14" max="14" width="25.140625" style="143" customWidth="1"/>
    <col min="15" max="15" width="19.42578125" style="143" customWidth="1"/>
    <col min="16" max="16" width="24.5703125" style="143" customWidth="1"/>
    <col min="17" max="17" width="24.5703125" style="143" bestFit="1" customWidth="1"/>
    <col min="18" max="16384" width="9.140625" style="143"/>
  </cols>
  <sheetData>
    <row r="1" spans="1:17" s="45" customFormat="1"/>
    <row r="2" spans="1:17" s="45" customFormat="1"/>
    <row r="3" spans="1:17" s="45" customFormat="1"/>
    <row r="4" spans="1:17">
      <c r="A4" s="45"/>
      <c r="B4" s="184" t="s">
        <v>301</v>
      </c>
      <c r="C4" s="177"/>
      <c r="D4" s="177"/>
      <c r="E4" s="177"/>
      <c r="F4" s="177"/>
      <c r="G4" s="177"/>
      <c r="H4" s="177"/>
      <c r="I4" s="177"/>
      <c r="J4" s="177"/>
      <c r="K4" s="177"/>
      <c r="L4" s="177"/>
      <c r="M4" s="177"/>
      <c r="N4" s="177"/>
      <c r="O4" s="177"/>
      <c r="P4" s="177"/>
    </row>
    <row r="5" spans="1:17">
      <c r="A5" s="45"/>
      <c r="B5" s="156" t="s">
        <v>575</v>
      </c>
      <c r="C5" s="157" t="s">
        <v>16</v>
      </c>
      <c r="D5" s="45"/>
      <c r="E5" s="45"/>
      <c r="F5" s="45"/>
      <c r="G5" s="45"/>
      <c r="H5" s="45"/>
      <c r="I5" s="45"/>
      <c r="J5" s="45"/>
      <c r="K5" s="45"/>
      <c r="L5" s="45"/>
      <c r="M5" s="45"/>
      <c r="N5" s="45"/>
      <c r="O5" s="45"/>
      <c r="P5" s="45"/>
    </row>
    <row r="6" spans="1:17">
      <c r="A6" s="45"/>
      <c r="B6" s="156" t="s">
        <v>0</v>
      </c>
      <c r="C6" s="157" t="s">
        <v>16</v>
      </c>
      <c r="D6" s="142"/>
      <c r="E6" s="142"/>
      <c r="F6" s="142"/>
      <c r="G6" s="142"/>
      <c r="H6" s="144"/>
      <c r="I6" s="142"/>
      <c r="J6" s="142"/>
      <c r="K6" s="142"/>
      <c r="L6" s="142"/>
      <c r="M6" s="144"/>
    </row>
    <row r="7" spans="1:17">
      <c r="A7" s="45"/>
    </row>
    <row r="8" spans="1:17">
      <c r="A8" s="24"/>
      <c r="B8" s="132" t="s">
        <v>646</v>
      </c>
      <c r="C8" s="133" t="s">
        <v>601</v>
      </c>
      <c r="D8" s="133" t="s">
        <v>599</v>
      </c>
      <c r="E8" s="133" t="s">
        <v>600</v>
      </c>
      <c r="F8" s="133" t="s">
        <v>602</v>
      </c>
      <c r="G8" s="157" t="s">
        <v>624</v>
      </c>
      <c r="H8" s="133" t="s">
        <v>603</v>
      </c>
      <c r="I8" s="133" t="s">
        <v>604</v>
      </c>
      <c r="J8" s="133" t="s">
        <v>609</v>
      </c>
      <c r="K8" s="157" t="s">
        <v>652</v>
      </c>
      <c r="L8" s="157" t="s">
        <v>653</v>
      </c>
      <c r="M8" s="157" t="s">
        <v>654</v>
      </c>
      <c r="N8" s="133" t="s">
        <v>605</v>
      </c>
      <c r="O8" s="133" t="s">
        <v>606</v>
      </c>
      <c r="P8" s="133" t="s">
        <v>607</v>
      </c>
      <c r="Q8"/>
    </row>
    <row r="9" spans="1:17">
      <c r="A9" s="29"/>
      <c r="B9" s="4" t="s">
        <v>48</v>
      </c>
      <c r="C9" s="5">
        <v>2</v>
      </c>
      <c r="D9" s="131">
        <v>4.9768518518518521E-4</v>
      </c>
      <c r="E9" s="131">
        <v>3.3564814814814818E-4</v>
      </c>
      <c r="F9" s="157">
        <v>0</v>
      </c>
      <c r="G9" s="5">
        <v>1</v>
      </c>
      <c r="H9" s="5">
        <v>0</v>
      </c>
      <c r="I9" s="5">
        <v>3</v>
      </c>
      <c r="J9" s="5">
        <v>69156</v>
      </c>
      <c r="K9" s="5">
        <v>2</v>
      </c>
      <c r="L9" s="104">
        <v>63.46</v>
      </c>
      <c r="M9" s="5">
        <v>235</v>
      </c>
      <c r="N9" s="5">
        <v>0</v>
      </c>
      <c r="O9" s="5">
        <v>0</v>
      </c>
      <c r="P9" s="5">
        <v>1</v>
      </c>
      <c r="Q9"/>
    </row>
    <row r="10" spans="1:17">
      <c r="B10" s="4" t="s">
        <v>498</v>
      </c>
      <c r="C10" s="5"/>
      <c r="D10" s="131"/>
      <c r="E10" s="131"/>
      <c r="F10" s="157"/>
      <c r="G10" s="5"/>
      <c r="H10" s="5"/>
      <c r="I10" s="5"/>
      <c r="J10" s="5"/>
      <c r="K10" s="5"/>
      <c r="L10" s="104"/>
      <c r="M10" s="5"/>
      <c r="N10" s="5"/>
      <c r="O10" s="5"/>
      <c r="P10" s="5"/>
      <c r="Q10"/>
    </row>
    <row r="11" spans="1:17">
      <c r="B11" s="4" t="s">
        <v>18</v>
      </c>
      <c r="C11" s="5">
        <v>2</v>
      </c>
      <c r="D11" s="131">
        <v>4.9768518518518521E-4</v>
      </c>
      <c r="E11" s="131">
        <v>3.3564814814814818E-4</v>
      </c>
      <c r="F11" s="157">
        <v>0</v>
      </c>
      <c r="G11" s="5">
        <v>1</v>
      </c>
      <c r="H11" s="5">
        <v>0</v>
      </c>
      <c r="I11" s="5">
        <v>3</v>
      </c>
      <c r="J11" s="5">
        <v>69156</v>
      </c>
      <c r="K11" s="5">
        <v>2</v>
      </c>
      <c r="L11" s="104">
        <v>63.46</v>
      </c>
      <c r="M11" s="5">
        <v>235</v>
      </c>
      <c r="N11" s="5">
        <v>0</v>
      </c>
      <c r="O11" s="5">
        <v>0</v>
      </c>
      <c r="P11" s="5">
        <v>1</v>
      </c>
      <c r="Q11"/>
    </row>
    <row r="12" spans="1:17">
      <c r="B12"/>
      <c r="C12"/>
      <c r="D12"/>
      <c r="E12"/>
      <c r="F12"/>
      <c r="G12"/>
      <c r="H12"/>
      <c r="I12"/>
      <c r="J12"/>
      <c r="K12"/>
      <c r="L12"/>
      <c r="M12"/>
      <c r="N12"/>
    </row>
    <row r="13" spans="1:17">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K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7" customWidth="1"/>
    <col min="28" max="28" width="18.7109375" style="117" customWidth="1"/>
    <col min="29" max="29" width="14.42578125" customWidth="1"/>
    <col min="30" max="30" width="18.7109375" customWidth="1"/>
    <col min="31" max="31" width="17.42578125" customWidth="1"/>
    <col min="32" max="32" width="27" customWidth="1"/>
    <col min="33" max="33" width="28" customWidth="1"/>
    <col min="34" max="34" width="23.28515625" customWidth="1"/>
    <col min="35" max="35" width="25.140625" customWidth="1"/>
    <col min="36" max="36" width="19.42578125" customWidth="1"/>
    <col min="37" max="37" width="24.5703125" bestFit="1" customWidth="1"/>
  </cols>
  <sheetData>
    <row r="1" spans="1:37" s="45" customFormat="1"/>
    <row r="2" spans="1:37" s="45" customFormat="1"/>
    <row r="3" spans="1:37" s="45" customFormat="1"/>
    <row r="4" spans="1:37">
      <c r="A4" s="45"/>
      <c r="B4" s="184" t="s">
        <v>528</v>
      </c>
      <c r="C4" s="185"/>
      <c r="D4" s="185"/>
      <c r="E4" s="185"/>
      <c r="F4" s="185"/>
      <c r="G4" s="185"/>
      <c r="H4" s="185"/>
      <c r="I4" s="185"/>
      <c r="J4" s="185"/>
      <c r="K4" s="185"/>
      <c r="M4" s="184" t="s">
        <v>529</v>
      </c>
      <c r="N4" s="185"/>
      <c r="O4" s="185"/>
      <c r="P4" s="185"/>
      <c r="Q4" s="185"/>
      <c r="R4" s="185"/>
      <c r="S4" s="185"/>
      <c r="T4" s="185"/>
      <c r="U4" s="185"/>
      <c r="V4" s="185"/>
      <c r="X4" s="184" t="s">
        <v>301</v>
      </c>
      <c r="Y4" s="185"/>
      <c r="Z4" s="185"/>
      <c r="AA4" s="185"/>
      <c r="AB4" s="185"/>
      <c r="AC4" s="185"/>
      <c r="AD4" s="185"/>
      <c r="AE4" s="185"/>
      <c r="AF4" s="185"/>
      <c r="AG4" s="185"/>
      <c r="AH4" s="160"/>
      <c r="AI4" s="160"/>
      <c r="AJ4" s="160"/>
    </row>
    <row r="5" spans="1:37">
      <c r="A5" s="45"/>
      <c r="B5" s="154" t="s">
        <v>0</v>
      </c>
      <c r="C5" s="155" t="s">
        <v>16</v>
      </c>
      <c r="D5" s="33"/>
      <c r="G5" s="33"/>
      <c r="H5" s="154" t="s">
        <v>0</v>
      </c>
      <c r="I5" s="155" t="s">
        <v>16</v>
      </c>
      <c r="M5" s="154" t="s">
        <v>0</v>
      </c>
      <c r="N5" s="155" t="s">
        <v>16</v>
      </c>
      <c r="O5" s="33"/>
      <c r="R5" s="33"/>
      <c r="S5" s="154" t="s">
        <v>0</v>
      </c>
      <c r="T5" s="155" t="s">
        <v>16</v>
      </c>
      <c r="X5" s="156" t="s">
        <v>575</v>
      </c>
      <c r="Y5" s="157" t="s">
        <v>16</v>
      </c>
      <c r="Z5" s="45"/>
      <c r="AA5" s="45"/>
      <c r="AB5" s="45"/>
      <c r="AC5" s="45"/>
      <c r="AD5" s="45"/>
      <c r="AE5" s="45"/>
      <c r="AF5" s="45"/>
      <c r="AG5" s="45"/>
      <c r="AH5" s="45"/>
      <c r="AI5" s="45"/>
      <c r="AJ5" s="45"/>
    </row>
    <row r="6" spans="1:37">
      <c r="A6" s="45"/>
      <c r="B6" s="154" t="s">
        <v>3</v>
      </c>
      <c r="C6" s="155" t="s">
        <v>310</v>
      </c>
      <c r="D6" s="33"/>
      <c r="G6" s="33"/>
      <c r="H6" s="154" t="s">
        <v>3</v>
      </c>
      <c r="I6" s="155" t="s">
        <v>310</v>
      </c>
      <c r="M6" s="154" t="s">
        <v>3</v>
      </c>
      <c r="N6" s="155" t="s">
        <v>310</v>
      </c>
      <c r="O6" s="33"/>
      <c r="R6" s="33"/>
      <c r="S6" s="154" t="s">
        <v>3</v>
      </c>
      <c r="T6" s="155" t="s">
        <v>310</v>
      </c>
      <c r="X6" s="156" t="s">
        <v>0</v>
      </c>
      <c r="Y6" s="157" t="s">
        <v>16</v>
      </c>
      <c r="Z6" s="119"/>
      <c r="AA6" s="119"/>
      <c r="AB6" s="119"/>
      <c r="AC6" s="119"/>
      <c r="AD6" s="118"/>
      <c r="AE6" s="119"/>
      <c r="AF6" s="119"/>
      <c r="AG6" s="119"/>
      <c r="AH6" s="119"/>
      <c r="AI6" s="118"/>
    </row>
    <row r="7" spans="1:37">
      <c r="A7" s="45"/>
      <c r="X7" s="120"/>
      <c r="Y7" s="117"/>
      <c r="AB7" s="120"/>
      <c r="AC7" s="117"/>
      <c r="AE7" s="120"/>
      <c r="AF7" s="117"/>
      <c r="AG7" s="117"/>
      <c r="AH7" s="117"/>
    </row>
    <row r="8" spans="1:37">
      <c r="A8" s="24" t="s">
        <v>122</v>
      </c>
      <c r="B8" s="154" t="s">
        <v>296</v>
      </c>
      <c r="C8" s="155" t="s">
        <v>312</v>
      </c>
      <c r="D8" s="155" t="s">
        <v>417</v>
      </c>
      <c r="E8" s="155" t="s">
        <v>311</v>
      </c>
      <c r="F8" s="155" t="s">
        <v>416</v>
      </c>
      <c r="H8" s="154" t="s">
        <v>296</v>
      </c>
      <c r="I8" s="155" t="s">
        <v>316</v>
      </c>
      <c r="J8" s="155" t="s">
        <v>317</v>
      </c>
      <c r="K8" s="155" t="s">
        <v>318</v>
      </c>
      <c r="M8" s="154" t="s">
        <v>296</v>
      </c>
      <c r="N8" s="155" t="s">
        <v>312</v>
      </c>
      <c r="O8" s="155" t="s">
        <v>417</v>
      </c>
      <c r="P8" s="155" t="s">
        <v>311</v>
      </c>
      <c r="Q8" s="155" t="s">
        <v>416</v>
      </c>
      <c r="S8" s="154" t="s">
        <v>296</v>
      </c>
      <c r="T8" s="155" t="s">
        <v>316</v>
      </c>
      <c r="U8" s="155" t="s">
        <v>317</v>
      </c>
      <c r="V8" s="155" t="s">
        <v>318</v>
      </c>
      <c r="X8" s="132" t="s">
        <v>17</v>
      </c>
      <c r="Y8" s="133" t="s">
        <v>601</v>
      </c>
      <c r="Z8" s="133" t="s">
        <v>599</v>
      </c>
      <c r="AA8" s="133" t="s">
        <v>600</v>
      </c>
      <c r="AB8" s="133" t="s">
        <v>602</v>
      </c>
      <c r="AC8" s="157" t="s">
        <v>624</v>
      </c>
      <c r="AD8" s="133" t="s">
        <v>603</v>
      </c>
      <c r="AE8" s="133" t="s">
        <v>608</v>
      </c>
      <c r="AF8" s="133" t="s">
        <v>604</v>
      </c>
      <c r="AG8" s="133" t="s">
        <v>609</v>
      </c>
      <c r="AH8" s="157" t="s">
        <v>699</v>
      </c>
      <c r="AI8" s="133" t="s">
        <v>605</v>
      </c>
      <c r="AJ8" s="133" t="s">
        <v>606</v>
      </c>
      <c r="AK8" s="133" t="s">
        <v>607</v>
      </c>
    </row>
    <row r="9" spans="1:37">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v>
      </c>
      <c r="Y9" s="5">
        <v>2</v>
      </c>
      <c r="Z9" s="131">
        <v>4.9768518518518521E-4</v>
      </c>
      <c r="AA9" s="131">
        <v>3.3564814814814818E-4</v>
      </c>
      <c r="AB9" s="5">
        <v>0</v>
      </c>
      <c r="AC9" s="5">
        <v>1</v>
      </c>
      <c r="AD9" s="5">
        <v>0</v>
      </c>
      <c r="AE9" s="5"/>
      <c r="AF9" s="5">
        <v>3</v>
      </c>
      <c r="AG9" s="5">
        <v>69156</v>
      </c>
      <c r="AH9" s="5">
        <v>2</v>
      </c>
      <c r="AI9" s="5">
        <v>0</v>
      </c>
      <c r="AJ9" s="5">
        <v>0</v>
      </c>
      <c r="AK9" s="5">
        <v>1</v>
      </c>
    </row>
    <row r="10" spans="1:37">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498</v>
      </c>
      <c r="Y10" s="5"/>
      <c r="Z10" s="131"/>
      <c r="AA10" s="131"/>
      <c r="AB10" s="157"/>
      <c r="AC10" s="5"/>
      <c r="AD10" s="5"/>
      <c r="AE10" s="5"/>
      <c r="AF10" s="5"/>
      <c r="AG10" s="5"/>
      <c r="AH10" s="5"/>
      <c r="AI10" s="5"/>
      <c r="AJ10" s="5"/>
      <c r="AK10" s="5"/>
    </row>
    <row r="11" spans="1:37">
      <c r="X11" s="4" t="s">
        <v>18</v>
      </c>
      <c r="Y11" s="5">
        <v>2</v>
      </c>
      <c r="Z11" s="131">
        <v>4.9768518518518521E-4</v>
      </c>
      <c r="AA11" s="131">
        <v>3.3564814814814818E-4</v>
      </c>
      <c r="AB11" s="157">
        <v>0</v>
      </c>
      <c r="AC11" s="5">
        <v>1</v>
      </c>
      <c r="AD11" s="5">
        <v>0</v>
      </c>
      <c r="AE11" s="5"/>
      <c r="AF11" s="5">
        <v>3</v>
      </c>
      <c r="AG11" s="5">
        <v>69156</v>
      </c>
      <c r="AH11" s="5">
        <v>2</v>
      </c>
      <c r="AI11" s="5">
        <v>0</v>
      </c>
      <c r="AJ11" s="5">
        <v>0</v>
      </c>
      <c r="AK11" s="5">
        <v>1</v>
      </c>
    </row>
    <row r="12" spans="1:37">
      <c r="AA12"/>
      <c r="AB12"/>
    </row>
    <row r="13" spans="1:37">
      <c r="AA13"/>
      <c r="AB13"/>
    </row>
    <row r="14" spans="1:37">
      <c r="AA14"/>
      <c r="AB14"/>
    </row>
    <row r="15" spans="1:37">
      <c r="AA15"/>
      <c r="AB15"/>
    </row>
  </sheetData>
  <mergeCells count="3">
    <mergeCell ref="B4:K4"/>
    <mergeCell ref="M4:V4"/>
    <mergeCell ref="X4:AJ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sqref="A1:I10"/>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86" t="s">
        <v>147</v>
      </c>
      <c r="C2" s="183"/>
      <c r="D2" s="183"/>
      <c r="E2" s="183"/>
      <c r="F2" s="183"/>
      <c r="G2" s="183"/>
      <c r="H2" s="183"/>
      <c r="I2" s="187"/>
      <c r="J2" s="86"/>
      <c r="K2" s="176" t="s">
        <v>365</v>
      </c>
      <c r="L2" s="160"/>
      <c r="M2" s="57"/>
      <c r="N2" s="176" t="s">
        <v>377</v>
      </c>
      <c r="O2" s="160"/>
      <c r="P2" s="160"/>
      <c r="Q2" s="160"/>
      <c r="R2" s="160"/>
      <c r="S2" s="160"/>
      <c r="T2" s="160"/>
      <c r="U2" s="160"/>
      <c r="V2" s="160"/>
      <c r="W2" s="160"/>
      <c r="X2" s="160"/>
      <c r="Y2" s="160"/>
    </row>
    <row r="3" spans="1:26" s="31" customFormat="1">
      <c r="A3" s="30"/>
      <c r="B3" s="149" t="s">
        <v>150</v>
      </c>
      <c r="C3" s="150" t="s">
        <v>16</v>
      </c>
      <c r="D3" s="55"/>
      <c r="E3" s="149" t="s">
        <v>150</v>
      </c>
      <c r="F3" s="150" t="s">
        <v>16</v>
      </c>
      <c r="G3" s="55"/>
      <c r="H3" s="149" t="s">
        <v>150</v>
      </c>
      <c r="I3" s="150" t="s">
        <v>16</v>
      </c>
      <c r="J3" s="86"/>
      <c r="K3" s="111" t="s">
        <v>150</v>
      </c>
      <c r="L3" s="112" t="s">
        <v>365</v>
      </c>
      <c r="M3" s="57"/>
      <c r="N3" s="149" t="s">
        <v>0</v>
      </c>
      <c r="O3" s="150" t="s">
        <v>16</v>
      </c>
      <c r="R3" s="149" t="s">
        <v>0</v>
      </c>
      <c r="S3" s="150" t="s">
        <v>16</v>
      </c>
      <c r="T3" s="34"/>
      <c r="V3" s="149" t="s">
        <v>0</v>
      </c>
      <c r="W3" s="150" t="s">
        <v>16</v>
      </c>
    </row>
    <row r="4" spans="1:26">
      <c r="A4" s="30"/>
      <c r="B4" s="149" t="s">
        <v>0</v>
      </c>
      <c r="C4" s="150" t="s">
        <v>16</v>
      </c>
      <c r="D4" s="33"/>
      <c r="E4" s="149" t="s">
        <v>0</v>
      </c>
      <c r="F4" s="150" t="s">
        <v>16</v>
      </c>
      <c r="G4" s="33"/>
      <c r="H4" s="149" t="s">
        <v>0</v>
      </c>
      <c r="I4" s="150" t="s">
        <v>16</v>
      </c>
      <c r="K4" s="111" t="s">
        <v>0</v>
      </c>
      <c r="L4" s="112" t="s">
        <v>16</v>
      </c>
      <c r="N4" s="149" t="s">
        <v>1</v>
      </c>
      <c r="O4" s="150" t="s">
        <v>16</v>
      </c>
      <c r="Q4" s="8"/>
      <c r="R4" s="149" t="s">
        <v>1</v>
      </c>
      <c r="S4" s="150" t="s">
        <v>16</v>
      </c>
      <c r="T4"/>
      <c r="V4" s="149" t="s">
        <v>1</v>
      </c>
      <c r="W4" s="150" t="s">
        <v>16</v>
      </c>
      <c r="Z4" s="8"/>
    </row>
    <row r="5" spans="1:26">
      <c r="A5" s="30"/>
      <c r="B5" s="149" t="s">
        <v>1</v>
      </c>
      <c r="C5" s="150" t="s">
        <v>16</v>
      </c>
      <c r="D5" s="33"/>
      <c r="E5" s="149" t="s">
        <v>1</v>
      </c>
      <c r="F5" s="150" t="s">
        <v>16</v>
      </c>
      <c r="G5" s="33"/>
      <c r="H5" s="149" t="s">
        <v>1</v>
      </c>
      <c r="I5" s="150" t="s">
        <v>16</v>
      </c>
      <c r="K5" s="111" t="s">
        <v>1</v>
      </c>
      <c r="L5" s="112" t="s">
        <v>16</v>
      </c>
      <c r="N5" s="149" t="s">
        <v>52</v>
      </c>
      <c r="O5" s="150" t="s">
        <v>16</v>
      </c>
      <c r="Q5" s="8"/>
      <c r="R5" s="149" t="s">
        <v>52</v>
      </c>
      <c r="S5" s="150" t="s">
        <v>16</v>
      </c>
      <c r="T5"/>
      <c r="V5" s="149" t="s">
        <v>52</v>
      </c>
      <c r="W5" s="150" t="s">
        <v>16</v>
      </c>
      <c r="Z5" s="8"/>
    </row>
    <row r="6" spans="1:26">
      <c r="A6" s="30"/>
      <c r="B6" s="149" t="s">
        <v>3</v>
      </c>
      <c r="C6" s="150" t="s">
        <v>109</v>
      </c>
      <c r="D6" s="33"/>
      <c r="E6" s="149" t="s">
        <v>3</v>
      </c>
      <c r="F6" s="150" t="s">
        <v>143</v>
      </c>
      <c r="G6" s="33"/>
      <c r="H6" s="149" t="s">
        <v>3</v>
      </c>
      <c r="I6" s="150" t="s">
        <v>112</v>
      </c>
      <c r="K6" s="111" t="s">
        <v>3</v>
      </c>
      <c r="L6" s="112" t="s">
        <v>109</v>
      </c>
      <c r="N6" s="149" t="s">
        <v>3</v>
      </c>
      <c r="O6" s="150" t="s">
        <v>13</v>
      </c>
      <c r="Q6" s="8"/>
      <c r="R6" s="149" t="s">
        <v>3</v>
      </c>
      <c r="S6" s="150" t="s">
        <v>14</v>
      </c>
      <c r="T6"/>
      <c r="V6" s="149" t="s">
        <v>3</v>
      </c>
      <c r="W6" s="150" t="s">
        <v>8</v>
      </c>
      <c r="Z6" s="8"/>
    </row>
    <row r="7" spans="1:26">
      <c r="A7" s="30"/>
      <c r="Q7" s="8"/>
      <c r="T7"/>
      <c r="Z7" s="8"/>
    </row>
    <row r="8" spans="1:26" ht="30">
      <c r="A8" s="24" t="s">
        <v>330</v>
      </c>
      <c r="B8" s="149" t="s">
        <v>2</v>
      </c>
      <c r="C8" t="s">
        <v>439</v>
      </c>
      <c r="E8" s="149" t="s">
        <v>2</v>
      </c>
      <c r="F8" s="32" t="s">
        <v>388</v>
      </c>
      <c r="H8" s="149" t="s">
        <v>2</v>
      </c>
      <c r="I8" s="32" t="s">
        <v>440</v>
      </c>
      <c r="J8" s="32"/>
      <c r="K8" s="111" t="s">
        <v>2</v>
      </c>
      <c r="L8" t="s">
        <v>439</v>
      </c>
      <c r="N8" s="149" t="s">
        <v>2</v>
      </c>
      <c r="O8" s="32" t="s">
        <v>385</v>
      </c>
      <c r="P8" s="32" t="s">
        <v>415</v>
      </c>
      <c r="Q8" s="8"/>
      <c r="R8" s="149" t="s">
        <v>2</v>
      </c>
      <c r="S8" s="32" t="s">
        <v>386</v>
      </c>
      <c r="T8" s="32" t="s">
        <v>419</v>
      </c>
      <c r="V8" s="149" t="s">
        <v>2</v>
      </c>
      <c r="W8" s="150"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86" t="s">
        <v>387</v>
      </c>
      <c r="C1" s="183"/>
      <c r="D1" s="183"/>
      <c r="E1" s="183"/>
      <c r="F1" s="183"/>
      <c r="G1" s="183"/>
      <c r="H1" s="183"/>
      <c r="I1" s="187"/>
      <c r="J1" s="86"/>
      <c r="K1" s="176" t="s">
        <v>365</v>
      </c>
      <c r="L1" s="177"/>
      <c r="M1" s="86"/>
      <c r="N1" s="188" t="s">
        <v>377</v>
      </c>
      <c r="O1" s="177"/>
      <c r="P1" s="177"/>
      <c r="Q1" s="177"/>
      <c r="R1" s="177"/>
      <c r="S1" s="177"/>
      <c r="T1" s="177"/>
      <c r="U1" s="177"/>
      <c r="V1" s="177"/>
      <c r="W1" s="177"/>
      <c r="X1" s="177"/>
      <c r="Y1" s="177"/>
    </row>
    <row r="2" spans="1:36">
      <c r="A2" s="31"/>
      <c r="B2" s="149" t="s">
        <v>150</v>
      </c>
      <c r="C2" s="150" t="s">
        <v>16</v>
      </c>
      <c r="D2" s="55"/>
      <c r="E2" s="149" t="s">
        <v>150</v>
      </c>
      <c r="F2" s="150" t="s">
        <v>16</v>
      </c>
      <c r="G2" s="55"/>
      <c r="H2" s="149" t="s">
        <v>150</v>
      </c>
      <c r="I2" s="150" t="s">
        <v>16</v>
      </c>
      <c r="K2" s="111" t="s">
        <v>150</v>
      </c>
      <c r="L2" s="112" t="s">
        <v>365</v>
      </c>
      <c r="M2" s="86"/>
      <c r="N2" s="149" t="s">
        <v>0</v>
      </c>
      <c r="O2" s="150" t="s">
        <v>16</v>
      </c>
      <c r="P2" s="31"/>
      <c r="Q2" s="31"/>
      <c r="R2" s="149" t="s">
        <v>0</v>
      </c>
      <c r="S2" s="150" t="s">
        <v>16</v>
      </c>
      <c r="T2" s="31"/>
      <c r="U2" s="31"/>
      <c r="V2" s="149" t="s">
        <v>0</v>
      </c>
      <c r="W2" s="150" t="s">
        <v>16</v>
      </c>
      <c r="X2" s="86"/>
      <c r="Y2" s="86"/>
      <c r="Z2" s="86"/>
      <c r="AA2" s="86"/>
      <c r="AB2" s="86"/>
      <c r="AC2" s="86"/>
      <c r="AD2" s="86"/>
      <c r="AE2" s="86"/>
      <c r="AF2" s="86"/>
      <c r="AG2" s="86"/>
      <c r="AH2" s="86"/>
      <c r="AI2" s="86"/>
      <c r="AJ2" s="86"/>
    </row>
    <row r="3" spans="1:36" s="31" customFormat="1">
      <c r="B3" s="149" t="s">
        <v>0</v>
      </c>
      <c r="C3" s="150" t="s">
        <v>16</v>
      </c>
      <c r="E3" s="149" t="s">
        <v>0</v>
      </c>
      <c r="F3" s="150" t="s">
        <v>16</v>
      </c>
      <c r="H3" s="149" t="s">
        <v>0</v>
      </c>
      <c r="I3" s="150" t="s">
        <v>16</v>
      </c>
      <c r="J3" s="86"/>
      <c r="K3" s="111" t="s">
        <v>0</v>
      </c>
      <c r="L3" s="112" t="s">
        <v>16</v>
      </c>
      <c r="M3" s="86"/>
      <c r="N3" s="149" t="s">
        <v>1</v>
      </c>
      <c r="O3" s="150" t="s">
        <v>16</v>
      </c>
      <c r="R3" s="149" t="s">
        <v>1</v>
      </c>
      <c r="S3" s="150" t="s">
        <v>16</v>
      </c>
      <c r="T3" s="34"/>
      <c r="V3" s="149" t="s">
        <v>1</v>
      </c>
      <c r="W3" s="150" t="s">
        <v>16</v>
      </c>
      <c r="X3" s="86"/>
      <c r="Y3" s="86"/>
      <c r="Z3" s="86"/>
      <c r="AA3" s="86"/>
      <c r="AB3" s="86"/>
      <c r="AC3" s="86"/>
      <c r="AD3" s="86"/>
      <c r="AE3" s="86"/>
      <c r="AF3" s="86"/>
      <c r="AG3" s="86"/>
      <c r="AH3" s="86"/>
      <c r="AI3" s="86"/>
      <c r="AJ3" s="86"/>
    </row>
    <row r="4" spans="1:36">
      <c r="A4" s="31"/>
      <c r="B4" s="149" t="s">
        <v>1</v>
      </c>
      <c r="C4" s="150" t="s">
        <v>16</v>
      </c>
      <c r="D4" s="33"/>
      <c r="E4" s="149" t="s">
        <v>1</v>
      </c>
      <c r="F4" s="150" t="s">
        <v>16</v>
      </c>
      <c r="G4" s="33"/>
      <c r="H4" s="149" t="s">
        <v>1</v>
      </c>
      <c r="I4" s="150" t="s">
        <v>16</v>
      </c>
      <c r="K4" s="111" t="s">
        <v>1</v>
      </c>
      <c r="L4" s="112" t="s">
        <v>16</v>
      </c>
      <c r="N4" s="149" t="s">
        <v>2</v>
      </c>
      <c r="O4" s="150" t="s">
        <v>16</v>
      </c>
      <c r="Q4" s="8"/>
      <c r="R4" s="149" t="s">
        <v>2</v>
      </c>
      <c r="S4" s="150" t="s">
        <v>16</v>
      </c>
      <c r="T4"/>
      <c r="V4" s="149" t="s">
        <v>2</v>
      </c>
      <c r="W4" s="150" t="s">
        <v>16</v>
      </c>
      <c r="X4" s="86"/>
      <c r="Z4" s="86"/>
      <c r="AA4" s="86"/>
      <c r="AB4" s="86"/>
      <c r="AC4" s="86"/>
      <c r="AD4" s="86"/>
      <c r="AE4" s="86"/>
      <c r="AF4" s="86"/>
      <c r="AG4" s="86"/>
      <c r="AH4" s="86"/>
      <c r="AI4" s="86"/>
      <c r="AJ4" s="86"/>
    </row>
    <row r="5" spans="1:36">
      <c r="A5" s="31"/>
      <c r="B5" s="149" t="s">
        <v>2</v>
      </c>
      <c r="C5" s="150" t="s">
        <v>16</v>
      </c>
      <c r="D5" s="33"/>
      <c r="E5" s="149" t="s">
        <v>2</v>
      </c>
      <c r="F5" s="150" t="s">
        <v>16</v>
      </c>
      <c r="G5" s="33"/>
      <c r="H5" s="149" t="s">
        <v>2</v>
      </c>
      <c r="I5" s="150" t="s">
        <v>16</v>
      </c>
      <c r="K5" s="111" t="s">
        <v>2</v>
      </c>
      <c r="L5" s="112" t="s">
        <v>16</v>
      </c>
      <c r="N5" s="149" t="s">
        <v>52</v>
      </c>
      <c r="O5" s="150" t="s">
        <v>16</v>
      </c>
      <c r="Q5" s="8"/>
      <c r="R5" s="149" t="s">
        <v>52</v>
      </c>
      <c r="S5" s="150" t="s">
        <v>16</v>
      </c>
      <c r="T5"/>
      <c r="V5" s="149" t="s">
        <v>52</v>
      </c>
      <c r="W5" s="150" t="s">
        <v>16</v>
      </c>
      <c r="Z5" s="8"/>
    </row>
    <row r="6" spans="1:36">
      <c r="A6" s="31"/>
      <c r="B6" s="149" t="s">
        <v>3</v>
      </c>
      <c r="C6" s="150" t="s">
        <v>109</v>
      </c>
      <c r="D6" s="33"/>
      <c r="E6" s="149" t="s">
        <v>3</v>
      </c>
      <c r="F6" s="150" t="s">
        <v>143</v>
      </c>
      <c r="G6" s="33"/>
      <c r="H6" s="149" t="s">
        <v>3</v>
      </c>
      <c r="I6" s="150" t="s">
        <v>112</v>
      </c>
      <c r="K6" s="111" t="s">
        <v>3</v>
      </c>
      <c r="L6" s="112" t="s">
        <v>109</v>
      </c>
      <c r="N6" s="149" t="s">
        <v>3</v>
      </c>
      <c r="O6" s="150" t="s">
        <v>13</v>
      </c>
      <c r="Q6" s="8"/>
      <c r="R6" s="149" t="s">
        <v>3</v>
      </c>
      <c r="S6" s="150" t="s">
        <v>14</v>
      </c>
      <c r="T6"/>
      <c r="V6" s="149" t="s">
        <v>3</v>
      </c>
      <c r="W6" s="150" t="s">
        <v>8</v>
      </c>
      <c r="Z6" s="8"/>
    </row>
    <row r="7" spans="1:36">
      <c r="A7" s="31"/>
      <c r="Q7" s="8"/>
      <c r="T7"/>
      <c r="Z7" s="8"/>
    </row>
    <row r="8" spans="1:36" ht="30">
      <c r="A8" s="24" t="s">
        <v>122</v>
      </c>
      <c r="B8" s="149" t="s">
        <v>2</v>
      </c>
      <c r="C8" t="s">
        <v>385</v>
      </c>
      <c r="E8" s="149" t="s">
        <v>2</v>
      </c>
      <c r="F8" s="32" t="s">
        <v>388</v>
      </c>
      <c r="H8" s="149" t="s">
        <v>2</v>
      </c>
      <c r="I8" s="32" t="s">
        <v>386</v>
      </c>
      <c r="J8" s="32"/>
      <c r="K8" s="111" t="s">
        <v>2</v>
      </c>
      <c r="L8" t="s">
        <v>385</v>
      </c>
      <c r="N8" s="149" t="s">
        <v>2</v>
      </c>
      <c r="O8" s="32" t="s">
        <v>385</v>
      </c>
      <c r="P8" s="32" t="s">
        <v>386</v>
      </c>
      <c r="Q8" s="8"/>
      <c r="R8" s="149" t="s">
        <v>2</v>
      </c>
      <c r="S8" s="32" t="s">
        <v>386</v>
      </c>
      <c r="T8" s="32" t="s">
        <v>419</v>
      </c>
      <c r="V8" s="149" t="s">
        <v>2</v>
      </c>
      <c r="W8" s="150"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82" t="s">
        <v>490</v>
      </c>
      <c r="C4" s="177"/>
      <c r="D4" s="177"/>
      <c r="E4" s="177"/>
      <c r="F4" s="177"/>
      <c r="G4" s="177"/>
      <c r="H4" s="177"/>
      <c r="I4" s="177"/>
      <c r="J4" s="177"/>
      <c r="K4" s="177"/>
      <c r="L4" s="177"/>
      <c r="M4" s="177"/>
      <c r="N4" s="177"/>
      <c r="O4" s="177"/>
      <c r="P4" s="177"/>
      <c r="Q4" s="177"/>
      <c r="R4" s="177"/>
      <c r="S4" s="177"/>
      <c r="T4" s="177"/>
      <c r="U4" s="177"/>
      <c r="V4" s="177"/>
      <c r="W4" s="177"/>
      <c r="X4" s="177"/>
      <c r="Y4" s="177"/>
      <c r="Z4" s="177"/>
      <c r="AA4" s="37"/>
      <c r="AB4" s="37"/>
    </row>
    <row r="5" spans="1:28">
      <c r="A5" s="45"/>
      <c r="B5" s="154" t="s">
        <v>0</v>
      </c>
      <c r="C5" s="155" t="s">
        <v>16</v>
      </c>
      <c r="D5" s="33"/>
      <c r="E5" s="154" t="s">
        <v>0</v>
      </c>
      <c r="F5" s="155" t="s">
        <v>16</v>
      </c>
      <c r="G5" s="33"/>
      <c r="H5" s="154" t="s">
        <v>0</v>
      </c>
      <c r="I5" s="155" t="s">
        <v>16</v>
      </c>
      <c r="K5" s="154" t="s">
        <v>0</v>
      </c>
      <c r="L5" s="155" t="s">
        <v>16</v>
      </c>
      <c r="M5" s="189" t="s">
        <v>552</v>
      </c>
      <c r="N5" s="160"/>
      <c r="S5" s="154" t="s">
        <v>0</v>
      </c>
      <c r="T5" s="155" t="s">
        <v>16</v>
      </c>
      <c r="U5" s="189" t="s">
        <v>553</v>
      </c>
      <c r="V5" s="160"/>
      <c r="W5" s="160"/>
      <c r="X5" s="110"/>
      <c r="Y5" s="110"/>
    </row>
    <row r="6" spans="1:28">
      <c r="A6" s="45"/>
      <c r="B6" s="154" t="s">
        <v>3</v>
      </c>
      <c r="C6" s="155" t="s">
        <v>411</v>
      </c>
      <c r="D6" s="33"/>
      <c r="E6" s="154" t="s">
        <v>3</v>
      </c>
      <c r="F6" s="155" t="s">
        <v>145</v>
      </c>
      <c r="G6" s="33"/>
      <c r="H6" s="154" t="s">
        <v>3</v>
      </c>
      <c r="I6" s="155" t="s">
        <v>412</v>
      </c>
      <c r="K6" s="154" t="s">
        <v>3</v>
      </c>
      <c r="L6" s="155" t="s">
        <v>310</v>
      </c>
      <c r="S6" s="154" t="s">
        <v>3</v>
      </c>
      <c r="T6" s="155" t="s">
        <v>310</v>
      </c>
      <c r="U6" s="110"/>
      <c r="V6" s="110"/>
      <c r="W6" s="110"/>
      <c r="X6" s="110"/>
      <c r="Y6" s="110"/>
    </row>
    <row r="7" spans="1:28">
      <c r="A7" s="45"/>
      <c r="K7" s="108"/>
      <c r="L7" s="108"/>
      <c r="S7" s="110"/>
      <c r="T7" s="110"/>
      <c r="U7" s="110"/>
      <c r="V7" s="110"/>
      <c r="W7" s="110"/>
      <c r="X7" s="110"/>
      <c r="Y7" s="110"/>
    </row>
    <row r="8" spans="1:28">
      <c r="A8" s="46" t="s">
        <v>304</v>
      </c>
      <c r="B8" s="154" t="s">
        <v>296</v>
      </c>
      <c r="C8" t="s">
        <v>338</v>
      </c>
      <c r="E8" s="154" t="s">
        <v>296</v>
      </c>
      <c r="F8" t="s">
        <v>345</v>
      </c>
      <c r="H8" s="154" t="s">
        <v>296</v>
      </c>
      <c r="I8" t="s">
        <v>303</v>
      </c>
      <c r="K8" s="154" t="s">
        <v>296</v>
      </c>
      <c r="L8" s="155" t="s">
        <v>549</v>
      </c>
      <c r="M8" s="155" t="s">
        <v>550</v>
      </c>
      <c r="N8" s="155" t="s">
        <v>551</v>
      </c>
      <c r="O8" s="155" t="s">
        <v>357</v>
      </c>
      <c r="P8" s="155" t="s">
        <v>249</v>
      </c>
      <c r="Q8" s="155" t="s">
        <v>537</v>
      </c>
      <c r="S8" s="154" t="s">
        <v>296</v>
      </c>
      <c r="T8" s="155" t="s">
        <v>554</v>
      </c>
      <c r="U8" s="155" t="s">
        <v>550</v>
      </c>
      <c r="V8" s="155" t="s">
        <v>555</v>
      </c>
      <c r="W8" s="155" t="s">
        <v>551</v>
      </c>
      <c r="X8" s="155" t="s">
        <v>357</v>
      </c>
      <c r="Y8" s="155" t="s">
        <v>249</v>
      </c>
      <c r="Z8" s="155" t="s">
        <v>537</v>
      </c>
    </row>
    <row r="9" spans="1:28">
      <c r="A9" s="47" t="str">
        <f>INDEX('OS-Machine Info'!$X:X,MATCH(B9,'OS-Machine Info'!$A:$A,0))</f>
        <v>GC-CMS</v>
      </c>
      <c r="B9" s="4" t="s">
        <v>49</v>
      </c>
      <c r="C9" s="5">
        <v>396</v>
      </c>
      <c r="D9" s="5"/>
      <c r="E9" s="4" t="s">
        <v>49</v>
      </c>
      <c r="F9" s="155">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55">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82" t="s">
        <v>301</v>
      </c>
      <c r="C4" s="177"/>
      <c r="D4" s="177"/>
      <c r="E4" s="177"/>
      <c r="F4" s="177"/>
      <c r="G4" s="177"/>
      <c r="H4" s="177"/>
      <c r="I4" s="177"/>
      <c r="J4" s="177"/>
      <c r="K4" s="177"/>
      <c r="L4" s="177"/>
    </row>
    <row r="5" spans="1:12">
      <c r="A5" s="45"/>
      <c r="B5" s="154" t="s">
        <v>0</v>
      </c>
      <c r="C5" s="155" t="s">
        <v>16</v>
      </c>
      <c r="D5" s="33"/>
      <c r="E5" s="154" t="s">
        <v>0</v>
      </c>
      <c r="F5" s="155" t="s">
        <v>16</v>
      </c>
      <c r="G5" s="33"/>
      <c r="H5" s="154" t="s">
        <v>0</v>
      </c>
      <c r="I5" s="155" t="s">
        <v>16</v>
      </c>
      <c r="K5" s="154" t="s">
        <v>0</v>
      </c>
      <c r="L5" s="155" t="s">
        <v>16</v>
      </c>
    </row>
    <row r="6" spans="1:12">
      <c r="A6" s="45"/>
      <c r="B6" s="154" t="s">
        <v>3</v>
      </c>
      <c r="C6" s="155" t="s">
        <v>351</v>
      </c>
      <c r="D6" s="33"/>
      <c r="E6" s="154" t="s">
        <v>3</v>
      </c>
      <c r="F6" s="155" t="s">
        <v>435</v>
      </c>
      <c r="G6" s="33"/>
      <c r="H6" s="154" t="s">
        <v>3</v>
      </c>
      <c r="I6" s="155" t="s">
        <v>464</v>
      </c>
      <c r="K6" s="154" t="s">
        <v>3</v>
      </c>
      <c r="L6" s="155" t="s">
        <v>438</v>
      </c>
    </row>
    <row r="7" spans="1:12">
      <c r="A7" s="45"/>
      <c r="B7" s="57"/>
      <c r="C7" s="57"/>
      <c r="E7" s="82"/>
      <c r="F7" s="82"/>
      <c r="H7" s="85"/>
      <c r="I7" s="85"/>
      <c r="K7" s="90"/>
      <c r="L7" s="90"/>
    </row>
    <row r="8" spans="1:12">
      <c r="A8" s="46" t="s">
        <v>304</v>
      </c>
      <c r="B8" s="154" t="s">
        <v>296</v>
      </c>
      <c r="C8" t="s">
        <v>481</v>
      </c>
      <c r="E8" s="154" t="s">
        <v>296</v>
      </c>
      <c r="F8" t="s">
        <v>482</v>
      </c>
      <c r="H8" s="154" t="s">
        <v>296</v>
      </c>
      <c r="I8" t="s">
        <v>484</v>
      </c>
      <c r="K8" s="154" t="s">
        <v>296</v>
      </c>
      <c r="L8" t="s">
        <v>483</v>
      </c>
    </row>
    <row r="9" spans="1:12">
      <c r="A9" s="47" t="str">
        <f>INDEX('OS-Machine Info'!$X:X,MATCH(B9,'OS-Machine Info'!$A:$A,0))</f>
        <v>GC-CMS</v>
      </c>
      <c r="B9" s="4" t="s">
        <v>49</v>
      </c>
      <c r="C9" s="155">
        <v>2</v>
      </c>
      <c r="D9" s="5"/>
      <c r="E9" s="4" t="s">
        <v>49</v>
      </c>
      <c r="F9" s="155">
        <v>1</v>
      </c>
      <c r="G9" s="5"/>
      <c r="H9" s="4" t="s">
        <v>49</v>
      </c>
      <c r="I9" s="155">
        <v>3</v>
      </c>
      <c r="K9" s="4" t="s">
        <v>49</v>
      </c>
      <c r="L9" s="155">
        <v>1</v>
      </c>
    </row>
    <row r="10" spans="1:12">
      <c r="B10" s="4" t="s">
        <v>18</v>
      </c>
      <c r="C10" s="155">
        <v>2</v>
      </c>
      <c r="D10" s="5"/>
      <c r="E10" s="4" t="s">
        <v>18</v>
      </c>
      <c r="F10" s="155">
        <v>1</v>
      </c>
      <c r="G10" s="5"/>
      <c r="H10" s="4" t="s">
        <v>18</v>
      </c>
      <c r="I10" s="155">
        <v>3</v>
      </c>
      <c r="K10" s="4" t="s">
        <v>18</v>
      </c>
      <c r="L10" s="155">
        <v>1</v>
      </c>
    </row>
    <row r="11" spans="1:12">
      <c r="E11"/>
      <c r="F11"/>
    </row>
  </sheetData>
  <mergeCells count="1">
    <mergeCell ref="B4:L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RowHeight="15"/>
  <cols>
    <col min="1" max="1" width="10.7109375" style="150" customWidth="1"/>
    <col min="2" max="2" width="32.85546875" style="150" customWidth="1"/>
    <col min="3" max="3" width="11.42578125" style="150" customWidth="1"/>
    <col min="4" max="4" width="29.140625" style="150" customWidth="1"/>
    <col min="5" max="5" width="9.140625" style="150"/>
    <col min="6" max="6" width="11.42578125" style="150" customWidth="1"/>
    <col min="7" max="7" width="37.5703125" style="150" customWidth="1"/>
    <col min="8" max="8" width="9.140625" style="150"/>
    <col min="9" max="9" width="11.42578125" style="150" customWidth="1"/>
    <col min="10" max="10" width="37.28515625" style="150" customWidth="1"/>
    <col min="11" max="11" width="9.140625" style="150"/>
    <col min="12" max="12" width="11.42578125" style="150" customWidth="1"/>
    <col min="13" max="13" width="30" style="150" customWidth="1"/>
    <col min="14" max="14" width="9.140625" style="150"/>
    <col min="15" max="15" width="11.42578125" style="150" customWidth="1"/>
    <col min="16" max="16" width="34.42578125" style="150" customWidth="1"/>
    <col min="17" max="17" width="24.28515625" style="150" customWidth="1"/>
    <col min="18" max="18" width="9.140625" style="150"/>
    <col min="19" max="19" width="13.140625" style="150" customWidth="1"/>
    <col min="20" max="20" width="30.42578125" style="150" customWidth="1"/>
    <col min="21" max="21" width="9.140625" style="150"/>
    <col min="22" max="22" width="13.140625" style="150" customWidth="1"/>
    <col min="23" max="23" width="29.85546875" style="150" customWidth="1"/>
    <col min="24" max="24" width="9.140625" style="150"/>
    <col min="25" max="25" width="13.140625" style="150" customWidth="1"/>
    <col min="26" max="26" width="34.7109375" style="150" customWidth="1"/>
    <col min="27" max="27" width="9.140625" style="150"/>
    <col min="28" max="28" width="13.140625" style="150" customWidth="1"/>
    <col min="29" max="29" width="34.42578125" style="150" customWidth="1"/>
    <col min="30" max="16384" width="9.140625" style="150"/>
  </cols>
  <sheetData>
    <row r="1" spans="1:29" s="31" customFormat="1"/>
    <row r="2" spans="1:29" s="31" customFormat="1">
      <c r="C2" s="182" t="s">
        <v>301</v>
      </c>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row>
    <row r="3" spans="1:29">
      <c r="A3" s="30"/>
      <c r="B3" s="30"/>
      <c r="C3" s="149" t="s">
        <v>0</v>
      </c>
      <c r="D3" s="150" t="s">
        <v>16</v>
      </c>
      <c r="F3" s="149" t="s">
        <v>0</v>
      </c>
      <c r="G3" s="150" t="s">
        <v>16</v>
      </c>
      <c r="I3" s="149" t="s">
        <v>0</v>
      </c>
      <c r="J3" s="150" t="s">
        <v>16</v>
      </c>
      <c r="L3" s="149" t="s">
        <v>0</v>
      </c>
      <c r="M3" s="150" t="s">
        <v>16</v>
      </c>
      <c r="O3" s="149" t="s">
        <v>0</v>
      </c>
      <c r="P3" s="150" t="s">
        <v>16</v>
      </c>
      <c r="Q3" s="33"/>
      <c r="R3" s="33"/>
      <c r="S3" s="149" t="s">
        <v>0</v>
      </c>
      <c r="T3" s="150" t="s">
        <v>16</v>
      </c>
      <c r="U3" s="33"/>
      <c r="V3" s="149" t="s">
        <v>0</v>
      </c>
      <c r="W3" s="150" t="s">
        <v>16</v>
      </c>
      <c r="Y3" s="149" t="s">
        <v>0</v>
      </c>
      <c r="Z3" s="150" t="s">
        <v>16</v>
      </c>
      <c r="AB3" s="149" t="s">
        <v>0</v>
      </c>
      <c r="AC3" s="150" t="s">
        <v>16</v>
      </c>
    </row>
    <row r="4" spans="1:29">
      <c r="A4" s="30"/>
      <c r="B4" s="30"/>
      <c r="C4" s="149" t="s">
        <v>1</v>
      </c>
      <c r="D4" s="150" t="s">
        <v>16</v>
      </c>
      <c r="F4" s="149" t="s">
        <v>1</v>
      </c>
      <c r="G4" s="150" t="s">
        <v>16</v>
      </c>
      <c r="I4" s="149" t="s">
        <v>1</v>
      </c>
      <c r="J4" s="150" t="s">
        <v>16</v>
      </c>
      <c r="L4" s="149" t="s">
        <v>1</v>
      </c>
      <c r="M4" s="150" t="s">
        <v>16</v>
      </c>
      <c r="O4" s="149" t="s">
        <v>1</v>
      </c>
      <c r="P4" s="150" t="s">
        <v>16</v>
      </c>
      <c r="Q4" s="33"/>
      <c r="R4" s="33"/>
      <c r="S4" s="149" t="s">
        <v>1</v>
      </c>
      <c r="T4" s="150" t="s">
        <v>16</v>
      </c>
      <c r="U4" s="33"/>
      <c r="V4" s="149" t="s">
        <v>1</v>
      </c>
      <c r="W4" s="150" t="s">
        <v>16</v>
      </c>
      <c r="Y4" s="149" t="s">
        <v>1</v>
      </c>
      <c r="Z4" s="150" t="s">
        <v>16</v>
      </c>
      <c r="AB4" s="149" t="s">
        <v>1</v>
      </c>
      <c r="AC4" s="150" t="s">
        <v>16</v>
      </c>
    </row>
    <row r="5" spans="1:29">
      <c r="A5" s="30"/>
      <c r="B5" s="30"/>
      <c r="C5" s="149" t="s">
        <v>3</v>
      </c>
      <c r="D5" s="150" t="s">
        <v>658</v>
      </c>
      <c r="F5" s="149" t="s">
        <v>3</v>
      </c>
      <c r="G5" s="150" t="s">
        <v>659</v>
      </c>
      <c r="I5" s="149" t="s">
        <v>3</v>
      </c>
      <c r="J5" s="150" t="s">
        <v>661</v>
      </c>
      <c r="L5" s="149" t="s">
        <v>3</v>
      </c>
      <c r="M5" s="150" t="s">
        <v>660</v>
      </c>
      <c r="O5" s="149" t="s">
        <v>3</v>
      </c>
      <c r="P5" s="150" t="s">
        <v>655</v>
      </c>
      <c r="S5" s="149" t="s">
        <v>3</v>
      </c>
      <c r="T5" s="150" t="s">
        <v>656</v>
      </c>
      <c r="V5" s="149" t="s">
        <v>3</v>
      </c>
      <c r="W5" s="150" t="s">
        <v>666</v>
      </c>
      <c r="Y5" s="149" t="s">
        <v>3</v>
      </c>
      <c r="Z5" s="150" t="s">
        <v>663</v>
      </c>
      <c r="AB5" s="149" t="s">
        <v>3</v>
      </c>
      <c r="AC5" s="150" t="s">
        <v>665</v>
      </c>
    </row>
    <row r="6" spans="1:29">
      <c r="A6" s="30"/>
      <c r="B6" s="30"/>
    </row>
    <row r="7" spans="1:29">
      <c r="A7" s="24" t="s">
        <v>330</v>
      </c>
      <c r="B7" s="24" t="s">
        <v>94</v>
      </c>
      <c r="C7" s="149" t="s">
        <v>2</v>
      </c>
      <c r="D7" t="s">
        <v>295</v>
      </c>
      <c r="F7" s="149" t="s">
        <v>2</v>
      </c>
      <c r="G7" s="104" t="s">
        <v>668</v>
      </c>
      <c r="I7" s="149" t="s">
        <v>2</v>
      </c>
      <c r="J7" s="104" t="s">
        <v>669</v>
      </c>
      <c r="L7" s="149" t="s">
        <v>2</v>
      </c>
      <c r="M7" t="s">
        <v>307</v>
      </c>
      <c r="O7" s="149" t="s">
        <v>2</v>
      </c>
      <c r="P7" s="150" t="s">
        <v>341</v>
      </c>
      <c r="Q7" s="150" t="s">
        <v>415</v>
      </c>
      <c r="S7" s="149" t="s">
        <v>17</v>
      </c>
      <c r="T7" t="s">
        <v>303</v>
      </c>
      <c r="V7" s="149" t="s">
        <v>17</v>
      </c>
      <c r="W7" t="s">
        <v>670</v>
      </c>
      <c r="Y7" s="149" t="s">
        <v>17</v>
      </c>
      <c r="Z7" t="s">
        <v>671</v>
      </c>
      <c r="AB7" s="149" t="s">
        <v>17</v>
      </c>
      <c r="AC7" t="s">
        <v>672</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D11"/>
  <sheetViews>
    <sheetView workbookViewId="0">
      <selection activeCell="A2" sqref="A2"/>
    </sheetView>
  </sheetViews>
  <sheetFormatPr defaultRowHeight="15"/>
  <cols>
    <col min="1" max="1" width="10.7109375" style="150" customWidth="1"/>
    <col min="2" max="2" width="11.42578125" style="150" customWidth="1"/>
    <col min="3" max="3" width="29.140625" style="150" customWidth="1"/>
    <col min="4" max="4" width="9.140625" style="150"/>
    <col min="5" max="5" width="11.42578125" style="150" customWidth="1"/>
    <col min="6" max="6" width="37.5703125" style="150" customWidth="1"/>
    <col min="7" max="7" width="9.140625" style="150"/>
    <col min="8" max="8" width="11.42578125" style="150" customWidth="1"/>
    <col min="9" max="9" width="37.28515625" style="150" customWidth="1"/>
    <col min="10" max="10" width="9.140625" style="150"/>
    <col min="11" max="11" width="11.42578125" style="150" customWidth="1"/>
    <col min="12" max="12" width="30" style="150" customWidth="1"/>
    <col min="13" max="13" width="12.5703125" style="152" customWidth="1"/>
    <col min="14" max="14" width="9.140625" style="150"/>
    <col min="15" max="15" width="11.42578125" style="150" customWidth="1"/>
    <col min="16" max="16" width="34.42578125" style="150" customWidth="1"/>
    <col min="17" max="17" width="24.28515625" style="150" customWidth="1"/>
    <col min="18" max="18" width="9.140625" style="150"/>
    <col min="19" max="19" width="13.140625" style="150" customWidth="1"/>
    <col min="20" max="20" width="30.42578125" style="150" customWidth="1"/>
    <col min="21" max="21" width="9.140625" style="150"/>
    <col min="22" max="22" width="13.140625" style="150" customWidth="1"/>
    <col min="23" max="23" width="29.85546875" style="150" customWidth="1"/>
    <col min="24" max="24" width="9.140625" style="150"/>
    <col min="25" max="25" width="13.140625" style="150" customWidth="1"/>
    <col min="26" max="26" width="34.7109375" style="150" customWidth="1"/>
    <col min="27" max="27" width="9.140625" style="150"/>
    <col min="28" max="28" width="13.140625" style="150" customWidth="1"/>
    <col min="29" max="29" width="30.7109375" style="150" customWidth="1"/>
    <col min="30" max="30" width="24.85546875" style="150" bestFit="1" customWidth="1"/>
    <col min="31" max="16384" width="9.140625" style="150"/>
  </cols>
  <sheetData>
    <row r="1" spans="1:30" s="31" customFormat="1"/>
    <row r="2" spans="1:30" s="31" customFormat="1">
      <c r="B2" s="182" t="s">
        <v>301</v>
      </c>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row>
    <row r="3" spans="1:30" s="31" customFormat="1">
      <c r="B3" s="149" t="s">
        <v>0</v>
      </c>
      <c r="C3" s="150" t="s">
        <v>16</v>
      </c>
      <c r="D3" s="148"/>
      <c r="E3" s="149" t="s">
        <v>0</v>
      </c>
      <c r="F3" s="150" t="s">
        <v>16</v>
      </c>
      <c r="G3" s="148"/>
      <c r="H3" s="149" t="s">
        <v>0</v>
      </c>
      <c r="I3" s="150" t="s">
        <v>16</v>
      </c>
      <c r="J3" s="148"/>
      <c r="K3" s="151" t="s">
        <v>0</v>
      </c>
      <c r="L3" s="152" t="s">
        <v>16</v>
      </c>
      <c r="M3" s="152"/>
      <c r="N3" s="148"/>
      <c r="O3" s="149" t="s">
        <v>0</v>
      </c>
      <c r="P3" s="150" t="s">
        <v>16</v>
      </c>
      <c r="Q3" s="148"/>
      <c r="R3" s="148"/>
      <c r="S3" s="149" t="s">
        <v>0</v>
      </c>
      <c r="T3" s="150" t="s">
        <v>16</v>
      </c>
      <c r="U3" s="148"/>
      <c r="V3" s="149" t="s">
        <v>0</v>
      </c>
      <c r="W3" s="150" t="s">
        <v>16</v>
      </c>
      <c r="X3" s="148"/>
      <c r="Y3" s="149" t="s">
        <v>0</v>
      </c>
      <c r="Z3" s="150" t="s">
        <v>16</v>
      </c>
      <c r="AA3" s="148"/>
      <c r="AB3" s="151" t="s">
        <v>0</v>
      </c>
      <c r="AC3" s="152" t="s">
        <v>16</v>
      </c>
    </row>
    <row r="4" spans="1:30">
      <c r="A4" s="30"/>
      <c r="B4" s="149" t="s">
        <v>1</v>
      </c>
      <c r="C4" s="150" t="s">
        <v>16</v>
      </c>
      <c r="E4" s="149" t="s">
        <v>1</v>
      </c>
      <c r="F4" s="150" t="s">
        <v>16</v>
      </c>
      <c r="H4" s="149" t="s">
        <v>1</v>
      </c>
      <c r="I4" s="150" t="s">
        <v>16</v>
      </c>
      <c r="K4" s="151" t="s">
        <v>1</v>
      </c>
      <c r="L4" s="152" t="s">
        <v>16</v>
      </c>
      <c r="O4" s="149" t="s">
        <v>1</v>
      </c>
      <c r="P4" s="150" t="s">
        <v>16</v>
      </c>
      <c r="Q4" s="33"/>
      <c r="R4" s="33"/>
      <c r="S4" s="149" t="s">
        <v>1</v>
      </c>
      <c r="T4" s="150" t="s">
        <v>16</v>
      </c>
      <c r="U4" s="33"/>
      <c r="V4" s="149" t="s">
        <v>1</v>
      </c>
      <c r="W4" s="150" t="s">
        <v>16</v>
      </c>
      <c r="Y4" s="149" t="s">
        <v>1</v>
      </c>
      <c r="Z4" s="150" t="s">
        <v>16</v>
      </c>
      <c r="AB4" s="151" t="s">
        <v>1</v>
      </c>
      <c r="AC4" s="152" t="s">
        <v>16</v>
      </c>
    </row>
    <row r="5" spans="1:30">
      <c r="A5" s="30"/>
      <c r="B5" s="149" t="s">
        <v>2</v>
      </c>
      <c r="C5" s="150" t="s">
        <v>16</v>
      </c>
      <c r="E5" s="149" t="s">
        <v>2</v>
      </c>
      <c r="F5" s="150" t="s">
        <v>16</v>
      </c>
      <c r="H5" s="149" t="s">
        <v>2</v>
      </c>
      <c r="I5" s="150" t="s">
        <v>16</v>
      </c>
      <c r="K5" s="151" t="s">
        <v>2</v>
      </c>
      <c r="L5" s="152" t="s">
        <v>16</v>
      </c>
      <c r="O5" s="149" t="s">
        <v>2</v>
      </c>
      <c r="P5" s="150" t="s">
        <v>16</v>
      </c>
      <c r="Q5" s="33"/>
      <c r="R5" s="33"/>
      <c r="S5" s="149" t="s">
        <v>2</v>
      </c>
      <c r="T5" s="150" t="s">
        <v>16</v>
      </c>
      <c r="U5" s="33"/>
      <c r="V5" s="149" t="s">
        <v>2</v>
      </c>
      <c r="W5" s="150" t="s">
        <v>16</v>
      </c>
      <c r="Y5" s="149" t="s">
        <v>2</v>
      </c>
      <c r="Z5" s="150" t="s">
        <v>16</v>
      </c>
      <c r="AB5" s="151" t="s">
        <v>2</v>
      </c>
      <c r="AC5" s="152" t="s">
        <v>16</v>
      </c>
    </row>
    <row r="6" spans="1:30">
      <c r="A6" s="30"/>
      <c r="B6" s="149" t="s">
        <v>3</v>
      </c>
      <c r="C6" s="150" t="s">
        <v>658</v>
      </c>
      <c r="E6" s="149" t="s">
        <v>3</v>
      </c>
      <c r="F6" s="150" t="s">
        <v>659</v>
      </c>
      <c r="H6" s="149" t="s">
        <v>3</v>
      </c>
      <c r="I6" s="150" t="s">
        <v>153</v>
      </c>
      <c r="K6" s="151" t="s">
        <v>3</v>
      </c>
      <c r="L6" s="152" t="s">
        <v>660</v>
      </c>
      <c r="O6" s="149" t="s">
        <v>3</v>
      </c>
      <c r="P6" s="150" t="s">
        <v>655</v>
      </c>
      <c r="S6" s="149" t="s">
        <v>3</v>
      </c>
      <c r="T6" s="150" t="s">
        <v>656</v>
      </c>
      <c r="V6" s="149" t="s">
        <v>3</v>
      </c>
      <c r="W6" s="150" t="s">
        <v>666</v>
      </c>
      <c r="Y6" s="149" t="s">
        <v>3</v>
      </c>
      <c r="Z6" s="150" t="s">
        <v>663</v>
      </c>
      <c r="AB6" s="151" t="s">
        <v>3</v>
      </c>
      <c r="AC6" s="152" t="s">
        <v>664</v>
      </c>
    </row>
    <row r="7" spans="1:30">
      <c r="A7" s="30"/>
    </row>
    <row r="8" spans="1:30">
      <c r="A8" s="24" t="s">
        <v>122</v>
      </c>
      <c r="B8" s="149" t="s">
        <v>2</v>
      </c>
      <c r="C8" t="s">
        <v>295</v>
      </c>
      <c r="E8" s="149" t="s">
        <v>2</v>
      </c>
      <c r="F8" t="s">
        <v>668</v>
      </c>
      <c r="H8" s="149" t="s">
        <v>2</v>
      </c>
      <c r="I8" t="s">
        <v>669</v>
      </c>
      <c r="K8" s="151" t="s">
        <v>2</v>
      </c>
      <c r="L8" s="152" t="s">
        <v>307</v>
      </c>
      <c r="M8" s="152" t="s">
        <v>537</v>
      </c>
      <c r="O8" s="149" t="s">
        <v>2</v>
      </c>
      <c r="P8" s="150" t="s">
        <v>341</v>
      </c>
      <c r="Q8" s="150" t="s">
        <v>415</v>
      </c>
      <c r="S8" s="149" t="s">
        <v>17</v>
      </c>
      <c r="T8" t="s">
        <v>303</v>
      </c>
      <c r="V8" s="149" t="s">
        <v>17</v>
      </c>
      <c r="W8" t="s">
        <v>670</v>
      </c>
      <c r="Y8" s="149" t="s">
        <v>17</v>
      </c>
      <c r="Z8" t="s">
        <v>671</v>
      </c>
      <c r="AB8" s="151" t="s">
        <v>17</v>
      </c>
      <c r="AC8" s="152" t="s">
        <v>673</v>
      </c>
      <c r="AD8" s="152" t="s">
        <v>674</v>
      </c>
    </row>
    <row r="9" spans="1:30">
      <c r="A9" s="50">
        <f>INDEX('Node Information'!J:$J,MATCH(B9,'Node Information'!$A:$A,0))</f>
        <v>6.5428240740740704E-2</v>
      </c>
      <c r="B9" s="4" t="s">
        <v>49</v>
      </c>
      <c r="C9" s="5">
        <v>12</v>
      </c>
      <c r="E9" s="4" t="s">
        <v>49</v>
      </c>
      <c r="F9" s="104">
        <v>7.89</v>
      </c>
      <c r="H9" s="4" t="s">
        <v>49</v>
      </c>
      <c r="I9" s="104">
        <v>0.191833</v>
      </c>
      <c r="K9" s="4" t="s">
        <v>49</v>
      </c>
      <c r="L9" s="104">
        <v>3.45</v>
      </c>
      <c r="M9" s="104">
        <v>0</v>
      </c>
      <c r="O9" s="4" t="s">
        <v>49</v>
      </c>
      <c r="P9" s="5">
        <v>123</v>
      </c>
      <c r="Q9" s="5">
        <v>0</v>
      </c>
      <c r="S9" s="4" t="s">
        <v>49</v>
      </c>
      <c r="T9" s="5">
        <v>54</v>
      </c>
      <c r="V9" s="4" t="s">
        <v>49</v>
      </c>
      <c r="W9" s="104">
        <v>23.45</v>
      </c>
      <c r="Y9" s="4" t="s">
        <v>49</v>
      </c>
      <c r="Z9" s="104">
        <v>12.43</v>
      </c>
      <c r="AB9" s="4" t="s">
        <v>49</v>
      </c>
      <c r="AC9" s="104">
        <v>5.67</v>
      </c>
      <c r="AD9" s="104">
        <v>0</v>
      </c>
    </row>
    <row r="10" spans="1:30">
      <c r="B10" s="4" t="s">
        <v>18</v>
      </c>
      <c r="C10" s="5">
        <v>12</v>
      </c>
      <c r="E10" s="4" t="s">
        <v>18</v>
      </c>
      <c r="F10" s="104">
        <v>7.89</v>
      </c>
      <c r="H10" s="4" t="s">
        <v>18</v>
      </c>
      <c r="I10" s="104">
        <v>0.191833</v>
      </c>
      <c r="K10" s="4" t="s">
        <v>18</v>
      </c>
      <c r="L10" s="104">
        <v>3.45</v>
      </c>
      <c r="M10" s="104">
        <v>0</v>
      </c>
      <c r="O10" s="4" t="s">
        <v>18</v>
      </c>
      <c r="P10" s="5">
        <v>123</v>
      </c>
      <c r="Q10" s="5">
        <v>0</v>
      </c>
      <c r="S10" s="4" t="s">
        <v>18</v>
      </c>
      <c r="T10" s="5">
        <v>54</v>
      </c>
      <c r="V10" s="4" t="s">
        <v>18</v>
      </c>
      <c r="W10" s="104">
        <v>23.45</v>
      </c>
      <c r="Y10" s="4" t="s">
        <v>18</v>
      </c>
      <c r="Z10" s="104">
        <v>12.43</v>
      </c>
      <c r="AB10" s="4" t="s">
        <v>18</v>
      </c>
      <c r="AC10" s="104">
        <v>5.67</v>
      </c>
      <c r="AD10" s="104">
        <v>0</v>
      </c>
    </row>
    <row r="11" spans="1:30">
      <c r="B11"/>
      <c r="C11"/>
      <c r="E11"/>
      <c r="F11"/>
      <c r="H11"/>
      <c r="I11"/>
      <c r="K11"/>
      <c r="L11"/>
      <c r="O11"/>
      <c r="P11"/>
      <c r="Q11"/>
      <c r="S11"/>
      <c r="T11"/>
      <c r="AB11"/>
      <c r="AC11"/>
    </row>
  </sheetData>
  <mergeCells count="1">
    <mergeCell ref="B2:AC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82" t="s">
        <v>301</v>
      </c>
      <c r="D2" s="177"/>
      <c r="E2" s="177"/>
      <c r="F2" s="177"/>
      <c r="G2" s="177"/>
      <c r="H2" s="177"/>
      <c r="I2" s="177"/>
      <c r="J2" s="177"/>
      <c r="K2" s="177"/>
      <c r="L2" s="177"/>
      <c r="M2" s="177"/>
      <c r="N2" s="177"/>
      <c r="O2" s="177"/>
      <c r="P2" s="177"/>
      <c r="Q2" s="177"/>
      <c r="R2" s="177"/>
      <c r="S2" s="177"/>
      <c r="T2" s="177"/>
      <c r="U2" s="177"/>
    </row>
    <row r="3" spans="1:21">
      <c r="A3" s="30"/>
      <c r="B3" s="30"/>
      <c r="C3" s="149" t="s">
        <v>0</v>
      </c>
      <c r="D3" s="150" t="s">
        <v>16</v>
      </c>
      <c r="F3" s="149" t="s">
        <v>0</v>
      </c>
      <c r="G3" s="150" t="s">
        <v>16</v>
      </c>
      <c r="I3" s="149" t="s">
        <v>0</v>
      </c>
      <c r="J3" s="150" t="s">
        <v>16</v>
      </c>
      <c r="L3" s="149" t="s">
        <v>0</v>
      </c>
      <c r="M3" s="150" t="s">
        <v>16</v>
      </c>
      <c r="O3" s="149" t="s">
        <v>0</v>
      </c>
      <c r="P3" s="150" t="s">
        <v>16</v>
      </c>
      <c r="Q3" s="33"/>
      <c r="R3" s="33"/>
      <c r="S3" s="149" t="s">
        <v>0</v>
      </c>
      <c r="T3" s="150" t="s">
        <v>16</v>
      </c>
      <c r="U3" s="33"/>
    </row>
    <row r="4" spans="1:21">
      <c r="A4" s="30"/>
      <c r="B4" s="30"/>
      <c r="C4" s="149" t="s">
        <v>1</v>
      </c>
      <c r="D4" s="150" t="s">
        <v>16</v>
      </c>
      <c r="F4" s="149" t="s">
        <v>1</v>
      </c>
      <c r="G4" s="150" t="s">
        <v>16</v>
      </c>
      <c r="I4" s="149" t="s">
        <v>1</v>
      </c>
      <c r="J4" s="150" t="s">
        <v>16</v>
      </c>
      <c r="L4" s="149" t="s">
        <v>1</v>
      </c>
      <c r="M4" s="150" t="s">
        <v>16</v>
      </c>
      <c r="O4" s="149" t="s">
        <v>1</v>
      </c>
      <c r="P4" s="150" t="s">
        <v>16</v>
      </c>
      <c r="Q4" s="33"/>
      <c r="R4" s="33"/>
      <c r="S4" s="149" t="s">
        <v>1</v>
      </c>
      <c r="T4" s="150" t="s">
        <v>16</v>
      </c>
      <c r="U4" s="33"/>
    </row>
    <row r="5" spans="1:21">
      <c r="A5" s="30"/>
      <c r="B5" s="30"/>
      <c r="C5" s="149" t="s">
        <v>3</v>
      </c>
      <c r="D5" s="150" t="s">
        <v>142</v>
      </c>
      <c r="F5" s="149" t="s">
        <v>3</v>
      </c>
      <c r="G5" s="150" t="s">
        <v>151</v>
      </c>
      <c r="I5" s="149" t="s">
        <v>3</v>
      </c>
      <c r="J5" s="150" t="s">
        <v>153</v>
      </c>
      <c r="L5" s="149" t="s">
        <v>3</v>
      </c>
      <c r="M5" s="150" t="s">
        <v>154</v>
      </c>
      <c r="O5" s="149" t="s">
        <v>3</v>
      </c>
      <c r="P5" s="150" t="s">
        <v>413</v>
      </c>
      <c r="S5" s="149" t="s">
        <v>3</v>
      </c>
      <c r="T5" s="150" t="s">
        <v>414</v>
      </c>
    </row>
    <row r="6" spans="1:21">
      <c r="A6" s="30"/>
      <c r="B6" s="30"/>
    </row>
    <row r="7" spans="1:21">
      <c r="A7" s="24" t="s">
        <v>330</v>
      </c>
      <c r="B7" s="24" t="s">
        <v>94</v>
      </c>
      <c r="C7" s="149" t="s">
        <v>2</v>
      </c>
      <c r="D7" t="s">
        <v>295</v>
      </c>
      <c r="F7" s="149" t="s">
        <v>2</v>
      </c>
      <c r="G7" t="s">
        <v>305</v>
      </c>
      <c r="I7" s="149" t="s">
        <v>2</v>
      </c>
      <c r="J7" t="s">
        <v>306</v>
      </c>
      <c r="L7" s="149" t="s">
        <v>2</v>
      </c>
      <c r="M7" t="s">
        <v>307</v>
      </c>
      <c r="O7" s="149" t="s">
        <v>2</v>
      </c>
      <c r="P7" s="150" t="s">
        <v>341</v>
      </c>
      <c r="Q7" s="150" t="s">
        <v>415</v>
      </c>
      <c r="S7" s="149"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8" sqref="A8:A9"/>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82" t="s">
        <v>301</v>
      </c>
      <c r="C2" s="177"/>
      <c r="D2" s="177"/>
      <c r="E2" s="177"/>
      <c r="F2" s="177"/>
      <c r="G2" s="177"/>
      <c r="H2" s="177"/>
      <c r="I2" s="177"/>
      <c r="J2" s="177"/>
      <c r="K2" s="177"/>
      <c r="L2" s="177"/>
      <c r="M2" s="177"/>
      <c r="N2" s="177"/>
      <c r="O2" s="177"/>
      <c r="P2" s="177"/>
      <c r="Q2" s="177"/>
      <c r="R2" s="177"/>
      <c r="S2" s="177"/>
      <c r="T2" s="177"/>
    </row>
    <row r="3" spans="1:20" s="31" customFormat="1">
      <c r="B3" s="149" t="s">
        <v>0</v>
      </c>
      <c r="C3" s="150" t="s">
        <v>16</v>
      </c>
      <c r="E3" s="149" t="s">
        <v>0</v>
      </c>
      <c r="F3" s="150" t="s">
        <v>16</v>
      </c>
      <c r="H3" s="149" t="s">
        <v>0</v>
      </c>
      <c r="I3" s="150" t="s">
        <v>16</v>
      </c>
      <c r="K3" s="149" t="s">
        <v>0</v>
      </c>
      <c r="L3" s="150" t="s">
        <v>16</v>
      </c>
      <c r="N3" s="149" t="s">
        <v>0</v>
      </c>
      <c r="O3" s="150" t="s">
        <v>16</v>
      </c>
      <c r="R3" s="149" t="s">
        <v>0</v>
      </c>
      <c r="S3" s="150" t="s">
        <v>16</v>
      </c>
    </row>
    <row r="4" spans="1:20">
      <c r="A4" s="30"/>
      <c r="B4" s="149" t="s">
        <v>1</v>
      </c>
      <c r="C4" s="150" t="s">
        <v>16</v>
      </c>
      <c r="E4" s="149" t="s">
        <v>1</v>
      </c>
      <c r="F4" s="150" t="s">
        <v>16</v>
      </c>
      <c r="H4" s="149" t="s">
        <v>1</v>
      </c>
      <c r="I4" s="150" t="s">
        <v>16</v>
      </c>
      <c r="K4" s="149" t="s">
        <v>1</v>
      </c>
      <c r="L4" s="150" t="s">
        <v>16</v>
      </c>
      <c r="N4" s="149" t="s">
        <v>1</v>
      </c>
      <c r="O4" s="150" t="s">
        <v>16</v>
      </c>
      <c r="P4" s="33"/>
      <c r="Q4" s="33"/>
      <c r="R4" s="149" t="s">
        <v>1</v>
      </c>
      <c r="S4" s="150" t="s">
        <v>16</v>
      </c>
      <c r="T4" s="33"/>
    </row>
    <row r="5" spans="1:20">
      <c r="A5" s="30"/>
      <c r="B5" s="149" t="s">
        <v>2</v>
      </c>
      <c r="C5" s="150" t="s">
        <v>16</v>
      </c>
      <c r="E5" s="149" t="s">
        <v>2</v>
      </c>
      <c r="F5" s="150" t="s">
        <v>16</v>
      </c>
      <c r="H5" s="149" t="s">
        <v>2</v>
      </c>
      <c r="I5" s="150" t="s">
        <v>16</v>
      </c>
      <c r="K5" s="149" t="s">
        <v>2</v>
      </c>
      <c r="L5" s="150" t="s">
        <v>16</v>
      </c>
      <c r="N5" s="149" t="s">
        <v>2</v>
      </c>
      <c r="O5" s="150" t="s">
        <v>16</v>
      </c>
      <c r="P5" s="33"/>
      <c r="Q5" s="33"/>
      <c r="R5" s="149" t="s">
        <v>2</v>
      </c>
      <c r="S5" s="150" t="s">
        <v>16</v>
      </c>
      <c r="T5" s="33"/>
    </row>
    <row r="6" spans="1:20">
      <c r="A6" s="30"/>
      <c r="B6" s="149" t="s">
        <v>3</v>
      </c>
      <c r="C6" s="150" t="s">
        <v>142</v>
      </c>
      <c r="E6" s="149" t="s">
        <v>3</v>
      </c>
      <c r="F6" s="150" t="s">
        <v>151</v>
      </c>
      <c r="H6" s="149" t="s">
        <v>3</v>
      </c>
      <c r="I6" s="150" t="s">
        <v>153</v>
      </c>
      <c r="K6" s="149" t="s">
        <v>3</v>
      </c>
      <c r="L6" s="150" t="s">
        <v>154</v>
      </c>
      <c r="N6" s="149" t="s">
        <v>3</v>
      </c>
      <c r="O6" s="150" t="s">
        <v>413</v>
      </c>
      <c r="R6" s="149" t="s">
        <v>3</v>
      </c>
      <c r="S6" s="150" t="s">
        <v>414</v>
      </c>
    </row>
    <row r="7" spans="1:20">
      <c r="A7" s="30"/>
    </row>
    <row r="8" spans="1:20">
      <c r="A8" s="24" t="s">
        <v>122</v>
      </c>
      <c r="B8" s="149" t="s">
        <v>2</v>
      </c>
      <c r="C8" t="s">
        <v>295</v>
      </c>
      <c r="E8" s="149" t="s">
        <v>2</v>
      </c>
      <c r="F8" t="s">
        <v>305</v>
      </c>
      <c r="H8" s="149" t="s">
        <v>2</v>
      </c>
      <c r="I8" t="s">
        <v>306</v>
      </c>
      <c r="K8" s="149" t="s">
        <v>2</v>
      </c>
      <c r="L8" t="s">
        <v>307</v>
      </c>
      <c r="N8" s="149" t="s">
        <v>2</v>
      </c>
      <c r="O8" s="150" t="s">
        <v>341</v>
      </c>
      <c r="P8" s="150" t="s">
        <v>421</v>
      </c>
      <c r="R8" s="149"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39" customWidth="1"/>
    <col min="2" max="2" width="32.85546875" style="139" customWidth="1"/>
    <col min="3" max="3" width="11.42578125" style="139" customWidth="1"/>
    <col min="4" max="4" width="29.140625" style="139" customWidth="1"/>
    <col min="5" max="5" width="9.140625" style="139"/>
    <col min="6" max="6" width="11.42578125" style="139" customWidth="1"/>
    <col min="7" max="7" width="34.42578125" style="139" customWidth="1"/>
    <col min="8" max="8" width="9.140625" style="139"/>
    <col min="9" max="9" width="11.42578125" style="139" customWidth="1"/>
    <col min="10" max="10" width="34.5703125" style="139" customWidth="1"/>
    <col min="11" max="11" width="7.28515625" style="139" customWidth="1"/>
    <col min="12" max="12" width="9.140625" style="139"/>
    <col min="13" max="13" width="11.42578125" style="139" customWidth="1"/>
    <col min="14" max="14" width="34.140625" style="139" customWidth="1"/>
    <col min="15" max="15" width="9.140625" style="139"/>
    <col min="16" max="16" width="11.42578125" style="139" customWidth="1"/>
    <col min="17" max="17" width="30.85546875" style="139" customWidth="1"/>
    <col min="18" max="18" width="8.28515625" style="139" customWidth="1"/>
    <col min="19" max="19" width="13.7109375" style="139" customWidth="1"/>
    <col min="20" max="20" width="12" style="139" customWidth="1"/>
    <col min="21" max="21" width="27.5703125" style="139" customWidth="1"/>
    <col min="22" max="16384" width="9.140625" style="139"/>
  </cols>
  <sheetData>
    <row r="1" spans="1:22" s="31" customFormat="1"/>
    <row r="2" spans="1:22" s="31" customFormat="1">
      <c r="C2" s="182" t="s">
        <v>301</v>
      </c>
      <c r="D2" s="177"/>
      <c r="E2" s="177"/>
      <c r="F2" s="177"/>
      <c r="G2" s="177"/>
      <c r="H2" s="177"/>
      <c r="I2" s="177"/>
      <c r="J2" s="177"/>
      <c r="K2" s="177"/>
      <c r="L2" s="177"/>
      <c r="M2" s="177"/>
      <c r="N2" s="177"/>
      <c r="O2" s="177"/>
      <c r="P2" s="177"/>
      <c r="Q2" s="177"/>
      <c r="R2" s="177"/>
      <c r="S2" s="177"/>
      <c r="T2" s="177"/>
      <c r="U2" s="177"/>
      <c r="V2" s="177"/>
    </row>
    <row r="3" spans="1:22">
      <c r="A3" s="30"/>
      <c r="B3" s="30"/>
      <c r="C3" s="149" t="s">
        <v>0</v>
      </c>
      <c r="D3" s="150" t="s">
        <v>16</v>
      </c>
      <c r="F3" s="149" t="s">
        <v>0</v>
      </c>
      <c r="G3" s="150" t="s">
        <v>16</v>
      </c>
      <c r="I3" s="149" t="s">
        <v>0</v>
      </c>
      <c r="J3" s="150" t="s">
        <v>16</v>
      </c>
      <c r="M3" s="149" t="s">
        <v>0</v>
      </c>
      <c r="N3" s="150" t="s">
        <v>16</v>
      </c>
      <c r="P3" s="149" t="s">
        <v>0</v>
      </c>
      <c r="Q3" s="150" t="s">
        <v>16</v>
      </c>
      <c r="R3" s="33"/>
      <c r="S3" s="33"/>
      <c r="V3" s="33"/>
    </row>
    <row r="4" spans="1:22">
      <c r="A4" s="30"/>
      <c r="B4" s="30"/>
      <c r="C4" s="149" t="s">
        <v>1</v>
      </c>
      <c r="D4" s="150" t="s">
        <v>16</v>
      </c>
      <c r="F4" s="149" t="s">
        <v>1</v>
      </c>
      <c r="G4" s="150" t="s">
        <v>16</v>
      </c>
      <c r="I4" s="149" t="s">
        <v>1</v>
      </c>
      <c r="J4" s="150" t="s">
        <v>16</v>
      </c>
      <c r="M4" s="149" t="s">
        <v>1</v>
      </c>
      <c r="N4" s="150" t="s">
        <v>16</v>
      </c>
      <c r="P4" s="149" t="s">
        <v>1</v>
      </c>
      <c r="Q4" s="150" t="s">
        <v>16</v>
      </c>
      <c r="R4" s="33"/>
      <c r="S4" s="33"/>
      <c r="V4" s="33"/>
    </row>
    <row r="5" spans="1:22">
      <c r="A5" s="30"/>
      <c r="B5" s="30"/>
      <c r="C5" s="149" t="s">
        <v>3</v>
      </c>
      <c r="D5" s="150" t="s">
        <v>633</v>
      </c>
      <c r="F5" s="149" t="s">
        <v>3</v>
      </c>
      <c r="G5" s="150" t="s">
        <v>630</v>
      </c>
      <c r="I5" s="149" t="s">
        <v>3</v>
      </c>
      <c r="J5" s="150" t="s">
        <v>631</v>
      </c>
      <c r="M5" s="149" t="s">
        <v>3</v>
      </c>
      <c r="N5" s="150" t="s">
        <v>632</v>
      </c>
      <c r="P5" s="149" t="s">
        <v>3</v>
      </c>
      <c r="Q5" s="150" t="s">
        <v>634</v>
      </c>
    </row>
    <row r="6" spans="1:22">
      <c r="A6" s="30"/>
      <c r="B6" s="30"/>
    </row>
    <row r="7" spans="1:22">
      <c r="A7" s="24" t="s">
        <v>330</v>
      </c>
      <c r="B7" s="24" t="s">
        <v>94</v>
      </c>
      <c r="C7" s="149" t="s">
        <v>2</v>
      </c>
      <c r="D7" t="s">
        <v>295</v>
      </c>
      <c r="F7" s="149" t="s">
        <v>2</v>
      </c>
      <c r="G7" t="s">
        <v>635</v>
      </c>
      <c r="I7" s="149" t="s">
        <v>2</v>
      </c>
      <c r="J7" s="150" t="s">
        <v>636</v>
      </c>
      <c r="K7" s="150" t="s">
        <v>537</v>
      </c>
      <c r="M7" s="149" t="s">
        <v>2</v>
      </c>
      <c r="N7" t="s">
        <v>637</v>
      </c>
      <c r="P7" s="149" t="s">
        <v>2</v>
      </c>
      <c r="Q7" s="150" t="s">
        <v>640</v>
      </c>
      <c r="R7" s="150" t="s">
        <v>638</v>
      </c>
      <c r="S7" s="150" t="s">
        <v>639</v>
      </c>
      <c r="T7" s="150" t="s">
        <v>641</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U10"/>
  <sheetViews>
    <sheetView workbookViewId="0"/>
  </sheetViews>
  <sheetFormatPr defaultRowHeight="15"/>
  <cols>
    <col min="1" max="1" width="10.7109375" style="139" customWidth="1"/>
    <col min="2" max="2" width="11.42578125" style="139" customWidth="1"/>
    <col min="3" max="3" width="29.140625" style="139" customWidth="1"/>
    <col min="4" max="4" width="9.140625" style="139"/>
    <col min="5" max="5" width="11.42578125" style="139" customWidth="1"/>
    <col min="6" max="6" width="46.28515625" style="139" customWidth="1"/>
    <col min="7" max="7" width="7.28515625" style="139" customWidth="1"/>
    <col min="8" max="8" width="9.140625" style="139"/>
    <col min="9" max="9" width="11.42578125" style="139" customWidth="1"/>
    <col min="10" max="10" width="34.140625" style="139" customWidth="1"/>
    <col min="11" max="11" width="9.140625" style="139"/>
    <col min="12" max="12" width="11.42578125" style="139" customWidth="1"/>
    <col min="13" max="13" width="30.42578125" style="139" customWidth="1"/>
    <col min="14" max="14" width="9.140625" style="139"/>
    <col min="15" max="15" width="11.42578125" style="139" customWidth="1"/>
    <col min="16" max="16" width="30.85546875" style="139" customWidth="1"/>
    <col min="17" max="17" width="8.28515625" style="139" customWidth="1"/>
    <col min="18" max="18" width="9.140625" style="139"/>
    <col min="19" max="19" width="13.140625" style="139" customWidth="1"/>
    <col min="20" max="20" width="27.5703125" style="139" customWidth="1"/>
    <col min="21" max="16384" width="9.140625" style="139"/>
  </cols>
  <sheetData>
    <row r="1" spans="1:21" s="31" customFormat="1"/>
    <row r="2" spans="1:21">
      <c r="A2" s="31"/>
      <c r="B2" s="182" t="s">
        <v>301</v>
      </c>
      <c r="C2" s="177"/>
      <c r="D2" s="177"/>
      <c r="E2" s="177"/>
      <c r="F2" s="177"/>
      <c r="G2" s="177"/>
      <c r="H2" s="177"/>
      <c r="I2" s="177"/>
      <c r="J2" s="177"/>
      <c r="K2" s="177"/>
      <c r="L2" s="177"/>
      <c r="M2" s="177"/>
      <c r="N2" s="177"/>
      <c r="O2" s="177"/>
      <c r="P2" s="177"/>
      <c r="Q2" s="177"/>
      <c r="R2" s="177"/>
      <c r="S2" s="177"/>
      <c r="T2" s="177"/>
      <c r="U2" s="177"/>
    </row>
    <row r="3" spans="1:21" s="31" customFormat="1">
      <c r="B3" s="149" t="s">
        <v>0</v>
      </c>
      <c r="C3" s="150" t="s">
        <v>16</v>
      </c>
      <c r="E3" s="149" t="s">
        <v>0</v>
      </c>
      <c r="F3" s="150" t="s">
        <v>16</v>
      </c>
      <c r="G3" s="139"/>
      <c r="I3" s="149" t="s">
        <v>0</v>
      </c>
      <c r="J3" s="150" t="s">
        <v>16</v>
      </c>
      <c r="L3" s="149" t="s">
        <v>0</v>
      </c>
      <c r="M3" s="150" t="s">
        <v>16</v>
      </c>
      <c r="O3" s="149" t="s">
        <v>0</v>
      </c>
      <c r="P3" s="150" t="s">
        <v>16</v>
      </c>
      <c r="S3" s="139"/>
      <c r="T3" s="139"/>
    </row>
    <row r="4" spans="1:21">
      <c r="A4" s="30"/>
      <c r="B4" s="149" t="s">
        <v>1</v>
      </c>
      <c r="C4" s="150" t="s">
        <v>16</v>
      </c>
      <c r="E4" s="149" t="s">
        <v>1</v>
      </c>
      <c r="F4" s="150" t="s">
        <v>16</v>
      </c>
      <c r="I4" s="149" t="s">
        <v>1</v>
      </c>
      <c r="J4" s="150" t="s">
        <v>16</v>
      </c>
      <c r="L4" s="149" t="s">
        <v>1</v>
      </c>
      <c r="M4" s="150" t="s">
        <v>16</v>
      </c>
      <c r="O4" s="149" t="s">
        <v>1</v>
      </c>
      <c r="P4" s="150" t="s">
        <v>16</v>
      </c>
      <c r="Q4" s="33"/>
      <c r="R4" s="33"/>
      <c r="U4" s="33"/>
    </row>
    <row r="5" spans="1:21">
      <c r="A5" s="30"/>
      <c r="B5" s="149" t="s">
        <v>2</v>
      </c>
      <c r="C5" s="150" t="s">
        <v>16</v>
      </c>
      <c r="E5" s="149" t="s">
        <v>2</v>
      </c>
      <c r="F5" s="150" t="s">
        <v>16</v>
      </c>
      <c r="I5" s="149" t="s">
        <v>2</v>
      </c>
      <c r="J5" s="150" t="s">
        <v>16</v>
      </c>
      <c r="L5" s="149" t="s">
        <v>2</v>
      </c>
      <c r="M5" s="150" t="s">
        <v>16</v>
      </c>
      <c r="O5" s="149" t="s">
        <v>2</v>
      </c>
      <c r="P5" s="150" t="s">
        <v>16</v>
      </c>
      <c r="Q5" s="33"/>
      <c r="R5" s="33"/>
      <c r="U5" s="33"/>
    </row>
    <row r="6" spans="1:21">
      <c r="A6" s="30"/>
      <c r="B6" s="149" t="s">
        <v>3</v>
      </c>
      <c r="C6" s="150" t="s">
        <v>633</v>
      </c>
      <c r="E6" s="149" t="s">
        <v>3</v>
      </c>
      <c r="F6" s="150" t="s">
        <v>630</v>
      </c>
      <c r="I6" s="149" t="s">
        <v>3</v>
      </c>
      <c r="J6" s="150" t="s">
        <v>632</v>
      </c>
      <c r="L6" s="149" t="s">
        <v>3</v>
      </c>
      <c r="M6" s="150" t="s">
        <v>631</v>
      </c>
      <c r="O6" s="149" t="s">
        <v>3</v>
      </c>
      <c r="P6" s="150" t="s">
        <v>634</v>
      </c>
    </row>
    <row r="7" spans="1:21">
      <c r="A7" s="30"/>
    </row>
    <row r="8" spans="1:21">
      <c r="A8" s="24" t="s">
        <v>122</v>
      </c>
      <c r="B8" s="149" t="s">
        <v>2</v>
      </c>
      <c r="C8" t="s">
        <v>295</v>
      </c>
      <c r="E8" s="149" t="s">
        <v>2</v>
      </c>
      <c r="F8" s="150" t="s">
        <v>642</v>
      </c>
      <c r="G8" s="150" t="s">
        <v>537</v>
      </c>
      <c r="I8" s="149" t="s">
        <v>2</v>
      </c>
      <c r="J8" t="s">
        <v>637</v>
      </c>
      <c r="L8" s="149" t="s">
        <v>2</v>
      </c>
      <c r="M8" t="s">
        <v>303</v>
      </c>
      <c r="O8" s="149" t="s">
        <v>2</v>
      </c>
      <c r="P8" s="150" t="s">
        <v>643</v>
      </c>
      <c r="Q8" s="150" t="s">
        <v>638</v>
      </c>
    </row>
    <row r="9" spans="1:21">
      <c r="A9" s="50">
        <f>INDEX('Node Information'!J:$J,MATCH(B9,'Node Information'!$A:$A,0))</f>
        <v>6.5428240740740704E-2</v>
      </c>
      <c r="B9" s="4" t="s">
        <v>49</v>
      </c>
      <c r="C9" s="5">
        <v>10</v>
      </c>
      <c r="E9" s="4" t="s">
        <v>49</v>
      </c>
      <c r="F9" s="5">
        <v>230</v>
      </c>
      <c r="G9" s="6">
        <v>0</v>
      </c>
      <c r="I9" s="4" t="s">
        <v>49</v>
      </c>
      <c r="J9" s="5">
        <v>100</v>
      </c>
      <c r="L9" s="4" t="s">
        <v>49</v>
      </c>
      <c r="M9" s="6">
        <v>124</v>
      </c>
      <c r="O9" s="4" t="s">
        <v>49</v>
      </c>
      <c r="P9" s="5">
        <v>5</v>
      </c>
      <c r="Q9" s="5">
        <v>5</v>
      </c>
      <c r="S9" s="4"/>
      <c r="T9" s="5"/>
    </row>
    <row r="10" spans="1:21">
      <c r="B10" s="4" t="s">
        <v>18</v>
      </c>
      <c r="C10" s="5">
        <v>10</v>
      </c>
      <c r="E10" s="4" t="s">
        <v>18</v>
      </c>
      <c r="F10" s="5">
        <v>230</v>
      </c>
      <c r="G10" s="6">
        <v>0</v>
      </c>
      <c r="I10" s="4" t="s">
        <v>18</v>
      </c>
      <c r="J10" s="5">
        <v>100</v>
      </c>
      <c r="L10" s="4" t="s">
        <v>18</v>
      </c>
      <c r="M10" s="6">
        <v>124</v>
      </c>
      <c r="O10" s="4" t="s">
        <v>18</v>
      </c>
      <c r="P10" s="5">
        <v>5</v>
      </c>
      <c r="Q10" s="5">
        <v>5</v>
      </c>
      <c r="S10" s="4"/>
      <c r="T10" s="5"/>
    </row>
  </sheetData>
  <mergeCells count="1">
    <mergeCell ref="B2:U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Z10"/>
  <sheetViews>
    <sheetView workbookViewId="0">
      <selection activeCell="A2" sqref="A2"/>
    </sheetView>
  </sheetViews>
  <sheetFormatPr defaultRowHeight="15"/>
  <cols>
    <col min="1" max="1" width="15.85546875" style="155" customWidth="1"/>
    <col min="2" max="2" width="11.42578125" style="155" customWidth="1"/>
    <col min="3" max="3" width="24.140625" style="155" customWidth="1"/>
    <col min="4" max="4" width="18.7109375" style="155" customWidth="1"/>
    <col min="5" max="5" width="32.85546875" style="155" customWidth="1"/>
    <col min="6" max="6" width="4.5703125" style="155" customWidth="1"/>
    <col min="7" max="7" width="8.28515625" style="155" customWidth="1"/>
    <col min="8" max="8" width="7.28515625" style="155" customWidth="1"/>
    <col min="9" max="9" width="9.140625" style="155"/>
    <col min="10" max="10" width="11.42578125" style="155" bestFit="1" customWidth="1"/>
    <col min="11" max="11" width="22" style="155" customWidth="1"/>
    <col min="12" max="12" width="4.5703125" style="155" customWidth="1"/>
    <col min="13" max="13" width="8.28515625" style="155" customWidth="1"/>
    <col min="14" max="15" width="7.28515625" style="155" customWidth="1"/>
    <col min="16" max="16" width="11.42578125" style="155" bestFit="1" customWidth="1"/>
    <col min="17" max="17" width="25.7109375" style="155" customWidth="1"/>
    <col min="18" max="18" width="4.5703125" style="155" customWidth="1"/>
    <col min="19" max="19" width="8.28515625" style="155" customWidth="1"/>
    <col min="20" max="20" width="7.28515625" style="155" customWidth="1"/>
    <col min="21" max="21" width="9.140625" style="155"/>
    <col min="22" max="22" width="11.42578125" style="155" bestFit="1" customWidth="1"/>
    <col min="23" max="23" width="25.42578125" style="155" customWidth="1"/>
    <col min="24" max="24" width="6" style="155" customWidth="1"/>
    <col min="25" max="25" width="8.28515625" style="155" customWidth="1"/>
    <col min="26" max="26" width="7.28515625" style="155" customWidth="1"/>
    <col min="27" max="16384" width="9.140625" style="155"/>
  </cols>
  <sheetData>
    <row r="1" spans="1:26" s="45" customFormat="1"/>
    <row r="2" spans="1:26" s="45" customFormat="1"/>
    <row r="3" spans="1:26" s="45" customFormat="1"/>
    <row r="4" spans="1:26">
      <c r="A4" s="45"/>
      <c r="B4" s="177"/>
      <c r="C4" s="177"/>
      <c r="D4" s="177"/>
      <c r="E4" s="177"/>
      <c r="F4" s="177"/>
      <c r="G4" s="177"/>
      <c r="H4" s="177"/>
      <c r="I4" s="153"/>
      <c r="J4" s="153"/>
    </row>
    <row r="5" spans="1:26">
      <c r="A5" s="45"/>
      <c r="B5" s="154" t="s">
        <v>0</v>
      </c>
      <c r="C5" s="155" t="s">
        <v>16</v>
      </c>
      <c r="D5" s="189"/>
      <c r="E5" s="160"/>
      <c r="J5" s="154" t="s">
        <v>0</v>
      </c>
      <c r="K5" s="155" t="s">
        <v>16</v>
      </c>
      <c r="L5" s="189"/>
      <c r="M5" s="160"/>
      <c r="P5" s="154" t="s">
        <v>0</v>
      </c>
      <c r="Q5" s="155" t="s">
        <v>16</v>
      </c>
      <c r="R5" s="189"/>
      <c r="S5" s="160"/>
      <c r="V5" s="154" t="s">
        <v>0</v>
      </c>
      <c r="W5" s="155" t="s">
        <v>16</v>
      </c>
      <c r="X5" s="189"/>
      <c r="Y5" s="160"/>
    </row>
    <row r="6" spans="1:26">
      <c r="A6" s="45"/>
      <c r="B6" s="154" t="s">
        <v>3</v>
      </c>
      <c r="C6" s="155" t="s">
        <v>691</v>
      </c>
      <c r="J6" s="154" t="s">
        <v>3</v>
      </c>
      <c r="K6" s="155" t="s">
        <v>687</v>
      </c>
      <c r="P6" s="154" t="s">
        <v>3</v>
      </c>
      <c r="Q6" s="155" t="s">
        <v>688</v>
      </c>
      <c r="V6" s="154" t="s">
        <v>3</v>
      </c>
      <c r="W6" s="155" t="s">
        <v>689</v>
      </c>
    </row>
    <row r="7" spans="1:26">
      <c r="A7" s="45"/>
    </row>
    <row r="8" spans="1:26">
      <c r="A8" s="46"/>
      <c r="B8" s="154" t="s">
        <v>296</v>
      </c>
      <c r="C8" s="155" t="s">
        <v>692</v>
      </c>
      <c r="D8" s="155" t="s">
        <v>693</v>
      </c>
      <c r="E8" s="155" t="s">
        <v>696</v>
      </c>
      <c r="F8" s="155" t="s">
        <v>357</v>
      </c>
      <c r="G8" s="155" t="s">
        <v>249</v>
      </c>
      <c r="H8" s="155" t="s">
        <v>537</v>
      </c>
      <c r="J8" s="154" t="s">
        <v>296</v>
      </c>
      <c r="K8" s="155" t="s">
        <v>695</v>
      </c>
      <c r="L8" s="155" t="s">
        <v>357</v>
      </c>
      <c r="M8" s="155" t="s">
        <v>249</v>
      </c>
      <c r="N8" s="155" t="s">
        <v>537</v>
      </c>
      <c r="O8"/>
      <c r="P8" s="154" t="s">
        <v>296</v>
      </c>
      <c r="Q8" s="155" t="s">
        <v>697</v>
      </c>
      <c r="R8" s="155" t="s">
        <v>357</v>
      </c>
      <c r="S8" s="155" t="s">
        <v>249</v>
      </c>
      <c r="T8" s="155" t="s">
        <v>537</v>
      </c>
      <c r="V8" s="154" t="s">
        <v>296</v>
      </c>
      <c r="W8" s="155" t="s">
        <v>698</v>
      </c>
      <c r="X8" s="155" t="s">
        <v>357</v>
      </c>
      <c r="Y8" s="155" t="s">
        <v>249</v>
      </c>
      <c r="Z8" s="155" t="s">
        <v>537</v>
      </c>
    </row>
    <row r="9" spans="1:26">
      <c r="A9" s="47"/>
      <c r="B9" s="4" t="s">
        <v>49</v>
      </c>
      <c r="C9" s="5">
        <v>1</v>
      </c>
      <c r="D9" s="5">
        <v>3</v>
      </c>
      <c r="E9" s="6">
        <v>4.4827570000000003</v>
      </c>
      <c r="F9" s="6">
        <v>4.4827570000000003</v>
      </c>
      <c r="G9" s="6">
        <v>4.4827570000000003</v>
      </c>
      <c r="H9" s="6">
        <v>0</v>
      </c>
      <c r="J9" s="4" t="s">
        <v>49</v>
      </c>
      <c r="K9" s="6">
        <v>1.9499880000000001</v>
      </c>
      <c r="L9" s="6">
        <v>1.9499880000000001</v>
      </c>
      <c r="M9" s="6">
        <v>1.9499880000000001</v>
      </c>
      <c r="N9" s="6">
        <v>0</v>
      </c>
      <c r="O9"/>
      <c r="P9" s="4" t="s">
        <v>49</v>
      </c>
      <c r="Q9" s="6">
        <v>1.0016050000000001</v>
      </c>
      <c r="R9" s="6">
        <v>1.0016050000000001</v>
      </c>
      <c r="S9" s="6">
        <v>1.0016050000000001</v>
      </c>
      <c r="T9" s="6">
        <v>0</v>
      </c>
      <c r="V9" s="4" t="s">
        <v>49</v>
      </c>
      <c r="W9" s="6">
        <v>1.4942523333333335</v>
      </c>
      <c r="X9" s="6">
        <v>1.4942523333333335</v>
      </c>
      <c r="Y9" s="6">
        <v>1.4942523333333335</v>
      </c>
      <c r="Z9" s="6">
        <v>0</v>
      </c>
    </row>
    <row r="10" spans="1:26">
      <c r="B10" s="4" t="s">
        <v>18</v>
      </c>
      <c r="C10" s="5">
        <v>1</v>
      </c>
      <c r="D10" s="5">
        <v>3</v>
      </c>
      <c r="E10" s="6">
        <v>4.4827570000000003</v>
      </c>
      <c r="F10" s="6">
        <v>4.4827570000000003</v>
      </c>
      <c r="G10" s="6">
        <v>4.4827570000000003</v>
      </c>
      <c r="H10" s="6">
        <v>0</v>
      </c>
      <c r="J10" s="4" t="s">
        <v>18</v>
      </c>
      <c r="K10" s="6">
        <v>1.9499880000000001</v>
      </c>
      <c r="L10" s="6">
        <v>1.9499880000000001</v>
      </c>
      <c r="M10" s="6">
        <v>1.9499880000000001</v>
      </c>
      <c r="N10" s="6">
        <v>0</v>
      </c>
      <c r="O10"/>
      <c r="P10" s="4" t="s">
        <v>18</v>
      </c>
      <c r="Q10" s="6">
        <v>1.0016050000000001</v>
      </c>
      <c r="R10" s="6">
        <v>1.0016050000000001</v>
      </c>
      <c r="S10" s="6">
        <v>1.0016050000000001</v>
      </c>
      <c r="T10" s="6">
        <v>0</v>
      </c>
      <c r="V10" s="4" t="s">
        <v>18</v>
      </c>
      <c r="W10" s="6">
        <v>1.4942523333333335</v>
      </c>
      <c r="X10" s="6">
        <v>1.4942523333333335</v>
      </c>
      <c r="Y10" s="6">
        <v>1.4942523333333335</v>
      </c>
      <c r="Z10" s="6">
        <v>0</v>
      </c>
    </row>
  </sheetData>
  <mergeCells count="5">
    <mergeCell ref="B4:H4"/>
    <mergeCell ref="D5:E5"/>
    <mergeCell ref="L5:M5"/>
    <mergeCell ref="R5:S5"/>
    <mergeCell ref="X5:Y5"/>
  </mergeCells>
  <pageMargins left="0.7" right="0.7" top="0.75" bottom="0.75" header="0.3" footer="0.3"/>
  <pageSetup orientation="portrait"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76" t="s">
        <v>449</v>
      </c>
      <c r="C4" s="176"/>
      <c r="D4" s="176"/>
      <c r="E4" s="176"/>
      <c r="F4" s="176"/>
      <c r="G4" s="176"/>
      <c r="H4" s="176"/>
      <c r="I4" s="176"/>
      <c r="J4" s="176"/>
      <c r="K4" s="176"/>
      <c r="L4" s="176"/>
      <c r="M4" s="176"/>
      <c r="N4" s="176"/>
      <c r="O4" s="176"/>
      <c r="P4" s="176"/>
      <c r="Q4" s="176"/>
      <c r="R4" s="176"/>
      <c r="T4" s="182" t="s">
        <v>451</v>
      </c>
      <c r="U4" s="186"/>
      <c r="V4" s="186"/>
      <c r="W4" s="186"/>
      <c r="X4" s="186"/>
      <c r="Y4" s="186"/>
      <c r="Z4" s="186"/>
      <c r="AA4" s="186"/>
      <c r="AB4" s="186"/>
      <c r="AC4" s="186"/>
      <c r="AD4" s="186"/>
    </row>
    <row r="5" spans="1:30">
      <c r="A5" s="45"/>
      <c r="B5" s="154" t="s">
        <v>0</v>
      </c>
      <c r="C5" s="155" t="s">
        <v>16</v>
      </c>
      <c r="E5" s="154" t="s">
        <v>0</v>
      </c>
      <c r="F5" s="155" t="s">
        <v>16</v>
      </c>
      <c r="H5" s="154" t="s">
        <v>0</v>
      </c>
      <c r="I5" s="155" t="s">
        <v>16</v>
      </c>
      <c r="K5" s="154" t="s">
        <v>0</v>
      </c>
      <c r="L5" s="155" t="s">
        <v>16</v>
      </c>
      <c r="N5" s="154" t="s">
        <v>0</v>
      </c>
      <c r="O5" s="155" t="s">
        <v>16</v>
      </c>
      <c r="Q5" s="154" t="s">
        <v>0</v>
      </c>
      <c r="R5" s="155" t="s">
        <v>16</v>
      </c>
      <c r="T5" s="154" t="s">
        <v>0</v>
      </c>
      <c r="U5" s="155" t="s">
        <v>16</v>
      </c>
      <c r="W5" s="154" t="s">
        <v>0</v>
      </c>
      <c r="X5" s="155" t="s">
        <v>16</v>
      </c>
      <c r="Z5" s="154" t="s">
        <v>0</v>
      </c>
      <c r="AA5" s="155" t="s">
        <v>16</v>
      </c>
      <c r="AB5" s="90"/>
      <c r="AC5" s="154" t="s">
        <v>0</v>
      </c>
      <c r="AD5" s="155" t="s">
        <v>16</v>
      </c>
    </row>
    <row r="6" spans="1:30">
      <c r="A6" s="45"/>
      <c r="B6" s="154" t="s">
        <v>3</v>
      </c>
      <c r="C6" s="155" t="s">
        <v>310</v>
      </c>
      <c r="E6" s="154" t="s">
        <v>3</v>
      </c>
      <c r="F6" s="155" t="s">
        <v>87</v>
      </c>
      <c r="H6" s="154" t="s">
        <v>3</v>
      </c>
      <c r="I6" s="155" t="s">
        <v>79</v>
      </c>
      <c r="K6" s="154" t="s">
        <v>3</v>
      </c>
      <c r="L6" s="155" t="s">
        <v>80</v>
      </c>
      <c r="N6" s="154" t="s">
        <v>3</v>
      </c>
      <c r="O6" s="155" t="s">
        <v>86</v>
      </c>
      <c r="Q6" s="154" t="s">
        <v>3</v>
      </c>
      <c r="R6" s="155" t="s">
        <v>85</v>
      </c>
      <c r="T6" s="154" t="s">
        <v>3</v>
      </c>
      <c r="U6" s="155" t="s">
        <v>444</v>
      </c>
      <c r="W6" s="154" t="s">
        <v>3</v>
      </c>
      <c r="X6" s="155" t="s">
        <v>448</v>
      </c>
      <c r="Z6" s="154" t="s">
        <v>3</v>
      </c>
      <c r="AA6" s="155" t="s">
        <v>476</v>
      </c>
      <c r="AB6" s="90"/>
      <c r="AC6" s="154" t="s">
        <v>3</v>
      </c>
      <c r="AD6" s="155" t="s">
        <v>480</v>
      </c>
    </row>
    <row r="7" spans="1:30">
      <c r="A7" s="45"/>
      <c r="T7" s="90"/>
      <c r="U7" s="90"/>
      <c r="W7" s="90"/>
      <c r="X7" s="90"/>
      <c r="Z7" s="90"/>
      <c r="AA7" s="90"/>
      <c r="AB7" s="90"/>
      <c r="AC7" s="90"/>
      <c r="AD7" s="90"/>
    </row>
    <row r="8" spans="1:30">
      <c r="A8" s="24" t="s">
        <v>122</v>
      </c>
      <c r="B8" s="154" t="s">
        <v>296</v>
      </c>
      <c r="C8" t="s">
        <v>324</v>
      </c>
      <c r="E8" s="154" t="s">
        <v>296</v>
      </c>
      <c r="F8" t="s">
        <v>325</v>
      </c>
      <c r="H8" s="154" t="s">
        <v>296</v>
      </c>
      <c r="I8" t="s">
        <v>326</v>
      </c>
      <c r="K8" s="154" t="s">
        <v>296</v>
      </c>
      <c r="L8" t="s">
        <v>327</v>
      </c>
      <c r="N8" s="154" t="s">
        <v>296</v>
      </c>
      <c r="O8" t="s">
        <v>329</v>
      </c>
      <c r="Q8" s="154" t="s">
        <v>296</v>
      </c>
      <c r="R8" t="s">
        <v>328</v>
      </c>
      <c r="T8" s="154" t="s">
        <v>296</v>
      </c>
      <c r="U8" t="s">
        <v>450</v>
      </c>
      <c r="W8" s="154" t="s">
        <v>296</v>
      </c>
      <c r="X8" t="s">
        <v>452</v>
      </c>
      <c r="Z8" s="154" t="s">
        <v>296</v>
      </c>
      <c r="AA8" t="s">
        <v>450</v>
      </c>
      <c r="AB8" s="90"/>
      <c r="AC8" s="154"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0" sqref="A10"/>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49" t="s">
        <v>0</v>
      </c>
      <c r="C3" s="150" t="s">
        <v>16</v>
      </c>
      <c r="D3" s="52"/>
      <c r="E3" s="35"/>
      <c r="F3" s="35"/>
      <c r="G3" s="35"/>
      <c r="I3" s="149" t="s">
        <v>0</v>
      </c>
      <c r="J3" s="150" t="s">
        <v>16</v>
      </c>
      <c r="L3" s="35"/>
      <c r="M3" s="35"/>
    </row>
    <row r="4" spans="1:13">
      <c r="A4" s="45"/>
      <c r="B4" s="149" t="s">
        <v>52</v>
      </c>
      <c r="C4" s="150" t="s">
        <v>16</v>
      </c>
      <c r="E4" s="35"/>
      <c r="F4" s="35"/>
      <c r="G4" s="35"/>
      <c r="I4" s="149" t="s">
        <v>1</v>
      </c>
      <c r="J4" s="150" t="s">
        <v>16</v>
      </c>
      <c r="L4" s="35"/>
      <c r="M4" s="35"/>
    </row>
    <row r="5" spans="1:13">
      <c r="A5" s="45"/>
      <c r="B5" s="149" t="s">
        <v>1</v>
      </c>
      <c r="C5" s="150" t="s">
        <v>16</v>
      </c>
      <c r="E5" s="35"/>
      <c r="F5" s="35"/>
      <c r="G5" s="35"/>
      <c r="I5" s="149" t="s">
        <v>3</v>
      </c>
      <c r="J5" s="150" t="s">
        <v>7</v>
      </c>
      <c r="L5" s="35"/>
      <c r="M5" s="35"/>
    </row>
    <row r="6" spans="1:13">
      <c r="A6" s="45"/>
      <c r="B6" s="149" t="s">
        <v>3</v>
      </c>
      <c r="C6" s="150" t="s">
        <v>7</v>
      </c>
      <c r="E6" s="35"/>
      <c r="F6" s="35"/>
      <c r="G6" s="35"/>
      <c r="I6" s="149" t="s">
        <v>2</v>
      </c>
      <c r="J6" s="150" t="s">
        <v>16</v>
      </c>
      <c r="L6" s="35"/>
      <c r="M6" s="35"/>
    </row>
    <row r="7" spans="1:13">
      <c r="E7" s="35"/>
      <c r="F7" s="35"/>
      <c r="G7" s="35"/>
      <c r="L7" s="35"/>
      <c r="M7" s="35"/>
    </row>
    <row r="8" spans="1:13" ht="60">
      <c r="A8" s="24" t="s">
        <v>330</v>
      </c>
      <c r="B8" s="149" t="s">
        <v>17</v>
      </c>
      <c r="C8" s="32" t="s">
        <v>21</v>
      </c>
      <c r="D8" s="32" t="s">
        <v>19</v>
      </c>
      <c r="F8" s="36" t="s">
        <v>148</v>
      </c>
      <c r="G8" s="36" t="s">
        <v>149</v>
      </c>
      <c r="I8" s="149" t="s">
        <v>17</v>
      </c>
      <c r="J8" s="32" t="s">
        <v>21</v>
      </c>
      <c r="K8" s="32" t="s">
        <v>19</v>
      </c>
      <c r="L8" s="36" t="s">
        <v>148</v>
      </c>
      <c r="M8" s="36" t="s">
        <v>149</v>
      </c>
    </row>
    <row r="9" spans="1:13">
      <c r="A9" s="29" t="str">
        <f>INDEX('DDL Tables'!$B:$B,MATCH(SUBSTITUTE(B9, " (index)",""),'DDL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L8"/>
  <sheetViews>
    <sheetView workbookViewId="0">
      <selection activeCell="I5" sqref="I5"/>
    </sheetView>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4.85546875" customWidth="1"/>
    <col min="11" max="11" width="11.42578125" bestFit="1" customWidth="1"/>
    <col min="12" max="12" width="31.140625" customWidth="1"/>
  </cols>
  <sheetData>
    <row r="1" spans="1:12" s="30" customFormat="1"/>
    <row r="2" spans="1:12">
      <c r="A2" s="45"/>
      <c r="B2" s="182" t="s">
        <v>451</v>
      </c>
      <c r="C2" s="177"/>
      <c r="D2" s="177"/>
      <c r="E2" s="177"/>
      <c r="F2" s="177"/>
      <c r="G2" s="134"/>
      <c r="H2" s="134"/>
      <c r="I2" s="134"/>
      <c r="J2" s="134"/>
      <c r="K2" s="134"/>
      <c r="L2" s="134"/>
    </row>
    <row r="3" spans="1:12">
      <c r="A3" s="45"/>
      <c r="B3" s="154" t="s">
        <v>0</v>
      </c>
      <c r="C3" s="155" t="s">
        <v>16</v>
      </c>
      <c r="D3" s="134"/>
      <c r="E3" s="154" t="s">
        <v>0</v>
      </c>
      <c r="F3" s="155" t="s">
        <v>16</v>
      </c>
      <c r="G3" s="134"/>
      <c r="H3" s="134"/>
      <c r="I3" s="134"/>
      <c r="J3" s="134"/>
      <c r="K3" s="134"/>
      <c r="L3" s="134"/>
    </row>
    <row r="4" spans="1:12">
      <c r="A4" s="45"/>
      <c r="B4" s="154" t="s">
        <v>3</v>
      </c>
      <c r="C4" s="155" t="s">
        <v>614</v>
      </c>
      <c r="D4" s="134"/>
      <c r="E4" s="154" t="s">
        <v>3</v>
      </c>
      <c r="F4" s="155" t="s">
        <v>610</v>
      </c>
      <c r="G4" s="134"/>
      <c r="H4" s="134"/>
      <c r="I4" s="134"/>
      <c r="J4" s="134"/>
      <c r="K4" s="134"/>
      <c r="L4" s="134"/>
    </row>
    <row r="5" spans="1:12">
      <c r="A5" s="45"/>
      <c r="B5" s="134"/>
      <c r="C5" s="134"/>
      <c r="D5" s="134"/>
      <c r="E5" s="134"/>
      <c r="F5" s="134"/>
      <c r="G5" s="134"/>
      <c r="H5" s="134"/>
      <c r="I5" s="134"/>
      <c r="J5" s="134"/>
      <c r="K5" s="134"/>
      <c r="L5" s="134"/>
    </row>
    <row r="6" spans="1:12">
      <c r="A6" s="24" t="s">
        <v>122</v>
      </c>
      <c r="B6" s="154" t="s">
        <v>296</v>
      </c>
      <c r="C6" t="s">
        <v>615</v>
      </c>
      <c r="D6" s="134"/>
      <c r="E6" s="154" t="s">
        <v>296</v>
      </c>
      <c r="F6" t="s">
        <v>616</v>
      </c>
      <c r="G6" s="134"/>
      <c r="H6" s="134"/>
      <c r="J6" s="134"/>
      <c r="K6" s="134"/>
    </row>
    <row r="7" spans="1:12">
      <c r="A7" s="29">
        <f>INDEX('Node Information'!J:$J,MATCH(B7,'Node Information'!$A:$A,0))</f>
        <v>6.5428240740740704E-2</v>
      </c>
      <c r="B7" s="4" t="s">
        <v>49</v>
      </c>
      <c r="C7" s="5">
        <v>10</v>
      </c>
      <c r="D7" s="134"/>
      <c r="E7" s="4" t="s">
        <v>49</v>
      </c>
      <c r="F7" s="5">
        <v>5</v>
      </c>
      <c r="G7" s="134"/>
      <c r="H7" s="4"/>
      <c r="I7" s="5"/>
      <c r="J7" s="134"/>
      <c r="K7" s="4"/>
      <c r="L7" s="5"/>
    </row>
    <row r="8" spans="1:12">
      <c r="B8" s="4" t="s">
        <v>18</v>
      </c>
      <c r="C8" s="5">
        <v>10</v>
      </c>
      <c r="D8" s="134"/>
      <c r="E8" s="4" t="s">
        <v>18</v>
      </c>
      <c r="F8" s="5">
        <v>5</v>
      </c>
      <c r="G8" s="134"/>
      <c r="H8" s="4"/>
      <c r="I8" s="5"/>
      <c r="J8" s="134"/>
      <c r="K8" s="4"/>
      <c r="L8" s="5"/>
    </row>
  </sheetData>
  <mergeCells count="1">
    <mergeCell ref="B2:F2"/>
  </mergeCells>
  <pageMargins left="0.7" right="0.7" top="0.75" bottom="0.75" header="0.3" footer="0.3"/>
  <pageSetup orientation="portrait" horizontalDpi="0" verticalDpi="0"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86" t="s">
        <v>458</v>
      </c>
      <c r="C2" s="183"/>
      <c r="D2" s="183"/>
      <c r="E2" s="183"/>
      <c r="F2" s="183"/>
      <c r="G2" s="183"/>
      <c r="H2" s="183"/>
      <c r="I2" s="187"/>
      <c r="K2" s="186" t="s">
        <v>459</v>
      </c>
      <c r="L2" s="183"/>
      <c r="M2" s="183"/>
      <c r="N2" s="183"/>
      <c r="O2" s="183"/>
      <c r="P2" s="183"/>
      <c r="Q2" s="183"/>
      <c r="R2" s="187"/>
    </row>
    <row r="3" spans="1:18">
      <c r="A3" s="30"/>
      <c r="B3" s="59"/>
      <c r="C3" s="58"/>
      <c r="D3" s="58"/>
      <c r="E3" s="58"/>
      <c r="F3" s="58"/>
      <c r="G3" s="58"/>
      <c r="H3" s="58"/>
      <c r="I3" s="60"/>
      <c r="K3" s="92"/>
      <c r="L3" s="91"/>
      <c r="M3" s="91"/>
      <c r="N3" s="91"/>
      <c r="O3" s="91"/>
      <c r="P3" s="91"/>
      <c r="Q3" s="91"/>
      <c r="R3" s="93"/>
    </row>
    <row r="4" spans="1:18">
      <c r="A4" s="30"/>
      <c r="B4" s="149" t="s">
        <v>0</v>
      </c>
      <c r="C4" s="150" t="s">
        <v>16</v>
      </c>
      <c r="D4" s="33"/>
      <c r="E4" s="149" t="s">
        <v>0</v>
      </c>
      <c r="F4" s="150" t="s">
        <v>16</v>
      </c>
      <c r="G4" s="33"/>
      <c r="H4" s="149" t="s">
        <v>0</v>
      </c>
      <c r="I4" s="150" t="s">
        <v>16</v>
      </c>
      <c r="K4" s="149" t="s">
        <v>0</v>
      </c>
      <c r="L4" s="150" t="s">
        <v>16</v>
      </c>
      <c r="M4" s="33"/>
      <c r="N4" s="149" t="s">
        <v>0</v>
      </c>
      <c r="O4" s="150" t="s">
        <v>16</v>
      </c>
      <c r="P4" s="33"/>
      <c r="Q4" s="149" t="s">
        <v>0</v>
      </c>
      <c r="R4" s="150" t="s">
        <v>16</v>
      </c>
    </row>
    <row r="5" spans="1:18">
      <c r="A5" s="30"/>
      <c r="B5" s="149" t="s">
        <v>1</v>
      </c>
      <c r="C5" s="150" t="s">
        <v>16</v>
      </c>
      <c r="D5" s="33"/>
      <c r="E5" s="149" t="s">
        <v>1</v>
      </c>
      <c r="F5" s="150" t="s">
        <v>16</v>
      </c>
      <c r="G5" s="33"/>
      <c r="H5" s="149" t="s">
        <v>1</v>
      </c>
      <c r="I5" s="150" t="s">
        <v>16</v>
      </c>
      <c r="K5" s="149" t="s">
        <v>1</v>
      </c>
      <c r="L5" s="150" t="s">
        <v>16</v>
      </c>
      <c r="M5" s="33"/>
      <c r="N5" s="149" t="s">
        <v>1</v>
      </c>
      <c r="O5" s="150" t="s">
        <v>16</v>
      </c>
      <c r="P5" s="33"/>
      <c r="Q5" s="149" t="s">
        <v>1</v>
      </c>
      <c r="R5" s="150" t="s">
        <v>16</v>
      </c>
    </row>
    <row r="6" spans="1:18">
      <c r="A6" s="30"/>
      <c r="B6" s="149" t="s">
        <v>3</v>
      </c>
      <c r="C6" s="150" t="s">
        <v>372</v>
      </c>
      <c r="D6" s="33"/>
      <c r="E6" s="149" t="s">
        <v>3</v>
      </c>
      <c r="F6" s="150" t="s">
        <v>369</v>
      </c>
      <c r="G6" s="33"/>
      <c r="H6" s="149" t="s">
        <v>3</v>
      </c>
      <c r="I6" s="150" t="s">
        <v>371</v>
      </c>
      <c r="K6" s="149" t="s">
        <v>3</v>
      </c>
      <c r="L6" s="150" t="s">
        <v>457</v>
      </c>
      <c r="M6" s="33"/>
      <c r="N6" s="149" t="s">
        <v>3</v>
      </c>
      <c r="O6" s="150" t="s">
        <v>453</v>
      </c>
      <c r="P6" s="33"/>
      <c r="Q6" s="149" t="s">
        <v>3</v>
      </c>
      <c r="R6" s="150" t="s">
        <v>455</v>
      </c>
    </row>
    <row r="7" spans="1:18">
      <c r="A7" s="30"/>
      <c r="B7" s="57"/>
      <c r="C7" s="57"/>
      <c r="D7" s="57"/>
      <c r="E7" s="57"/>
      <c r="F7" s="57"/>
      <c r="G7" s="57"/>
      <c r="H7" s="57"/>
      <c r="I7" s="57"/>
      <c r="K7" s="90"/>
      <c r="L7" s="90"/>
      <c r="M7" s="90"/>
      <c r="N7" s="90"/>
      <c r="O7" s="90"/>
      <c r="P7" s="90"/>
      <c r="Q7" s="90"/>
      <c r="R7" s="90"/>
    </row>
    <row r="8" spans="1:18" ht="30">
      <c r="A8" s="24" t="s">
        <v>330</v>
      </c>
      <c r="B8" s="149" t="s">
        <v>2</v>
      </c>
      <c r="C8" t="s">
        <v>295</v>
      </c>
      <c r="D8" s="57"/>
      <c r="E8" s="149" t="s">
        <v>2</v>
      </c>
      <c r="F8" s="32" t="s">
        <v>373</v>
      </c>
      <c r="G8" s="57"/>
      <c r="H8" s="149" t="s">
        <v>2</v>
      </c>
      <c r="I8" s="32" t="s">
        <v>374</v>
      </c>
      <c r="K8" s="149" t="s">
        <v>2</v>
      </c>
      <c r="L8" t="s">
        <v>485</v>
      </c>
      <c r="M8" s="90"/>
      <c r="N8" s="149" t="s">
        <v>2</v>
      </c>
      <c r="O8" s="32" t="s">
        <v>486</v>
      </c>
      <c r="P8" s="90"/>
      <c r="Q8" s="149" t="s">
        <v>2</v>
      </c>
      <c r="R8" s="32" t="s">
        <v>487</v>
      </c>
    </row>
    <row r="9" spans="1:18">
      <c r="A9" s="23" t="str">
        <f>INDEX('DDL Tables'!$B:$B,MATCH(SUBSTITUTE(B9, " (index)",""),'DDL Tables'!$C:$C,0))</f>
        <v>TestKS</v>
      </c>
      <c r="B9" s="4" t="s">
        <v>50</v>
      </c>
      <c r="C9" s="150">
        <v>4</v>
      </c>
      <c r="D9" s="6"/>
      <c r="E9" s="4" t="s">
        <v>50</v>
      </c>
      <c r="F9" s="5">
        <v>2100</v>
      </c>
      <c r="G9" s="6"/>
      <c r="H9" s="4" t="s">
        <v>50</v>
      </c>
      <c r="I9" s="5">
        <v>1200</v>
      </c>
      <c r="K9" s="4" t="s">
        <v>50</v>
      </c>
      <c r="L9" s="150">
        <v>3</v>
      </c>
      <c r="M9" s="6"/>
      <c r="N9" s="4" t="s">
        <v>49</v>
      </c>
      <c r="O9" s="5">
        <v>12</v>
      </c>
      <c r="P9" s="6"/>
      <c r="Q9" s="4" t="s">
        <v>49</v>
      </c>
      <c r="R9" s="5">
        <v>4</v>
      </c>
    </row>
    <row r="10" spans="1:18">
      <c r="A10" s="57"/>
      <c r="B10" s="4" t="s">
        <v>18</v>
      </c>
      <c r="C10" s="150">
        <v>4</v>
      </c>
      <c r="D10" s="6"/>
      <c r="E10" s="4" t="s">
        <v>18</v>
      </c>
      <c r="F10" s="5">
        <v>2100</v>
      </c>
      <c r="G10" s="6"/>
      <c r="H10" s="4" t="s">
        <v>18</v>
      </c>
      <c r="I10" s="5">
        <v>1200</v>
      </c>
      <c r="K10" s="4" t="s">
        <v>18</v>
      </c>
      <c r="L10" s="150">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90" t="s">
        <v>409</v>
      </c>
      <c r="D1" s="177"/>
      <c r="E1" s="177"/>
      <c r="F1" s="177"/>
      <c r="G1" s="177"/>
      <c r="H1" s="177"/>
      <c r="I1" s="177"/>
      <c r="J1" s="177"/>
      <c r="K1" s="177"/>
      <c r="L1" s="177"/>
      <c r="M1" s="177"/>
      <c r="N1" s="177"/>
      <c r="O1" s="177"/>
      <c r="P1" s="177"/>
      <c r="Q1" s="177"/>
      <c r="R1" s="177"/>
      <c r="S1" s="177"/>
      <c r="T1" s="177"/>
      <c r="U1" s="177"/>
      <c r="V1" s="30"/>
      <c r="W1" s="190" t="s">
        <v>410</v>
      </c>
      <c r="X1" s="177"/>
      <c r="Y1" s="177"/>
      <c r="Z1" s="177"/>
      <c r="AA1" s="177"/>
      <c r="AB1" s="177"/>
      <c r="AC1" s="177"/>
      <c r="AD1" s="177"/>
      <c r="AE1" s="177"/>
      <c r="AF1" s="177"/>
      <c r="AG1" s="177"/>
      <c r="AH1" s="177"/>
      <c r="AI1" s="177"/>
      <c r="AJ1" s="177"/>
      <c r="AK1" s="177"/>
      <c r="AL1" s="177"/>
      <c r="AM1" s="177"/>
      <c r="AN1" s="177"/>
      <c r="AO1" s="177"/>
    </row>
    <row r="2" spans="1:41" s="57" customFormat="1">
      <c r="A2" s="30"/>
      <c r="B2" s="68"/>
      <c r="C2" s="190"/>
      <c r="D2" s="177"/>
      <c r="E2" s="177"/>
      <c r="F2" s="177"/>
      <c r="G2" s="177"/>
      <c r="H2" s="177"/>
      <c r="I2" s="177"/>
      <c r="J2" s="177"/>
      <c r="K2" s="177"/>
      <c r="L2" s="177"/>
      <c r="M2" s="177"/>
      <c r="N2" s="177"/>
      <c r="O2" s="177"/>
      <c r="P2" s="177"/>
      <c r="Q2" s="177"/>
      <c r="R2" s="177"/>
      <c r="S2" s="177"/>
      <c r="T2" s="177"/>
      <c r="U2" s="177"/>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90" t="s">
        <v>409</v>
      </c>
      <c r="D1" s="177"/>
      <c r="E1" s="177"/>
      <c r="F1" s="177"/>
      <c r="G1" s="177"/>
      <c r="H1" s="177"/>
      <c r="I1" s="177"/>
      <c r="J1" s="177"/>
      <c r="K1" s="177"/>
      <c r="L1" s="177"/>
      <c r="M1" s="177"/>
      <c r="N1" s="177"/>
      <c r="O1" s="177"/>
      <c r="P1" s="177"/>
      <c r="Q1" s="177"/>
      <c r="R1" s="177"/>
      <c r="S1" s="177"/>
      <c r="T1" s="177"/>
      <c r="U1" s="177"/>
      <c r="W1" s="190" t="s">
        <v>410</v>
      </c>
      <c r="X1" s="177"/>
      <c r="Y1" s="177"/>
      <c r="Z1" s="177"/>
      <c r="AA1" s="177"/>
      <c r="AB1" s="177"/>
      <c r="AC1" s="177"/>
      <c r="AD1" s="177"/>
      <c r="AE1" s="177"/>
      <c r="AF1" s="177"/>
      <c r="AG1" s="177"/>
      <c r="AH1" s="177"/>
      <c r="AI1" s="177"/>
      <c r="AJ1" s="177"/>
      <c r="AK1" s="177"/>
      <c r="AL1" s="177"/>
      <c r="AM1" s="177"/>
      <c r="AN1" s="177"/>
      <c r="AO1" s="177"/>
    </row>
    <row r="2" spans="1:41">
      <c r="A2" s="30"/>
      <c r="B2" s="68"/>
      <c r="C2" s="190"/>
      <c r="D2" s="177"/>
      <c r="E2" s="177"/>
      <c r="F2" s="177"/>
      <c r="G2" s="177"/>
      <c r="H2" s="177"/>
      <c r="I2" s="177"/>
      <c r="J2" s="177"/>
      <c r="K2" s="177"/>
      <c r="L2" s="177"/>
      <c r="M2" s="177"/>
      <c r="N2" s="177"/>
      <c r="O2" s="177"/>
      <c r="P2" s="177"/>
      <c r="Q2" s="177"/>
      <c r="R2" s="177"/>
      <c r="S2" s="177"/>
      <c r="T2" s="177"/>
      <c r="U2" s="17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90" t="s">
        <v>409</v>
      </c>
      <c r="D1" s="177"/>
      <c r="E1" s="177"/>
      <c r="F1" s="177"/>
      <c r="G1" s="177"/>
      <c r="H1" s="177"/>
      <c r="I1" s="177"/>
      <c r="J1" s="177"/>
      <c r="K1" s="177"/>
      <c r="L1" s="177"/>
      <c r="M1" s="177"/>
      <c r="N1" s="177"/>
      <c r="O1" s="177"/>
      <c r="P1" s="177"/>
      <c r="Q1" s="177"/>
      <c r="R1" s="177"/>
      <c r="S1" s="177"/>
      <c r="T1" s="177"/>
      <c r="U1" s="177"/>
      <c r="W1" s="190" t="s">
        <v>410</v>
      </c>
      <c r="X1" s="177"/>
      <c r="Y1" s="177"/>
      <c r="Z1" s="177"/>
      <c r="AA1" s="177"/>
      <c r="AB1" s="177"/>
      <c r="AC1" s="177"/>
      <c r="AD1" s="177"/>
      <c r="AE1" s="177"/>
      <c r="AF1" s="177"/>
      <c r="AG1" s="177"/>
      <c r="AH1" s="177"/>
      <c r="AI1" s="177"/>
      <c r="AJ1" s="177"/>
      <c r="AK1" s="177"/>
      <c r="AL1" s="177"/>
      <c r="AM1" s="177"/>
      <c r="AN1" s="177"/>
      <c r="AO1" s="177"/>
    </row>
    <row r="2" spans="1:41">
      <c r="A2" s="30"/>
      <c r="B2" s="68"/>
      <c r="C2" s="190"/>
      <c r="D2" s="177"/>
      <c r="E2" s="177"/>
      <c r="F2" s="177"/>
      <c r="G2" s="177"/>
      <c r="H2" s="177"/>
      <c r="I2" s="177"/>
      <c r="J2" s="177"/>
      <c r="K2" s="177"/>
      <c r="L2" s="177"/>
      <c r="M2" s="177"/>
      <c r="N2" s="177"/>
      <c r="O2" s="177"/>
      <c r="P2" s="177"/>
      <c r="Q2" s="177"/>
      <c r="R2" s="177"/>
      <c r="S2" s="177"/>
      <c r="T2" s="177"/>
      <c r="U2" s="17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90" t="s">
        <v>409</v>
      </c>
      <c r="D1" s="177"/>
      <c r="E1" s="177"/>
      <c r="F1" s="177"/>
      <c r="G1" s="177"/>
      <c r="H1" s="177"/>
      <c r="I1" s="177"/>
      <c r="J1" s="177"/>
      <c r="K1" s="177"/>
      <c r="L1" s="177"/>
      <c r="M1" s="177"/>
      <c r="N1" s="177"/>
      <c r="O1" s="177"/>
      <c r="P1" s="177"/>
      <c r="Q1" s="177"/>
      <c r="R1" s="177"/>
      <c r="S1" s="177"/>
      <c r="T1" s="177"/>
      <c r="U1" s="177"/>
      <c r="W1" s="190" t="s">
        <v>410</v>
      </c>
      <c r="X1" s="177"/>
      <c r="Y1" s="177"/>
      <c r="Z1" s="177"/>
      <c r="AA1" s="177"/>
      <c r="AB1" s="177"/>
      <c r="AC1" s="177"/>
      <c r="AD1" s="177"/>
      <c r="AE1" s="177"/>
      <c r="AF1" s="177"/>
      <c r="AG1" s="177"/>
      <c r="AH1" s="177"/>
      <c r="AI1" s="177"/>
      <c r="AJ1" s="177"/>
      <c r="AK1" s="177"/>
      <c r="AL1" s="177"/>
      <c r="AM1" s="177"/>
      <c r="AN1" s="177"/>
      <c r="AO1" s="177"/>
    </row>
    <row r="2" spans="1:41">
      <c r="A2" s="30"/>
      <c r="B2" s="68"/>
      <c r="C2" s="190"/>
      <c r="D2" s="177"/>
      <c r="E2" s="177"/>
      <c r="F2" s="177"/>
      <c r="G2" s="177"/>
      <c r="H2" s="177"/>
      <c r="I2" s="177"/>
      <c r="J2" s="177"/>
      <c r="K2" s="177"/>
      <c r="L2" s="177"/>
      <c r="M2" s="177"/>
      <c r="N2" s="177"/>
      <c r="O2" s="177"/>
      <c r="P2" s="177"/>
      <c r="Q2" s="177"/>
      <c r="R2" s="177"/>
      <c r="S2" s="177"/>
      <c r="T2" s="177"/>
      <c r="U2" s="17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90" t="s">
        <v>409</v>
      </c>
      <c r="D1" s="177"/>
      <c r="E1" s="177"/>
      <c r="F1" s="177"/>
      <c r="G1" s="177"/>
      <c r="H1" s="177"/>
      <c r="I1" s="177"/>
      <c r="J1" s="177"/>
      <c r="K1" s="177"/>
      <c r="L1" s="177"/>
      <c r="M1" s="177"/>
      <c r="N1" s="177"/>
      <c r="O1" s="177"/>
      <c r="P1" s="177"/>
      <c r="Q1" s="177"/>
      <c r="R1" s="177"/>
      <c r="S1" s="177"/>
      <c r="T1" s="177"/>
      <c r="U1" s="177"/>
      <c r="W1" s="190" t="s">
        <v>410</v>
      </c>
      <c r="X1" s="177"/>
      <c r="Y1" s="177"/>
      <c r="Z1" s="177"/>
      <c r="AA1" s="177"/>
      <c r="AB1" s="177"/>
      <c r="AC1" s="177"/>
      <c r="AD1" s="177"/>
      <c r="AE1" s="177"/>
      <c r="AF1" s="177"/>
      <c r="AG1" s="177"/>
      <c r="AH1" s="177"/>
      <c r="AI1" s="177"/>
      <c r="AJ1" s="177"/>
      <c r="AK1" s="177"/>
      <c r="AL1" s="177"/>
      <c r="AM1" s="177"/>
      <c r="AN1" s="177"/>
      <c r="AO1" s="177"/>
    </row>
    <row r="2" spans="1:41">
      <c r="A2" s="30"/>
      <c r="B2" s="68"/>
      <c r="C2" s="190"/>
      <c r="D2" s="177"/>
      <c r="E2" s="177"/>
      <c r="F2" s="177"/>
      <c r="G2" s="177"/>
      <c r="H2" s="177"/>
      <c r="I2" s="177"/>
      <c r="J2" s="177"/>
      <c r="K2" s="177"/>
      <c r="L2" s="177"/>
      <c r="M2" s="177"/>
      <c r="N2" s="177"/>
      <c r="O2" s="177"/>
      <c r="P2" s="177"/>
      <c r="Q2" s="177"/>
      <c r="R2" s="177"/>
      <c r="S2" s="177"/>
      <c r="T2" s="177"/>
      <c r="U2" s="177"/>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82" t="s">
        <v>514</v>
      </c>
      <c r="B1" s="177"/>
      <c r="C1" s="177"/>
      <c r="D1" s="177"/>
      <c r="E1" s="177"/>
      <c r="F1" s="177"/>
      <c r="G1" s="177"/>
      <c r="H1" s="177"/>
      <c r="I1" s="177"/>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91" t="s">
        <v>426</v>
      </c>
      <c r="B1" s="192" t="s">
        <v>422</v>
      </c>
      <c r="C1" s="193" t="s">
        <v>422</v>
      </c>
      <c r="D1" s="193" t="s">
        <v>422</v>
      </c>
      <c r="E1" s="193" t="s">
        <v>422</v>
      </c>
      <c r="F1" s="193" t="s">
        <v>422</v>
      </c>
      <c r="G1" s="193" t="s">
        <v>422</v>
      </c>
      <c r="H1" s="193" t="s">
        <v>422</v>
      </c>
      <c r="I1" s="194"/>
      <c r="J1" s="195"/>
      <c r="K1" s="193"/>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5"/>
  <cols>
    <col min="2" max="2" width="11.42578125" customWidth="1"/>
    <col min="3" max="3" width="32" customWidth="1"/>
    <col min="4" max="4" width="7.28515625" style="140"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86" t="s">
        <v>301</v>
      </c>
      <c r="C2" s="183"/>
      <c r="D2" s="183"/>
      <c r="E2" s="183"/>
      <c r="F2" s="183"/>
      <c r="G2" s="183"/>
      <c r="H2" s="183"/>
      <c r="I2" s="183"/>
      <c r="J2" s="187"/>
    </row>
    <row r="3" spans="1:11">
      <c r="A3" s="30"/>
      <c r="B3" s="149" t="s">
        <v>150</v>
      </c>
      <c r="C3" s="150" t="s">
        <v>16</v>
      </c>
      <c r="D3" s="141"/>
      <c r="E3" s="141"/>
      <c r="F3" s="149" t="s">
        <v>150</v>
      </c>
      <c r="G3" s="150" t="s">
        <v>16</v>
      </c>
      <c r="H3" s="141"/>
      <c r="I3" s="149" t="s">
        <v>150</v>
      </c>
      <c r="J3" s="150" t="s">
        <v>16</v>
      </c>
    </row>
    <row r="4" spans="1:11">
      <c r="A4" s="30"/>
      <c r="B4" s="149" t="s">
        <v>0</v>
      </c>
      <c r="C4" s="150" t="s">
        <v>16</v>
      </c>
      <c r="E4" s="33"/>
      <c r="F4" s="149" t="s">
        <v>0</v>
      </c>
      <c r="G4" s="150" t="s">
        <v>16</v>
      </c>
      <c r="H4" s="33"/>
      <c r="I4" s="149" t="s">
        <v>0</v>
      </c>
      <c r="J4" s="150" t="s">
        <v>16</v>
      </c>
    </row>
    <row r="5" spans="1:11">
      <c r="A5" s="30"/>
      <c r="B5" s="149" t="s">
        <v>1</v>
      </c>
      <c r="C5" s="150" t="s">
        <v>16</v>
      </c>
      <c r="E5" s="33"/>
      <c r="F5" s="149" t="s">
        <v>1</v>
      </c>
      <c r="G5" s="150" t="s">
        <v>16</v>
      </c>
      <c r="H5" s="33"/>
      <c r="I5" s="149" t="s">
        <v>1</v>
      </c>
      <c r="J5" s="150" t="s">
        <v>16</v>
      </c>
    </row>
    <row r="6" spans="1:11">
      <c r="A6" s="30"/>
      <c r="B6" s="149" t="s">
        <v>3</v>
      </c>
      <c r="C6" s="150" t="s">
        <v>567</v>
      </c>
      <c r="E6" s="33"/>
      <c r="F6" s="149" t="s">
        <v>3</v>
      </c>
      <c r="G6" s="150" t="s">
        <v>571</v>
      </c>
      <c r="H6" s="33"/>
      <c r="I6" s="149" t="s">
        <v>3</v>
      </c>
      <c r="J6" s="150" t="s">
        <v>569</v>
      </c>
    </row>
    <row r="7" spans="1:11">
      <c r="A7" s="30"/>
      <c r="B7" s="140"/>
      <c r="C7" s="140"/>
      <c r="E7" s="140"/>
      <c r="F7" s="140"/>
      <c r="G7" s="140"/>
      <c r="H7" s="140"/>
      <c r="I7" s="140"/>
      <c r="J7" s="140"/>
    </row>
    <row r="8" spans="1:11" ht="30">
      <c r="A8" s="24" t="s">
        <v>330</v>
      </c>
      <c r="B8" s="149" t="s">
        <v>2</v>
      </c>
      <c r="C8" s="150" t="s">
        <v>644</v>
      </c>
      <c r="D8" s="150" t="s">
        <v>537</v>
      </c>
      <c r="E8" s="140"/>
      <c r="F8" s="149" t="s">
        <v>2</v>
      </c>
      <c r="G8" s="32" t="s">
        <v>295</v>
      </c>
      <c r="H8" s="140"/>
      <c r="I8" s="149" t="s">
        <v>2</v>
      </c>
      <c r="J8" s="150" t="s">
        <v>645</v>
      </c>
      <c r="K8" s="150"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40"/>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RowHeight="15"/>
  <cols>
    <col min="1" max="1" width="9.140625" style="140"/>
    <col min="2" max="2" width="11.42578125" style="140" customWidth="1"/>
    <col min="3" max="3" width="32" style="140" customWidth="1"/>
    <col min="4" max="4" width="7.28515625" style="140" customWidth="1"/>
    <col min="5" max="5" width="9.140625" style="140"/>
    <col min="6" max="6" width="11.42578125" style="140" customWidth="1"/>
    <col min="7" max="7" width="25.42578125" style="140" customWidth="1"/>
    <col min="8" max="8" width="9.140625" style="140"/>
    <col min="9" max="9" width="11.42578125" style="140" customWidth="1"/>
    <col min="10" max="10" width="29.28515625" style="140" customWidth="1"/>
    <col min="11" max="11" width="7.28515625" style="140" customWidth="1"/>
    <col min="12" max="16384" width="9.140625" style="140"/>
  </cols>
  <sheetData>
    <row r="1" spans="1:11">
      <c r="A1" s="30"/>
      <c r="B1" s="30"/>
      <c r="C1" s="30"/>
      <c r="D1" s="30"/>
      <c r="E1" s="30"/>
      <c r="F1" s="30"/>
      <c r="G1" s="30"/>
      <c r="H1" s="30"/>
      <c r="I1" s="30"/>
      <c r="J1" s="30"/>
    </row>
    <row r="2" spans="1:11">
      <c r="A2" s="30"/>
      <c r="B2" s="186" t="s">
        <v>301</v>
      </c>
      <c r="C2" s="183"/>
      <c r="D2" s="183"/>
      <c r="E2" s="183"/>
      <c r="F2" s="183"/>
      <c r="G2" s="183"/>
      <c r="H2" s="183"/>
      <c r="I2" s="183"/>
      <c r="J2" s="187"/>
    </row>
    <row r="3" spans="1:11">
      <c r="A3" s="30"/>
      <c r="B3" s="149" t="s">
        <v>150</v>
      </c>
      <c r="C3" s="150" t="s">
        <v>16</v>
      </c>
      <c r="D3" s="141"/>
      <c r="E3" s="141"/>
      <c r="F3" s="149" t="s">
        <v>150</v>
      </c>
      <c r="G3" s="150" t="s">
        <v>16</v>
      </c>
      <c r="H3" s="141"/>
      <c r="I3" s="149" t="s">
        <v>150</v>
      </c>
      <c r="J3" s="150" t="s">
        <v>16</v>
      </c>
    </row>
    <row r="4" spans="1:11">
      <c r="A4" s="30"/>
      <c r="B4" s="149" t="s">
        <v>0</v>
      </c>
      <c r="C4" s="150" t="s">
        <v>16</v>
      </c>
      <c r="E4" s="33"/>
      <c r="F4" s="149" t="s">
        <v>0</v>
      </c>
      <c r="G4" s="150" t="s">
        <v>16</v>
      </c>
      <c r="H4" s="33"/>
      <c r="I4" s="149" t="s">
        <v>0</v>
      </c>
      <c r="J4" s="150" t="s">
        <v>16</v>
      </c>
    </row>
    <row r="5" spans="1:11">
      <c r="A5" s="30"/>
      <c r="B5" s="149" t="s">
        <v>1</v>
      </c>
      <c r="C5" s="150" t="s">
        <v>16</v>
      </c>
      <c r="E5" s="33"/>
      <c r="F5" s="149" t="s">
        <v>1</v>
      </c>
      <c r="G5" s="150" t="s">
        <v>16</v>
      </c>
      <c r="H5" s="33"/>
      <c r="I5" s="149" t="s">
        <v>1</v>
      </c>
      <c r="J5" s="150" t="s">
        <v>16</v>
      </c>
    </row>
    <row r="6" spans="1:11">
      <c r="A6" s="30"/>
      <c r="B6" s="149" t="s">
        <v>3</v>
      </c>
      <c r="C6" s="150" t="s">
        <v>567</v>
      </c>
      <c r="E6" s="33"/>
      <c r="F6" s="149" t="s">
        <v>3</v>
      </c>
      <c r="G6" s="150" t="s">
        <v>571</v>
      </c>
      <c r="H6" s="33"/>
      <c r="I6" s="149" t="s">
        <v>3</v>
      </c>
      <c r="J6" s="150" t="s">
        <v>569</v>
      </c>
    </row>
    <row r="7" spans="1:11">
      <c r="A7" s="30"/>
    </row>
    <row r="8" spans="1:11">
      <c r="A8" s="24"/>
      <c r="B8" s="149" t="s">
        <v>2</v>
      </c>
      <c r="C8" s="150" t="s">
        <v>644</v>
      </c>
      <c r="D8" s="150" t="s">
        <v>537</v>
      </c>
      <c r="F8" s="149" t="s">
        <v>2</v>
      </c>
      <c r="G8" s="32" t="s">
        <v>295</v>
      </c>
      <c r="I8" s="149" t="s">
        <v>2</v>
      </c>
      <c r="J8" s="150" t="s">
        <v>645</v>
      </c>
      <c r="K8" s="150" t="s">
        <v>537</v>
      </c>
    </row>
    <row r="9" spans="1:11">
      <c r="A9" s="23"/>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10"/>
  <sheetViews>
    <sheetView topLeftCell="T1" workbookViewId="0">
      <selection activeCell="A3" sqref="A3"/>
    </sheetView>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 min="31" max="31" width="12.28515625" customWidth="1"/>
    <col min="32" max="32" width="31.42578125" customWidth="1"/>
    <col min="33" max="33" width="20.42578125" customWidth="1"/>
    <col min="34" max="34" width="18.5703125" customWidth="1"/>
    <col min="35" max="35" width="32.140625" customWidth="1"/>
    <col min="36" max="36" width="20.28515625" customWidth="1"/>
    <col min="37" max="37" width="22.85546875" customWidth="1"/>
  </cols>
  <sheetData>
    <row r="1" spans="1:37" s="16" customFormat="1">
      <c r="A1" s="121"/>
      <c r="B1" s="121"/>
      <c r="C1" s="121"/>
      <c r="D1" s="121"/>
      <c r="E1" s="121"/>
      <c r="F1" s="121"/>
      <c r="G1" s="121"/>
      <c r="H1" s="121"/>
      <c r="I1" s="167" t="s">
        <v>89</v>
      </c>
      <c r="J1" s="196" t="s">
        <v>89</v>
      </c>
      <c r="K1" s="168" t="s">
        <v>89</v>
      </c>
      <c r="L1" s="168" t="s">
        <v>89</v>
      </c>
      <c r="M1" s="197" t="s">
        <v>89</v>
      </c>
      <c r="N1" s="168" t="s">
        <v>89</v>
      </c>
      <c r="O1" s="197" t="s">
        <v>89</v>
      </c>
      <c r="P1" s="197" t="s">
        <v>89</v>
      </c>
      <c r="Q1" s="197" t="s">
        <v>89</v>
      </c>
      <c r="R1" s="197" t="s">
        <v>89</v>
      </c>
      <c r="S1" s="168" t="s">
        <v>89</v>
      </c>
      <c r="T1" s="168" t="s">
        <v>89</v>
      </c>
      <c r="U1" s="171" t="s">
        <v>89</v>
      </c>
      <c r="V1" s="198" t="s">
        <v>263</v>
      </c>
      <c r="W1" s="199" t="s">
        <v>263</v>
      </c>
      <c r="X1" s="199" t="s">
        <v>263</v>
      </c>
      <c r="Y1" s="200" t="s">
        <v>263</v>
      </c>
      <c r="Z1" s="198" t="s">
        <v>574</v>
      </c>
      <c r="AA1" s="199" t="s">
        <v>574</v>
      </c>
      <c r="AB1" s="197" t="s">
        <v>574</v>
      </c>
      <c r="AC1" s="197" t="s">
        <v>574</v>
      </c>
      <c r="AD1" s="201" t="s">
        <v>574</v>
      </c>
      <c r="AE1" s="198" t="s">
        <v>647</v>
      </c>
      <c r="AF1" s="202" t="s">
        <v>647</v>
      </c>
      <c r="AG1" s="197" t="s">
        <v>647</v>
      </c>
      <c r="AH1" s="203" t="s">
        <v>647</v>
      </c>
      <c r="AI1" s="204" t="s">
        <v>647</v>
      </c>
    </row>
    <row r="2" spans="1:37" s="16" customFormat="1">
      <c r="A2" s="121" t="s">
        <v>575</v>
      </c>
      <c r="B2" s="121" t="s">
        <v>576</v>
      </c>
      <c r="C2" s="121" t="s">
        <v>0</v>
      </c>
      <c r="D2" s="121" t="s">
        <v>88</v>
      </c>
      <c r="E2" s="121" t="s">
        <v>425</v>
      </c>
      <c r="F2" s="121" t="s">
        <v>1</v>
      </c>
      <c r="G2" s="121" t="s">
        <v>2</v>
      </c>
      <c r="H2" s="121" t="s">
        <v>577</v>
      </c>
      <c r="I2" s="42" t="s">
        <v>578</v>
      </c>
      <c r="J2" s="123" t="s">
        <v>579</v>
      </c>
      <c r="K2" s="122" t="s">
        <v>580</v>
      </c>
      <c r="L2" s="122" t="s">
        <v>581</v>
      </c>
      <c r="M2" s="122" t="s">
        <v>582</v>
      </c>
      <c r="N2" s="122" t="s">
        <v>583</v>
      </c>
      <c r="O2" s="122" t="s">
        <v>584</v>
      </c>
      <c r="P2" s="122" t="s">
        <v>585</v>
      </c>
      <c r="Q2" s="122" t="s">
        <v>586</v>
      </c>
      <c r="R2" s="122" t="s">
        <v>587</v>
      </c>
      <c r="S2" s="122" t="s">
        <v>617</v>
      </c>
      <c r="T2" s="122" t="s">
        <v>618</v>
      </c>
      <c r="U2" s="17" t="s">
        <v>588</v>
      </c>
      <c r="V2" s="124" t="s">
        <v>589</v>
      </c>
      <c r="W2" s="125" t="s">
        <v>590</v>
      </c>
      <c r="X2" s="125" t="s">
        <v>591</v>
      </c>
      <c r="Y2" s="126" t="s">
        <v>592</v>
      </c>
      <c r="Z2" s="124" t="s">
        <v>360</v>
      </c>
      <c r="AA2" s="125" t="s">
        <v>593</v>
      </c>
      <c r="AB2" s="122" t="s">
        <v>594</v>
      </c>
      <c r="AC2" s="122" t="s">
        <v>595</v>
      </c>
      <c r="AD2" s="137" t="s">
        <v>596</v>
      </c>
      <c r="AE2" s="124" t="s">
        <v>295</v>
      </c>
      <c r="AF2" s="146" t="s">
        <v>648</v>
      </c>
      <c r="AG2" s="122" t="s">
        <v>649</v>
      </c>
      <c r="AH2" s="122" t="s">
        <v>650</v>
      </c>
      <c r="AI2" s="147" t="s">
        <v>651</v>
      </c>
      <c r="AJ2" s="16" t="s">
        <v>597</v>
      </c>
      <c r="AK2" s="16" t="s">
        <v>530</v>
      </c>
    </row>
    <row r="3" spans="1:37" s="10" customFormat="1">
      <c r="A3" s="127">
        <v>42660.659882673601</v>
      </c>
      <c r="B3" s="10" t="s">
        <v>619</v>
      </c>
      <c r="C3" s="10" t="s">
        <v>51</v>
      </c>
      <c r="D3" s="22" t="s">
        <v>49</v>
      </c>
      <c r="E3" s="10" t="s">
        <v>598</v>
      </c>
      <c r="F3" s="21" t="s">
        <v>48</v>
      </c>
      <c r="H3" s="127">
        <v>42660.660379594898</v>
      </c>
      <c r="I3" s="10" t="s">
        <v>619</v>
      </c>
      <c r="J3" s="128">
        <v>4.9692129629629598E-4</v>
      </c>
      <c r="K3" s="10" t="s">
        <v>620</v>
      </c>
      <c r="L3" s="10" t="s">
        <v>621</v>
      </c>
      <c r="M3" s="129">
        <v>0</v>
      </c>
      <c r="O3" s="129">
        <v>0</v>
      </c>
      <c r="P3" s="129">
        <v>0</v>
      </c>
      <c r="Q3" s="129">
        <v>0</v>
      </c>
      <c r="R3" s="129">
        <v>0</v>
      </c>
      <c r="S3" s="10" t="s">
        <v>622</v>
      </c>
      <c r="T3" s="10">
        <v>1</v>
      </c>
      <c r="U3" s="129">
        <v>1</v>
      </c>
      <c r="V3" s="129"/>
      <c r="W3" s="130"/>
      <c r="X3" s="130"/>
      <c r="Y3" s="130"/>
      <c r="Z3" s="129"/>
      <c r="AA3" s="130"/>
      <c r="AB3" s="129"/>
      <c r="AC3" s="129"/>
      <c r="AD3" s="138"/>
      <c r="AE3" s="129">
        <v>1</v>
      </c>
      <c r="AF3" s="10">
        <v>10.23</v>
      </c>
      <c r="AG3" s="10">
        <v>235</v>
      </c>
      <c r="AH3" s="10">
        <v>1234</v>
      </c>
      <c r="AI3" s="10">
        <v>3.45</v>
      </c>
      <c r="AJ3" s="10">
        <v>124</v>
      </c>
      <c r="AK3" s="10">
        <v>3464</v>
      </c>
    </row>
    <row r="4" spans="1:37" s="10" customFormat="1">
      <c r="A4" s="127">
        <v>42660.6603799074</v>
      </c>
      <c r="B4" s="10" t="s">
        <v>623</v>
      </c>
      <c r="C4" s="10" t="s">
        <v>51</v>
      </c>
      <c r="D4" s="22" t="s">
        <v>49</v>
      </c>
      <c r="E4" s="10" t="s">
        <v>598</v>
      </c>
      <c r="F4" s="21" t="s">
        <v>48</v>
      </c>
      <c r="H4" s="127">
        <v>42660.660550254601</v>
      </c>
      <c r="I4" s="10" t="s">
        <v>623</v>
      </c>
      <c r="J4" s="128">
        <v>1.7034722222222199E-4</v>
      </c>
      <c r="K4" s="10" t="s">
        <v>620</v>
      </c>
      <c r="L4" s="10" t="s">
        <v>621</v>
      </c>
      <c r="M4" s="129">
        <v>0</v>
      </c>
      <c r="O4" s="129">
        <v>0</v>
      </c>
      <c r="P4" s="129">
        <v>3</v>
      </c>
      <c r="Q4" s="129">
        <v>0</v>
      </c>
      <c r="R4" s="129">
        <v>0</v>
      </c>
      <c r="S4" s="10" t="s">
        <v>622</v>
      </c>
      <c r="T4" s="10">
        <v>0</v>
      </c>
      <c r="U4" s="129">
        <v>0</v>
      </c>
      <c r="V4" s="129"/>
      <c r="W4" s="130"/>
      <c r="X4" s="130"/>
      <c r="Y4" s="130"/>
      <c r="Z4" s="129"/>
      <c r="AA4" s="130"/>
      <c r="AB4" s="129"/>
      <c r="AC4" s="129"/>
      <c r="AD4" s="138"/>
      <c r="AE4" s="129">
        <v>1</v>
      </c>
      <c r="AF4" s="10">
        <v>8.23</v>
      </c>
      <c r="AG4" s="10">
        <v>123</v>
      </c>
      <c r="AH4" s="10">
        <v>1234</v>
      </c>
      <c r="AI4" s="10">
        <v>2.4500000000000002</v>
      </c>
      <c r="AJ4" s="10">
        <v>125</v>
      </c>
      <c r="AK4" s="10">
        <v>3464</v>
      </c>
    </row>
    <row r="5" spans="1:37" s="10" customFormat="1">
      <c r="A5" s="127">
        <v>42660.6603917014</v>
      </c>
      <c r="B5" s="10" t="s">
        <v>623</v>
      </c>
      <c r="C5" s="10" t="s">
        <v>51</v>
      </c>
      <c r="D5" s="22" t="s">
        <v>49</v>
      </c>
      <c r="E5" s="10" t="s">
        <v>574</v>
      </c>
      <c r="F5" s="21" t="s">
        <v>48</v>
      </c>
      <c r="G5" s="21" t="s">
        <v>50</v>
      </c>
      <c r="H5" s="127">
        <v>42660.660997245403</v>
      </c>
      <c r="I5" s="10" t="s">
        <v>623</v>
      </c>
      <c r="J5" s="128"/>
      <c r="M5" s="129"/>
      <c r="O5" s="129"/>
      <c r="P5" s="129"/>
      <c r="Q5" s="129"/>
      <c r="R5" s="129"/>
      <c r="V5" s="129"/>
      <c r="W5" s="130"/>
      <c r="X5" s="130"/>
      <c r="Y5" s="130"/>
      <c r="Z5" s="129">
        <v>2</v>
      </c>
      <c r="AA5" s="130">
        <v>108.86038303375244</v>
      </c>
      <c r="AB5" s="129">
        <v>104</v>
      </c>
      <c r="AC5" s="129">
        <v>52319</v>
      </c>
      <c r="AD5" s="138">
        <v>1.983803</v>
      </c>
      <c r="AE5" s="129"/>
      <c r="AF5" s="10">
        <v>15</v>
      </c>
    </row>
    <row r="6" spans="1:37" s="10" customFormat="1">
      <c r="A6" s="127">
        <v>42660.660420231499</v>
      </c>
      <c r="B6" s="10" t="s">
        <v>623</v>
      </c>
      <c r="C6" s="10" t="s">
        <v>51</v>
      </c>
      <c r="D6" s="22" t="s">
        <v>49</v>
      </c>
      <c r="E6" s="10" t="s">
        <v>574</v>
      </c>
      <c r="F6" s="21" t="s">
        <v>48</v>
      </c>
      <c r="G6" s="21" t="s">
        <v>50</v>
      </c>
      <c r="H6" s="127">
        <v>42660.661220648202</v>
      </c>
      <c r="I6" s="10" t="s">
        <v>623</v>
      </c>
      <c r="J6" s="128"/>
      <c r="M6" s="129"/>
      <c r="O6" s="129"/>
      <c r="P6" s="129"/>
      <c r="Q6" s="129"/>
      <c r="R6" s="129"/>
      <c r="V6" s="129"/>
      <c r="W6" s="130"/>
      <c r="X6" s="130"/>
      <c r="Y6" s="130"/>
      <c r="Z6" s="129">
        <v>2</v>
      </c>
      <c r="AA6" s="130">
        <v>133.73400020599365</v>
      </c>
      <c r="AB6" s="129">
        <v>129</v>
      </c>
      <c r="AC6" s="129">
        <v>69156</v>
      </c>
      <c r="AD6" s="138">
        <v>1.8655379999999999</v>
      </c>
      <c r="AE6" s="129"/>
      <c r="AF6" s="10">
        <v>15</v>
      </c>
    </row>
    <row r="7" spans="1:37" s="10" customFormat="1">
      <c r="A7" s="127">
        <v>42660.660486238397</v>
      </c>
      <c r="B7" s="10" t="s">
        <v>623</v>
      </c>
      <c r="C7" s="10" t="s">
        <v>51</v>
      </c>
      <c r="D7" s="22" t="s">
        <v>49</v>
      </c>
      <c r="E7" s="10" t="s">
        <v>574</v>
      </c>
      <c r="F7" s="21" t="s">
        <v>48</v>
      </c>
      <c r="G7" s="21" t="s">
        <v>50</v>
      </c>
      <c r="H7" s="127">
        <v>42660.661230150501</v>
      </c>
      <c r="I7" s="10" t="s">
        <v>623</v>
      </c>
      <c r="J7" s="128"/>
      <c r="M7" s="129"/>
      <c r="O7" s="129"/>
      <c r="P7" s="129"/>
      <c r="Q7" s="129"/>
      <c r="R7" s="129"/>
      <c r="V7" s="129"/>
      <c r="W7" s="130"/>
      <c r="X7" s="130"/>
      <c r="Y7" s="130"/>
      <c r="Z7" s="129">
        <v>2</v>
      </c>
      <c r="AA7" s="130">
        <v>130.4456787109375</v>
      </c>
      <c r="AB7" s="129">
        <v>122</v>
      </c>
      <c r="AC7" s="129">
        <v>64274</v>
      </c>
      <c r="AD7" s="138">
        <v>1.903929</v>
      </c>
      <c r="AE7" s="129"/>
      <c r="AF7" s="10">
        <v>15</v>
      </c>
    </row>
    <row r="8" spans="1:37">
      <c r="A8" s="127"/>
      <c r="B8" s="10"/>
      <c r="C8" s="10"/>
      <c r="D8" s="22"/>
      <c r="E8" s="10"/>
      <c r="F8" s="22"/>
      <c r="G8" s="10"/>
      <c r="H8" s="127"/>
      <c r="I8" s="10"/>
      <c r="J8" s="128"/>
      <c r="K8" s="10"/>
      <c r="L8" s="10"/>
      <c r="M8" s="129"/>
      <c r="N8" s="10"/>
      <c r="O8" s="129"/>
      <c r="P8" s="129"/>
      <c r="Q8" s="129"/>
      <c r="R8" s="129"/>
      <c r="S8" s="129"/>
      <c r="T8" s="129"/>
      <c r="U8" s="130"/>
      <c r="V8" s="130"/>
      <c r="W8" s="130"/>
      <c r="X8" s="129"/>
      <c r="Y8" s="130"/>
      <c r="Z8" s="130"/>
      <c r="AA8" s="129"/>
      <c r="AB8" s="130"/>
      <c r="AC8" s="129"/>
      <c r="AD8" s="10"/>
    </row>
    <row r="9" spans="1:37">
      <c r="A9" s="127"/>
      <c r="B9" s="10"/>
      <c r="C9" s="10"/>
      <c r="D9" s="22"/>
      <c r="E9" s="10"/>
      <c r="F9" s="22"/>
      <c r="G9" s="10"/>
      <c r="H9" s="127"/>
      <c r="I9" s="10"/>
      <c r="J9" s="128"/>
      <c r="K9" s="10"/>
      <c r="L9" s="10"/>
      <c r="M9" s="129"/>
      <c r="N9" s="10"/>
      <c r="O9" s="129"/>
      <c r="P9" s="129"/>
      <c r="Q9" s="129"/>
      <c r="R9" s="129"/>
      <c r="S9" s="129"/>
      <c r="T9" s="129"/>
      <c r="U9" s="130"/>
      <c r="V9" s="130"/>
      <c r="W9" s="130"/>
      <c r="X9" s="129"/>
      <c r="Y9" s="130"/>
      <c r="Z9" s="130"/>
      <c r="AA9" s="129"/>
      <c r="AB9" s="130"/>
      <c r="AC9" s="129"/>
      <c r="AD9" s="10"/>
    </row>
    <row r="10" spans="1:37">
      <c r="A10" s="127"/>
      <c r="B10" s="10"/>
      <c r="C10" s="10"/>
      <c r="D10" s="22"/>
      <c r="E10" s="10"/>
      <c r="F10" s="22"/>
      <c r="G10" s="10"/>
      <c r="H10" s="127"/>
      <c r="I10" s="10"/>
      <c r="J10" s="128"/>
      <c r="K10" s="10"/>
      <c r="L10" s="10"/>
      <c r="M10" s="129"/>
      <c r="N10" s="10"/>
      <c r="O10" s="129"/>
      <c r="P10" s="129"/>
      <c r="Q10" s="129"/>
      <c r="R10" s="129"/>
      <c r="S10" s="129"/>
      <c r="T10" s="129"/>
      <c r="U10" s="130"/>
      <c r="V10" s="130"/>
      <c r="W10" s="130"/>
      <c r="X10" s="129"/>
      <c r="Y10" s="130"/>
      <c r="Z10" s="130"/>
      <c r="AA10" s="129"/>
      <c r="AB10" s="130"/>
      <c r="AC10" s="129"/>
      <c r="AD10" s="10"/>
    </row>
  </sheetData>
  <mergeCells count="4">
    <mergeCell ref="I1:U1"/>
    <mergeCell ref="V1:Y1"/>
    <mergeCell ref="Z1:AD1"/>
    <mergeCell ref="AE1:AI1"/>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7" t="s">
        <v>51</v>
      </c>
      <c r="C80" s="120" t="s">
        <v>49</v>
      </c>
      <c r="D80" s="120" t="s">
        <v>48</v>
      </c>
      <c r="E80" s="10"/>
      <c r="F80" s="10" t="s">
        <v>563</v>
      </c>
      <c r="G80" s="10">
        <v>7901303</v>
      </c>
      <c r="H80" s="10" t="s">
        <v>35</v>
      </c>
      <c r="I80" s="27"/>
      <c r="J80" s="10"/>
      <c r="K80" s="10">
        <v>7901303</v>
      </c>
      <c r="L80" s="10" t="s">
        <v>572</v>
      </c>
    </row>
    <row r="81" spans="1:12">
      <c r="A81" s="10" t="s">
        <v>155</v>
      </c>
      <c r="B81" s="117" t="s">
        <v>51</v>
      </c>
      <c r="C81" s="120" t="s">
        <v>49</v>
      </c>
      <c r="D81" s="120" t="s">
        <v>48</v>
      </c>
      <c r="E81" s="10"/>
      <c r="F81" s="10" t="s">
        <v>564</v>
      </c>
      <c r="G81" s="10">
        <v>9174</v>
      </c>
      <c r="H81" s="10" t="s">
        <v>35</v>
      </c>
      <c r="I81" s="27"/>
      <c r="J81" s="10"/>
      <c r="K81" s="10">
        <v>9174</v>
      </c>
      <c r="L81" s="10" t="s">
        <v>572</v>
      </c>
    </row>
    <row r="82" spans="1:12">
      <c r="A82" s="10" t="s">
        <v>155</v>
      </c>
      <c r="B82" s="117" t="s">
        <v>51</v>
      </c>
      <c r="C82" s="120" t="s">
        <v>49</v>
      </c>
      <c r="D82" s="120" t="s">
        <v>48</v>
      </c>
      <c r="E82" s="10"/>
      <c r="F82" s="10" t="s">
        <v>565</v>
      </c>
      <c r="G82" s="10">
        <v>112953</v>
      </c>
      <c r="H82" s="10" t="s">
        <v>35</v>
      </c>
      <c r="I82" s="27"/>
      <c r="J82" s="10"/>
      <c r="K82" s="10">
        <v>112953</v>
      </c>
      <c r="L82" s="10" t="s">
        <v>572</v>
      </c>
    </row>
    <row r="83" spans="1:12">
      <c r="A83" s="10" t="s">
        <v>155</v>
      </c>
      <c r="B83" s="117" t="s">
        <v>51</v>
      </c>
      <c r="C83" s="120" t="s">
        <v>49</v>
      </c>
      <c r="D83" s="120" t="s">
        <v>48</v>
      </c>
      <c r="E83" s="10"/>
      <c r="F83" s="10" t="s">
        <v>566</v>
      </c>
      <c r="G83" s="10">
        <v>246</v>
      </c>
      <c r="H83" s="10"/>
      <c r="I83" s="27"/>
      <c r="J83" s="10"/>
      <c r="K83" s="10">
        <v>246</v>
      </c>
      <c r="L83" s="10" t="s">
        <v>572</v>
      </c>
    </row>
    <row r="84" spans="1:12">
      <c r="A84" s="10" t="s">
        <v>155</v>
      </c>
      <c r="B84" s="139" t="s">
        <v>51</v>
      </c>
      <c r="C84" s="120" t="s">
        <v>49</v>
      </c>
      <c r="D84" s="120" t="s">
        <v>48</v>
      </c>
      <c r="E84" s="10"/>
      <c r="F84" s="10" t="s">
        <v>573</v>
      </c>
      <c r="G84" s="10">
        <v>1</v>
      </c>
      <c r="H84" s="10"/>
      <c r="I84" s="27"/>
      <c r="J84" s="10"/>
      <c r="K84" s="10">
        <v>1</v>
      </c>
      <c r="L84" s="10" t="s">
        <v>572</v>
      </c>
    </row>
    <row r="85" spans="1:12">
      <c r="A85" s="10" t="s">
        <v>155</v>
      </c>
      <c r="B85" s="139" t="s">
        <v>51</v>
      </c>
      <c r="C85" s="120" t="s">
        <v>49</v>
      </c>
      <c r="D85" s="120" t="s">
        <v>48</v>
      </c>
      <c r="E85" s="120" t="s">
        <v>50</v>
      </c>
      <c r="F85" s="10" t="s">
        <v>567</v>
      </c>
      <c r="G85" s="10">
        <v>5819747</v>
      </c>
      <c r="H85" s="10" t="s">
        <v>35</v>
      </c>
      <c r="I85" s="27"/>
      <c r="J85" s="10" t="b">
        <v>1</v>
      </c>
      <c r="K85" s="10">
        <v>5819747</v>
      </c>
      <c r="L85" s="10">
        <v>13</v>
      </c>
    </row>
    <row r="86" spans="1:12">
      <c r="A86" s="10" t="s">
        <v>155</v>
      </c>
      <c r="B86" s="139" t="s">
        <v>51</v>
      </c>
      <c r="C86" s="120" t="s">
        <v>49</v>
      </c>
      <c r="D86" s="120" t="s">
        <v>48</v>
      </c>
      <c r="E86" s="120" t="s">
        <v>50</v>
      </c>
      <c r="F86" s="10" t="s">
        <v>568</v>
      </c>
      <c r="G86" s="10">
        <v>23</v>
      </c>
      <c r="H86" s="10" t="s">
        <v>35</v>
      </c>
      <c r="I86" s="27"/>
      <c r="J86" s="10" t="b">
        <v>1</v>
      </c>
      <c r="K86" s="10">
        <v>23</v>
      </c>
      <c r="L86" s="10">
        <v>13</v>
      </c>
    </row>
    <row r="87" spans="1:12">
      <c r="A87" s="10" t="s">
        <v>155</v>
      </c>
      <c r="B87" s="139" t="s">
        <v>51</v>
      </c>
      <c r="C87" s="120" t="s">
        <v>49</v>
      </c>
      <c r="D87" s="120" t="s">
        <v>48</v>
      </c>
      <c r="E87" s="120" t="s">
        <v>50</v>
      </c>
      <c r="F87" s="10" t="s">
        <v>569</v>
      </c>
      <c r="G87" s="10">
        <v>1455699.25</v>
      </c>
      <c r="H87" s="10" t="s">
        <v>35</v>
      </c>
      <c r="I87" s="27"/>
      <c r="J87" s="10" t="b">
        <v>1</v>
      </c>
      <c r="K87" s="10">
        <v>1455699.25</v>
      </c>
      <c r="L87" s="10">
        <v>13</v>
      </c>
    </row>
    <row r="88" spans="1:12">
      <c r="A88" s="10" t="s">
        <v>155</v>
      </c>
      <c r="B88" s="139" t="s">
        <v>51</v>
      </c>
      <c r="C88" s="120" t="s">
        <v>49</v>
      </c>
      <c r="D88" s="120" t="s">
        <v>48</v>
      </c>
      <c r="E88" s="120" t="s">
        <v>50</v>
      </c>
      <c r="F88" s="10" t="s">
        <v>570</v>
      </c>
      <c r="G88" s="10">
        <v>2519584.2544080932</v>
      </c>
      <c r="H88" s="10" t="s">
        <v>35</v>
      </c>
      <c r="I88" s="27"/>
      <c r="J88" s="10" t="b">
        <v>1</v>
      </c>
      <c r="K88" s="10">
        <v>2519584.2544080932</v>
      </c>
      <c r="L88" s="10">
        <v>13</v>
      </c>
    </row>
    <row r="89" spans="1:12">
      <c r="A89" s="10" t="s">
        <v>155</v>
      </c>
      <c r="B89" s="139" t="s">
        <v>51</v>
      </c>
      <c r="C89" s="120" t="s">
        <v>49</v>
      </c>
      <c r="D89" s="120" t="s">
        <v>48</v>
      </c>
      <c r="E89" s="120" t="s">
        <v>50</v>
      </c>
      <c r="F89" s="10" t="s">
        <v>571</v>
      </c>
      <c r="G89" s="10">
        <v>4</v>
      </c>
      <c r="H89" s="10"/>
      <c r="I89" s="27"/>
      <c r="J89" s="10" t="b">
        <v>1</v>
      </c>
      <c r="K89" s="10">
        <v>4</v>
      </c>
      <c r="L89" s="10">
        <v>13</v>
      </c>
    </row>
    <row r="90" spans="1:12">
      <c r="A90" s="10" t="s">
        <v>155</v>
      </c>
      <c r="B90" s="139" t="s">
        <v>51</v>
      </c>
      <c r="C90" s="139" t="s">
        <v>49</v>
      </c>
      <c r="D90" s="139" t="s">
        <v>48</v>
      </c>
      <c r="E90" s="139" t="s">
        <v>50</v>
      </c>
      <c r="F90" s="10" t="s">
        <v>630</v>
      </c>
      <c r="G90" s="10">
        <v>230</v>
      </c>
      <c r="H90" s="10" t="s">
        <v>35</v>
      </c>
      <c r="I90" s="88"/>
      <c r="J90" s="10" t="b">
        <v>1</v>
      </c>
      <c r="K90" s="10">
        <v>230</v>
      </c>
      <c r="L90" s="10">
        <v>14</v>
      </c>
    </row>
    <row r="91" spans="1:12">
      <c r="A91" s="10" t="s">
        <v>155</v>
      </c>
      <c r="B91" s="139" t="s">
        <v>51</v>
      </c>
      <c r="C91" s="139" t="s">
        <v>49</v>
      </c>
      <c r="D91" s="139" t="s">
        <v>48</v>
      </c>
      <c r="E91" s="139" t="s">
        <v>50</v>
      </c>
      <c r="F91" s="10" t="s">
        <v>631</v>
      </c>
      <c r="G91" s="10">
        <v>124</v>
      </c>
      <c r="H91" s="10" t="s">
        <v>35</v>
      </c>
      <c r="I91" s="88"/>
      <c r="J91" s="10" t="b">
        <v>1</v>
      </c>
      <c r="K91" s="10">
        <v>124</v>
      </c>
      <c r="L91" s="10">
        <v>14</v>
      </c>
    </row>
    <row r="92" spans="1:12">
      <c r="A92" s="10" t="s">
        <v>155</v>
      </c>
      <c r="B92" s="139" t="s">
        <v>51</v>
      </c>
      <c r="C92" s="139" t="s">
        <v>49</v>
      </c>
      <c r="D92" s="139" t="s">
        <v>48</v>
      </c>
      <c r="E92" s="139" t="s">
        <v>50</v>
      </c>
      <c r="F92" s="10" t="s">
        <v>632</v>
      </c>
      <c r="G92" s="10">
        <v>100</v>
      </c>
      <c r="H92" s="10" t="s">
        <v>35</v>
      </c>
      <c r="I92" s="88"/>
      <c r="J92" s="10" t="b">
        <v>1</v>
      </c>
      <c r="K92" s="10">
        <v>100</v>
      </c>
      <c r="L92" s="10">
        <v>14</v>
      </c>
    </row>
    <row r="93" spans="1:12">
      <c r="A93" s="10" t="s">
        <v>155</v>
      </c>
      <c r="B93" s="139" t="s">
        <v>51</v>
      </c>
      <c r="C93" s="139" t="s">
        <v>49</v>
      </c>
      <c r="D93" s="139" t="s">
        <v>48</v>
      </c>
      <c r="E93" s="139" t="s">
        <v>50</v>
      </c>
      <c r="F93" s="10" t="s">
        <v>633</v>
      </c>
      <c r="G93" s="10">
        <v>10</v>
      </c>
      <c r="H93" s="10"/>
      <c r="I93" s="88"/>
      <c r="J93" s="10" t="b">
        <v>1</v>
      </c>
      <c r="K93" s="10">
        <v>10</v>
      </c>
      <c r="L93" s="10">
        <v>14</v>
      </c>
    </row>
    <row r="94" spans="1:12">
      <c r="A94" s="10" t="s">
        <v>155</v>
      </c>
      <c r="B94" s="139" t="s">
        <v>51</v>
      </c>
      <c r="C94" s="139" t="s">
        <v>49</v>
      </c>
      <c r="D94" s="139" t="s">
        <v>48</v>
      </c>
      <c r="E94" s="139" t="s">
        <v>50</v>
      </c>
      <c r="F94" s="10" t="s">
        <v>634</v>
      </c>
      <c r="G94" s="10">
        <v>5</v>
      </c>
      <c r="H94" s="10"/>
      <c r="I94" s="88"/>
      <c r="J94" s="10" t="b">
        <v>1</v>
      </c>
      <c r="K94" s="10">
        <v>5</v>
      </c>
      <c r="L94" s="10">
        <v>14</v>
      </c>
    </row>
    <row r="95" spans="1:12">
      <c r="A95" s="10" t="s">
        <v>155</v>
      </c>
      <c r="B95" s="145" t="s">
        <v>51</v>
      </c>
      <c r="C95" s="145" t="s">
        <v>49</v>
      </c>
      <c r="D95" s="145" t="s">
        <v>48</v>
      </c>
      <c r="E95" s="145" t="s">
        <v>50</v>
      </c>
      <c r="F95" s="10" t="s">
        <v>655</v>
      </c>
      <c r="G95" s="10">
        <v>123</v>
      </c>
      <c r="H95" s="10" t="s">
        <v>35</v>
      </c>
      <c r="I95" s="88"/>
      <c r="J95" s="10" t="b">
        <v>1</v>
      </c>
      <c r="K95" s="10">
        <v>123</v>
      </c>
      <c r="L95" s="10">
        <v>15</v>
      </c>
    </row>
    <row r="96" spans="1:12">
      <c r="A96" s="10" t="s">
        <v>155</v>
      </c>
      <c r="B96" s="145" t="s">
        <v>51</v>
      </c>
      <c r="C96" s="145" t="s">
        <v>49</v>
      </c>
      <c r="D96" s="145" t="s">
        <v>48</v>
      </c>
      <c r="E96" s="145" t="s">
        <v>50</v>
      </c>
      <c r="F96" s="10" t="s">
        <v>656</v>
      </c>
      <c r="G96" s="10">
        <v>54</v>
      </c>
      <c r="H96" s="10" t="s">
        <v>35</v>
      </c>
      <c r="I96" s="88"/>
      <c r="J96" s="10" t="b">
        <v>1</v>
      </c>
      <c r="K96" s="10">
        <v>54</v>
      </c>
      <c r="L96" s="10">
        <v>15</v>
      </c>
    </row>
    <row r="97" spans="1:12">
      <c r="A97" s="10" t="s">
        <v>155</v>
      </c>
      <c r="B97" s="145" t="s">
        <v>51</v>
      </c>
      <c r="C97" s="145" t="s">
        <v>49</v>
      </c>
      <c r="D97" s="145" t="s">
        <v>48</v>
      </c>
      <c r="E97" s="145" t="s">
        <v>50</v>
      </c>
      <c r="F97" s="10" t="s">
        <v>657</v>
      </c>
      <c r="G97" s="10">
        <v>23</v>
      </c>
      <c r="H97" s="10" t="s">
        <v>35</v>
      </c>
      <c r="I97" s="88"/>
      <c r="J97" s="10" t="b">
        <v>1</v>
      </c>
      <c r="K97" s="10">
        <v>23</v>
      </c>
      <c r="L97" s="10">
        <v>15</v>
      </c>
    </row>
    <row r="98" spans="1:12">
      <c r="A98" s="10" t="s">
        <v>155</v>
      </c>
      <c r="B98" s="145" t="s">
        <v>51</v>
      </c>
      <c r="C98" s="145" t="s">
        <v>49</v>
      </c>
      <c r="D98" s="145" t="s">
        <v>48</v>
      </c>
      <c r="E98" s="145" t="s">
        <v>50</v>
      </c>
      <c r="F98" s="10" t="s">
        <v>658</v>
      </c>
      <c r="G98" s="10">
        <v>12</v>
      </c>
      <c r="H98" s="10"/>
      <c r="I98" s="88"/>
      <c r="J98" s="10" t="b">
        <v>1</v>
      </c>
      <c r="K98" s="10">
        <v>12</v>
      </c>
      <c r="L98" s="10">
        <v>15</v>
      </c>
    </row>
    <row r="99" spans="1:12">
      <c r="A99" s="10" t="s">
        <v>155</v>
      </c>
      <c r="B99" s="145" t="s">
        <v>51</v>
      </c>
      <c r="C99" s="145" t="s">
        <v>49</v>
      </c>
      <c r="D99" s="145" t="s">
        <v>48</v>
      </c>
      <c r="E99" s="145" t="s">
        <v>50</v>
      </c>
      <c r="F99" s="10" t="s">
        <v>659</v>
      </c>
      <c r="G99" s="10">
        <v>7.89</v>
      </c>
      <c r="H99" s="10" t="s">
        <v>662</v>
      </c>
      <c r="I99" s="88"/>
      <c r="J99" s="10" t="b">
        <v>1</v>
      </c>
      <c r="K99" s="10">
        <v>7.89</v>
      </c>
      <c r="L99" s="10">
        <v>15</v>
      </c>
    </row>
    <row r="100" spans="1:12">
      <c r="A100" s="10" t="s">
        <v>155</v>
      </c>
      <c r="B100" s="145" t="s">
        <v>51</v>
      </c>
      <c r="C100" s="145" t="s">
        <v>49</v>
      </c>
      <c r="D100" s="145" t="s">
        <v>48</v>
      </c>
      <c r="E100" s="145" t="s">
        <v>50</v>
      </c>
      <c r="F100" s="10" t="s">
        <v>660</v>
      </c>
      <c r="G100" s="10">
        <v>3.45</v>
      </c>
      <c r="H100" s="10" t="s">
        <v>662</v>
      </c>
      <c r="I100" s="88"/>
      <c r="J100" s="10" t="b">
        <v>1</v>
      </c>
      <c r="K100" s="10">
        <v>3.45</v>
      </c>
      <c r="L100" s="10">
        <v>15</v>
      </c>
    </row>
    <row r="101" spans="1:12">
      <c r="A101" s="10" t="s">
        <v>155</v>
      </c>
      <c r="B101" s="145" t="s">
        <v>51</v>
      </c>
      <c r="C101" s="145" t="s">
        <v>49</v>
      </c>
      <c r="D101" s="145" t="s">
        <v>48</v>
      </c>
      <c r="E101" s="145" t="s">
        <v>50</v>
      </c>
      <c r="F101" s="10" t="s">
        <v>661</v>
      </c>
      <c r="G101" s="10">
        <v>1.23</v>
      </c>
      <c r="H101" s="10" t="s">
        <v>662</v>
      </c>
      <c r="I101" s="88"/>
      <c r="J101" s="10" t="b">
        <v>1</v>
      </c>
      <c r="K101" s="10">
        <v>1.23</v>
      </c>
      <c r="L101" s="10">
        <v>15</v>
      </c>
    </row>
    <row r="102" spans="1:12">
      <c r="A102" s="10" t="s">
        <v>155</v>
      </c>
      <c r="B102" s="150" t="s">
        <v>51</v>
      </c>
      <c r="C102" s="150" t="s">
        <v>49</v>
      </c>
      <c r="D102" s="150" t="s">
        <v>48</v>
      </c>
      <c r="E102" s="150" t="s">
        <v>50</v>
      </c>
      <c r="F102" s="10" t="s">
        <v>663</v>
      </c>
      <c r="G102" s="10">
        <v>12.43</v>
      </c>
      <c r="H102" s="10" t="s">
        <v>667</v>
      </c>
      <c r="I102" s="88"/>
      <c r="J102" s="10" t="b">
        <v>1</v>
      </c>
      <c r="K102" s="10">
        <v>12.43</v>
      </c>
      <c r="L102" s="10">
        <v>15</v>
      </c>
    </row>
    <row r="103" spans="1:12">
      <c r="A103" s="10" t="s">
        <v>155</v>
      </c>
      <c r="B103" s="150" t="s">
        <v>51</v>
      </c>
      <c r="C103" s="150" t="s">
        <v>49</v>
      </c>
      <c r="D103" s="150" t="s">
        <v>48</v>
      </c>
      <c r="E103" s="150" t="s">
        <v>50</v>
      </c>
      <c r="F103" s="10" t="s">
        <v>664</v>
      </c>
      <c r="G103" s="10">
        <v>5.67</v>
      </c>
      <c r="H103" s="10" t="s">
        <v>667</v>
      </c>
      <c r="I103" s="88"/>
      <c r="J103" s="10" t="b">
        <v>1</v>
      </c>
      <c r="K103" s="10">
        <v>5.67</v>
      </c>
      <c r="L103" s="10">
        <v>15</v>
      </c>
    </row>
    <row r="104" spans="1:12">
      <c r="A104" s="10" t="s">
        <v>155</v>
      </c>
      <c r="B104" s="150" t="s">
        <v>51</v>
      </c>
      <c r="C104" s="150" t="s">
        <v>49</v>
      </c>
      <c r="D104" s="150" t="s">
        <v>48</v>
      </c>
      <c r="E104" s="150" t="s">
        <v>50</v>
      </c>
      <c r="F104" s="10" t="s">
        <v>665</v>
      </c>
      <c r="G104" s="10">
        <v>2.34</v>
      </c>
      <c r="H104" s="10" t="s">
        <v>667</v>
      </c>
      <c r="I104" s="88"/>
      <c r="J104" s="10" t="b">
        <v>1</v>
      </c>
      <c r="K104" s="10">
        <v>2.34</v>
      </c>
      <c r="L104" s="10">
        <v>15</v>
      </c>
    </row>
    <row r="105" spans="1:12">
      <c r="A105" s="10" t="s">
        <v>155</v>
      </c>
      <c r="B105" s="150" t="s">
        <v>51</v>
      </c>
      <c r="C105" s="150" t="s">
        <v>49</v>
      </c>
      <c r="D105" s="150" t="s">
        <v>48</v>
      </c>
      <c r="E105" s="150" t="s">
        <v>50</v>
      </c>
      <c r="F105" s="10" t="s">
        <v>666</v>
      </c>
      <c r="G105" s="10">
        <v>23.45</v>
      </c>
      <c r="H105" s="10" t="s">
        <v>667</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0"/>
  <sheetViews>
    <sheetView workbookViewId="0">
      <pane ySplit="1" topLeftCell="A2"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7" width="27" style="27" customWidth="1"/>
    <col min="18" max="18" width="18.42578125" customWidth="1"/>
  </cols>
  <sheetData>
    <row r="1" spans="1:18">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158" t="s">
        <v>694</v>
      </c>
      <c r="R1" s="94" t="s">
        <v>530</v>
      </c>
    </row>
    <row r="2" spans="1:18">
      <c r="A2" s="10" t="s">
        <v>165</v>
      </c>
      <c r="B2" s="10" t="s">
        <v>51</v>
      </c>
      <c r="C2" s="10" t="s">
        <v>49</v>
      </c>
      <c r="D2" s="10" t="s">
        <v>58</v>
      </c>
      <c r="E2" s="11">
        <v>0</v>
      </c>
      <c r="F2" s="11">
        <v>0</v>
      </c>
      <c r="G2" s="11">
        <v>346708473</v>
      </c>
      <c r="H2" s="11">
        <v>0</v>
      </c>
      <c r="I2" s="11">
        <v>0</v>
      </c>
      <c r="J2" s="11"/>
    </row>
    <row r="3" spans="1:18">
      <c r="A3" s="10" t="s">
        <v>165</v>
      </c>
      <c r="B3" s="10" t="s">
        <v>51</v>
      </c>
      <c r="C3" s="10" t="s">
        <v>49</v>
      </c>
      <c r="D3" s="10" t="s">
        <v>59</v>
      </c>
      <c r="E3" s="11">
        <v>0</v>
      </c>
      <c r="F3" s="11">
        <v>0</v>
      </c>
      <c r="G3" s="11">
        <v>9373164</v>
      </c>
      <c r="H3" s="11">
        <v>0</v>
      </c>
      <c r="I3" s="11">
        <v>0</v>
      </c>
      <c r="J3" s="11"/>
    </row>
    <row r="4" spans="1:18">
      <c r="A4" s="10" t="s">
        <v>165</v>
      </c>
      <c r="B4" s="10" t="s">
        <v>51</v>
      </c>
      <c r="C4" s="10" t="s">
        <v>49</v>
      </c>
      <c r="D4" s="10" t="s">
        <v>60</v>
      </c>
      <c r="E4" s="11">
        <v>0</v>
      </c>
      <c r="F4" s="11">
        <v>0</v>
      </c>
      <c r="G4" s="11">
        <v>397905909</v>
      </c>
      <c r="H4" s="11">
        <v>0</v>
      </c>
      <c r="I4" s="11">
        <v>0</v>
      </c>
      <c r="J4" s="11"/>
    </row>
    <row r="5" spans="1:18">
      <c r="A5" s="10" t="s">
        <v>165</v>
      </c>
      <c r="B5" s="10" t="s">
        <v>51</v>
      </c>
      <c r="C5" s="10" t="s">
        <v>49</v>
      </c>
      <c r="D5" s="10" t="s">
        <v>61</v>
      </c>
      <c r="E5" s="11">
        <v>0</v>
      </c>
      <c r="F5" s="11">
        <v>0</v>
      </c>
      <c r="G5" s="11">
        <v>14840</v>
      </c>
      <c r="H5" s="11">
        <v>0</v>
      </c>
      <c r="I5" s="11">
        <v>0</v>
      </c>
      <c r="J5" s="11"/>
    </row>
    <row r="6" spans="1:18">
      <c r="A6" s="10" t="s">
        <v>165</v>
      </c>
      <c r="B6" s="10" t="s">
        <v>51</v>
      </c>
      <c r="C6" s="10" t="s">
        <v>49</v>
      </c>
      <c r="D6" s="10" t="s">
        <v>62</v>
      </c>
      <c r="E6" s="11">
        <v>0</v>
      </c>
      <c r="F6" s="11">
        <v>0</v>
      </c>
      <c r="G6" s="11">
        <v>0</v>
      </c>
      <c r="H6" s="11">
        <v>0</v>
      </c>
      <c r="I6" s="11">
        <v>0</v>
      </c>
      <c r="J6" s="11"/>
    </row>
    <row r="7" spans="1:18">
      <c r="A7" s="10" t="s">
        <v>165</v>
      </c>
      <c r="B7" s="10" t="s">
        <v>51</v>
      </c>
      <c r="C7" s="10" t="s">
        <v>49</v>
      </c>
      <c r="D7" s="10" t="s">
        <v>63</v>
      </c>
      <c r="E7" s="11">
        <v>0</v>
      </c>
      <c r="F7" s="11">
        <v>0</v>
      </c>
      <c r="G7" s="11">
        <v>0</v>
      </c>
      <c r="H7" s="11">
        <v>0</v>
      </c>
      <c r="I7" s="11">
        <v>0</v>
      </c>
      <c r="J7" s="11"/>
    </row>
    <row r="8" spans="1:18">
      <c r="A8" s="10" t="s">
        <v>165</v>
      </c>
      <c r="B8" s="10" t="s">
        <v>51</v>
      </c>
      <c r="C8" s="10" t="s">
        <v>49</v>
      </c>
      <c r="D8" s="10" t="s">
        <v>64</v>
      </c>
      <c r="E8" s="11">
        <v>0</v>
      </c>
      <c r="F8" s="11">
        <v>0</v>
      </c>
      <c r="G8" s="11">
        <v>3728</v>
      </c>
      <c r="H8" s="11">
        <v>0</v>
      </c>
      <c r="I8" s="11">
        <v>0</v>
      </c>
      <c r="J8" s="11"/>
    </row>
    <row r="9" spans="1:18">
      <c r="A9" s="10" t="s">
        <v>165</v>
      </c>
      <c r="B9" s="10" t="s">
        <v>51</v>
      </c>
      <c r="C9" s="10" t="s">
        <v>49</v>
      </c>
      <c r="D9" s="10" t="s">
        <v>65</v>
      </c>
      <c r="E9" s="11">
        <v>0</v>
      </c>
      <c r="F9" s="11">
        <v>1</v>
      </c>
      <c r="G9" s="11">
        <v>8237</v>
      </c>
      <c r="H9" s="11">
        <v>0</v>
      </c>
      <c r="I9" s="11">
        <v>0</v>
      </c>
      <c r="J9" s="11"/>
    </row>
    <row r="10" spans="1:18">
      <c r="A10" s="10" t="s">
        <v>165</v>
      </c>
      <c r="B10" s="10" t="s">
        <v>51</v>
      </c>
      <c r="C10" s="10" t="s">
        <v>49</v>
      </c>
      <c r="D10" s="10" t="s">
        <v>66</v>
      </c>
      <c r="E10" s="11">
        <v>0</v>
      </c>
      <c r="F10" s="11">
        <v>0</v>
      </c>
      <c r="G10" s="11">
        <v>9047891</v>
      </c>
      <c r="H10" s="11">
        <v>0</v>
      </c>
      <c r="I10" s="11">
        <v>0</v>
      </c>
      <c r="J10" s="11"/>
    </row>
    <row r="11" spans="1:18">
      <c r="A11" s="10" t="s">
        <v>165</v>
      </c>
      <c r="B11" s="10" t="s">
        <v>51</v>
      </c>
      <c r="C11" s="10" t="s">
        <v>49</v>
      </c>
      <c r="D11" s="10" t="s">
        <v>67</v>
      </c>
      <c r="E11" s="11">
        <v>0</v>
      </c>
      <c r="F11" s="11">
        <v>0</v>
      </c>
      <c r="G11" s="11">
        <v>0</v>
      </c>
      <c r="H11" s="11">
        <v>0</v>
      </c>
      <c r="I11" s="11">
        <v>0</v>
      </c>
      <c r="J11" s="11"/>
    </row>
    <row r="12" spans="1:18">
      <c r="A12" s="10" t="s">
        <v>165</v>
      </c>
      <c r="B12" s="10" t="s">
        <v>51</v>
      </c>
      <c r="C12" s="10" t="s">
        <v>49</v>
      </c>
      <c r="D12" s="10" t="s">
        <v>68</v>
      </c>
      <c r="E12" s="11">
        <v>0</v>
      </c>
      <c r="F12" s="11">
        <v>0</v>
      </c>
      <c r="G12" s="11">
        <v>126</v>
      </c>
      <c r="H12" s="11">
        <v>0</v>
      </c>
      <c r="I12" s="11">
        <v>0</v>
      </c>
      <c r="J12" s="11"/>
    </row>
    <row r="13" spans="1:18">
      <c r="A13" s="10" t="s">
        <v>165</v>
      </c>
      <c r="B13" s="10" t="s">
        <v>51</v>
      </c>
      <c r="C13" s="10" t="s">
        <v>49</v>
      </c>
      <c r="D13" s="10" t="s">
        <v>69</v>
      </c>
      <c r="E13" s="11">
        <v>0</v>
      </c>
      <c r="F13" s="11">
        <v>0</v>
      </c>
      <c r="G13" s="11">
        <v>0</v>
      </c>
      <c r="H13" s="11">
        <v>0</v>
      </c>
      <c r="I13" s="11">
        <v>0</v>
      </c>
      <c r="J13" s="11"/>
    </row>
    <row r="14" spans="1:18">
      <c r="A14" s="10" t="s">
        <v>165</v>
      </c>
      <c r="B14" s="10" t="s">
        <v>51</v>
      </c>
      <c r="C14" s="10" t="s">
        <v>49</v>
      </c>
      <c r="D14" s="10" t="s">
        <v>70</v>
      </c>
      <c r="E14" s="11">
        <v>0</v>
      </c>
      <c r="F14" s="11">
        <v>0</v>
      </c>
      <c r="G14" s="11">
        <v>2646529</v>
      </c>
      <c r="H14" s="11">
        <v>0</v>
      </c>
      <c r="I14" s="11">
        <v>0</v>
      </c>
      <c r="J14" s="11"/>
    </row>
    <row r="15" spans="1:18">
      <c r="A15" s="10" t="s">
        <v>165</v>
      </c>
      <c r="B15" s="10" t="s">
        <v>51</v>
      </c>
      <c r="C15" s="10" t="s">
        <v>49</v>
      </c>
      <c r="D15" s="10" t="s">
        <v>71</v>
      </c>
      <c r="E15" s="11">
        <v>0</v>
      </c>
      <c r="F15" s="11">
        <v>0</v>
      </c>
      <c r="G15" s="11">
        <v>36102</v>
      </c>
      <c r="H15" s="11">
        <v>0</v>
      </c>
      <c r="I15" s="11">
        <v>0</v>
      </c>
      <c r="J15" s="11"/>
    </row>
    <row r="16" spans="1:18">
      <c r="A16" s="10" t="s">
        <v>165</v>
      </c>
      <c r="B16" s="10" t="s">
        <v>51</v>
      </c>
      <c r="C16" s="10" t="s">
        <v>49</v>
      </c>
      <c r="D16" s="10" t="s">
        <v>72</v>
      </c>
      <c r="E16" s="11">
        <v>0</v>
      </c>
      <c r="F16" s="11">
        <v>0</v>
      </c>
      <c r="G16" s="11">
        <v>269</v>
      </c>
      <c r="H16" s="11">
        <v>0</v>
      </c>
      <c r="I16" s="11">
        <v>0</v>
      </c>
      <c r="J16" s="11"/>
    </row>
    <row r="17" spans="1:17">
      <c r="A17" s="10" t="s">
        <v>165</v>
      </c>
      <c r="B17" s="10" t="s">
        <v>51</v>
      </c>
      <c r="C17" s="10" t="s">
        <v>49</v>
      </c>
      <c r="D17" s="22" t="s">
        <v>73</v>
      </c>
      <c r="E17" s="11">
        <v>0</v>
      </c>
      <c r="F17" s="11">
        <v>0</v>
      </c>
      <c r="G17" s="11">
        <v>305803</v>
      </c>
      <c r="H17" s="11">
        <v>0</v>
      </c>
      <c r="I17" s="11">
        <v>0</v>
      </c>
      <c r="J17" s="11"/>
    </row>
    <row r="18" spans="1:17">
      <c r="A18" s="10" t="s">
        <v>165</v>
      </c>
      <c r="B18" s="10" t="s">
        <v>51</v>
      </c>
      <c r="C18" s="10" t="s">
        <v>49</v>
      </c>
      <c r="D18" s="10" t="s">
        <v>74</v>
      </c>
      <c r="E18" s="11">
        <v>0</v>
      </c>
      <c r="F18" s="11">
        <v>0</v>
      </c>
      <c r="G18" s="11">
        <v>51</v>
      </c>
      <c r="H18" s="11">
        <v>0</v>
      </c>
      <c r="I18" s="11">
        <v>0</v>
      </c>
      <c r="J18" s="11"/>
    </row>
    <row r="19" spans="1:17">
      <c r="A19" s="10" t="s">
        <v>165</v>
      </c>
      <c r="B19" s="10" t="s">
        <v>51</v>
      </c>
      <c r="C19" s="10" t="s">
        <v>49</v>
      </c>
      <c r="D19" s="10" t="s">
        <v>75</v>
      </c>
      <c r="E19" s="11">
        <v>0</v>
      </c>
      <c r="F19" s="11">
        <v>0</v>
      </c>
      <c r="G19" s="11">
        <v>0</v>
      </c>
      <c r="H19" s="11">
        <v>0</v>
      </c>
      <c r="I19" s="11">
        <v>0</v>
      </c>
      <c r="J19" s="11"/>
    </row>
    <row r="20" spans="1:17">
      <c r="A20" s="10" t="s">
        <v>165</v>
      </c>
      <c r="B20" s="10" t="s">
        <v>51</v>
      </c>
      <c r="C20" s="10" t="s">
        <v>49</v>
      </c>
      <c r="D20" s="10" t="s">
        <v>76</v>
      </c>
      <c r="E20" s="11">
        <v>0</v>
      </c>
      <c r="F20" s="11">
        <v>0</v>
      </c>
      <c r="G20" s="11">
        <v>94410</v>
      </c>
      <c r="H20" s="11">
        <v>0</v>
      </c>
      <c r="I20" s="11">
        <v>0</v>
      </c>
      <c r="J20" s="11"/>
    </row>
    <row r="21" spans="1:17">
      <c r="A21" s="10" t="s">
        <v>165</v>
      </c>
      <c r="B21" s="10" t="s">
        <v>51</v>
      </c>
      <c r="C21" s="10" t="s">
        <v>49</v>
      </c>
      <c r="D21" s="10" t="s">
        <v>77</v>
      </c>
      <c r="E21" s="11">
        <v>0</v>
      </c>
      <c r="F21" s="11">
        <v>0</v>
      </c>
      <c r="G21" s="11">
        <v>174045</v>
      </c>
      <c r="H21" s="11">
        <v>0</v>
      </c>
      <c r="I21" s="11">
        <v>0</v>
      </c>
      <c r="J21" s="11"/>
    </row>
    <row r="22" spans="1:17">
      <c r="A22" s="10" t="s">
        <v>165</v>
      </c>
      <c r="B22" s="10" t="s">
        <v>51</v>
      </c>
      <c r="C22" s="10" t="s">
        <v>49</v>
      </c>
      <c r="D22" s="10" t="s">
        <v>78</v>
      </c>
      <c r="E22" s="11">
        <v>0</v>
      </c>
      <c r="F22" s="11">
        <v>0</v>
      </c>
      <c r="G22" s="11">
        <v>94416</v>
      </c>
      <c r="H22" s="11">
        <v>0</v>
      </c>
      <c r="I22" s="11">
        <v>0</v>
      </c>
      <c r="J22" s="11"/>
    </row>
    <row r="23" spans="1:17">
      <c r="A23" s="10" t="s">
        <v>165</v>
      </c>
      <c r="B23" s="10" t="s">
        <v>51</v>
      </c>
      <c r="C23" s="10" t="s">
        <v>49</v>
      </c>
      <c r="D23" s="10" t="s">
        <v>79</v>
      </c>
      <c r="E23" s="11"/>
      <c r="F23" s="11"/>
      <c r="G23" s="11"/>
      <c r="H23" s="11"/>
      <c r="I23" s="11"/>
      <c r="J23" s="11">
        <v>0</v>
      </c>
    </row>
    <row r="24" spans="1:17">
      <c r="A24" s="10" t="s">
        <v>165</v>
      </c>
      <c r="B24" s="10" t="s">
        <v>51</v>
      </c>
      <c r="C24" s="10" t="s">
        <v>49</v>
      </c>
      <c r="D24" s="10" t="s">
        <v>80</v>
      </c>
      <c r="E24" s="11"/>
      <c r="F24" s="11"/>
      <c r="G24" s="11"/>
      <c r="H24" s="11"/>
      <c r="I24" s="11"/>
      <c r="J24" s="11">
        <v>0</v>
      </c>
    </row>
    <row r="25" spans="1:17">
      <c r="A25" s="10" t="s">
        <v>165</v>
      </c>
      <c r="B25" s="10" t="s">
        <v>51</v>
      </c>
      <c r="C25" s="10" t="s">
        <v>49</v>
      </c>
      <c r="D25" s="10" t="s">
        <v>81</v>
      </c>
      <c r="E25" s="11"/>
      <c r="F25" s="11"/>
      <c r="G25" s="11"/>
      <c r="H25" s="11"/>
      <c r="I25" s="11"/>
      <c r="J25" s="11">
        <v>551</v>
      </c>
    </row>
    <row r="26" spans="1:17">
      <c r="A26" s="10" t="s">
        <v>165</v>
      </c>
      <c r="B26" s="10" t="s">
        <v>51</v>
      </c>
      <c r="C26" s="10" t="s">
        <v>49</v>
      </c>
      <c r="D26" s="10" t="s">
        <v>82</v>
      </c>
      <c r="E26" s="11"/>
      <c r="F26" s="11"/>
      <c r="G26" s="11"/>
      <c r="H26" s="11"/>
      <c r="I26" s="11"/>
      <c r="J26" s="11">
        <v>4670</v>
      </c>
    </row>
    <row r="27" spans="1:17">
      <c r="A27" s="10" t="s">
        <v>165</v>
      </c>
      <c r="B27" s="10" t="s">
        <v>51</v>
      </c>
      <c r="C27" s="10" t="s">
        <v>49</v>
      </c>
      <c r="D27" s="10" t="s">
        <v>83</v>
      </c>
      <c r="E27" s="11"/>
      <c r="F27" s="11"/>
      <c r="G27" s="11"/>
      <c r="H27" s="11"/>
      <c r="I27" s="11"/>
      <c r="J27" s="11">
        <v>0</v>
      </c>
    </row>
    <row r="28" spans="1:17">
      <c r="A28" s="10" t="s">
        <v>165</v>
      </c>
      <c r="B28" s="10" t="s">
        <v>51</v>
      </c>
      <c r="C28" s="10" t="s">
        <v>49</v>
      </c>
      <c r="D28" s="10" t="s">
        <v>84</v>
      </c>
      <c r="E28" s="11"/>
      <c r="F28" s="11"/>
      <c r="G28" s="11"/>
      <c r="H28" s="11"/>
      <c r="I28" s="11"/>
      <c r="J28" s="11">
        <v>0</v>
      </c>
    </row>
    <row r="29" spans="1:17">
      <c r="A29" s="10" t="s">
        <v>165</v>
      </c>
      <c r="B29" s="10" t="s">
        <v>51</v>
      </c>
      <c r="C29" s="10" t="s">
        <v>49</v>
      </c>
      <c r="D29" s="10" t="s">
        <v>85</v>
      </c>
      <c r="E29" s="11"/>
      <c r="F29" s="11"/>
      <c r="G29" s="11"/>
      <c r="H29" s="11"/>
      <c r="I29" s="11"/>
      <c r="J29" s="11">
        <v>0</v>
      </c>
    </row>
    <row r="30" spans="1:17">
      <c r="A30" s="10" t="s">
        <v>165</v>
      </c>
      <c r="B30" s="10" t="s">
        <v>51</v>
      </c>
      <c r="C30" s="10" t="s">
        <v>49</v>
      </c>
      <c r="D30" s="10" t="s">
        <v>86</v>
      </c>
      <c r="E30" s="11"/>
      <c r="F30" s="11"/>
      <c r="G30" s="11"/>
      <c r="H30" s="11"/>
      <c r="I30" s="11"/>
      <c r="J30" s="11">
        <v>0</v>
      </c>
    </row>
    <row r="31" spans="1:17">
      <c r="A31" s="10" t="s">
        <v>165</v>
      </c>
      <c r="B31" s="10" t="s">
        <v>51</v>
      </c>
      <c r="C31" s="10" t="s">
        <v>49</v>
      </c>
      <c r="D31" s="10" t="s">
        <v>87</v>
      </c>
      <c r="E31" s="11"/>
      <c r="F31" s="11"/>
      <c r="G31" s="11"/>
      <c r="H31" s="11"/>
      <c r="I31" s="11"/>
      <c r="J31" s="11">
        <v>0</v>
      </c>
    </row>
    <row r="32" spans="1:17" s="10" customFormat="1">
      <c r="A32" t="s">
        <v>155</v>
      </c>
      <c r="B32" s="10" t="s">
        <v>51</v>
      </c>
      <c r="C32" s="10" t="s">
        <v>49</v>
      </c>
      <c r="D32" s="10" t="s">
        <v>343</v>
      </c>
      <c r="E32" s="11"/>
      <c r="F32" s="11"/>
      <c r="G32" s="11"/>
      <c r="H32" s="11"/>
      <c r="I32" s="11"/>
      <c r="J32" s="11"/>
      <c r="K32" s="10">
        <v>201</v>
      </c>
      <c r="M32" s="95"/>
      <c r="N32" s="27"/>
      <c r="O32" s="27"/>
      <c r="P32" s="27"/>
      <c r="Q32" s="27"/>
    </row>
    <row r="33" spans="1:17" s="10" customFormat="1">
      <c r="A33" t="s">
        <v>155</v>
      </c>
      <c r="B33" s="10" t="s">
        <v>51</v>
      </c>
      <c r="C33" s="10" t="s">
        <v>49</v>
      </c>
      <c r="D33" s="10" t="s">
        <v>336</v>
      </c>
      <c r="E33" s="11"/>
      <c r="F33" s="11"/>
      <c r="G33" s="11"/>
      <c r="H33" s="11"/>
      <c r="I33" s="11"/>
      <c r="J33" s="11"/>
      <c r="K33" s="10">
        <v>396</v>
      </c>
      <c r="M33" s="95"/>
      <c r="N33" s="27"/>
      <c r="O33" s="27"/>
      <c r="P33" s="27"/>
      <c r="Q33" s="27"/>
    </row>
    <row r="34" spans="1:17" s="10" customFormat="1">
      <c r="A34" t="s">
        <v>155</v>
      </c>
      <c r="B34" s="10" t="s">
        <v>51</v>
      </c>
      <c r="C34" s="10" t="s">
        <v>49</v>
      </c>
      <c r="D34" s="10" t="s">
        <v>337</v>
      </c>
      <c r="E34" s="11"/>
      <c r="F34" s="11"/>
      <c r="G34" s="11"/>
      <c r="H34" s="11"/>
      <c r="I34" s="11"/>
      <c r="J34" s="11"/>
      <c r="K34" s="10">
        <v>240</v>
      </c>
      <c r="M34" s="95"/>
      <c r="N34" s="27"/>
      <c r="O34" s="27"/>
      <c r="P34" s="27"/>
      <c r="Q34" s="27"/>
    </row>
    <row r="35" spans="1:17" s="10" customFormat="1">
      <c r="A35" t="s">
        <v>155</v>
      </c>
      <c r="B35" s="10" t="s">
        <v>51</v>
      </c>
      <c r="C35" s="10" t="s">
        <v>49</v>
      </c>
      <c r="D35" s="10" t="s">
        <v>145</v>
      </c>
      <c r="E35" s="11"/>
      <c r="F35" s="11"/>
      <c r="H35" s="11"/>
      <c r="I35" s="11"/>
      <c r="J35" s="11"/>
      <c r="L35" s="11">
        <v>368</v>
      </c>
      <c r="M35" s="95"/>
      <c r="N35" s="27"/>
      <c r="O35" s="27"/>
      <c r="P35" s="27"/>
      <c r="Q35" s="27"/>
    </row>
    <row r="36" spans="1:17" s="10" customFormat="1">
      <c r="A36" s="10" t="s">
        <v>155</v>
      </c>
      <c r="B36" s="10" t="s">
        <v>51</v>
      </c>
      <c r="C36" s="10" t="s">
        <v>49</v>
      </c>
      <c r="D36" s="10" t="s">
        <v>166</v>
      </c>
      <c r="E36" s="11">
        <v>0</v>
      </c>
      <c r="F36" s="11">
        <v>0</v>
      </c>
      <c r="G36" s="11">
        <v>512410</v>
      </c>
      <c r="H36" s="11">
        <v>0</v>
      </c>
      <c r="I36" s="11">
        <v>0</v>
      </c>
      <c r="J36" s="11"/>
      <c r="K36" s="11"/>
      <c r="L36" s="11"/>
      <c r="M36" s="95"/>
      <c r="N36" s="27"/>
      <c r="O36" s="27"/>
      <c r="P36" s="27"/>
      <c r="Q36" s="27"/>
    </row>
    <row r="37" spans="1:17" s="10" customFormat="1">
      <c r="A37" s="10" t="s">
        <v>155</v>
      </c>
      <c r="B37" s="10" t="s">
        <v>51</v>
      </c>
      <c r="C37" s="10" t="s">
        <v>49</v>
      </c>
      <c r="D37" s="10" t="s">
        <v>167</v>
      </c>
      <c r="E37" s="11">
        <v>0</v>
      </c>
      <c r="F37" s="11">
        <v>0</v>
      </c>
      <c r="G37" s="11">
        <v>453949</v>
      </c>
      <c r="H37" s="11">
        <v>0</v>
      </c>
      <c r="I37" s="11">
        <v>0</v>
      </c>
      <c r="J37" s="11"/>
      <c r="K37" s="11"/>
      <c r="L37" s="11"/>
      <c r="M37" s="95"/>
      <c r="N37" s="27"/>
      <c r="O37" s="27"/>
      <c r="P37" s="27"/>
      <c r="Q37" s="27"/>
    </row>
    <row r="38" spans="1:17" s="10" customFormat="1">
      <c r="A38" s="10" t="s">
        <v>155</v>
      </c>
      <c r="B38" s="10" t="s">
        <v>51</v>
      </c>
      <c r="C38" s="10" t="s">
        <v>49</v>
      </c>
      <c r="D38" s="10" t="s">
        <v>168</v>
      </c>
      <c r="E38" s="11">
        <v>0</v>
      </c>
      <c r="F38" s="11">
        <v>0</v>
      </c>
      <c r="G38" s="11">
        <v>486922</v>
      </c>
      <c r="H38" s="11">
        <v>0</v>
      </c>
      <c r="I38" s="11">
        <v>0</v>
      </c>
      <c r="J38" s="11"/>
      <c r="K38" s="11"/>
      <c r="L38" s="11"/>
      <c r="M38" s="95"/>
      <c r="N38" s="27"/>
      <c r="O38" s="27"/>
      <c r="P38" s="27"/>
      <c r="Q38" s="27"/>
    </row>
    <row r="39" spans="1:17" s="10" customFormat="1">
      <c r="A39" s="10" t="s">
        <v>155</v>
      </c>
      <c r="B39" s="10" t="s">
        <v>51</v>
      </c>
      <c r="C39" s="10" t="s">
        <v>49</v>
      </c>
      <c r="D39" s="10" t="s">
        <v>169</v>
      </c>
      <c r="E39" s="11">
        <v>0</v>
      </c>
      <c r="F39" s="11">
        <v>0</v>
      </c>
      <c r="G39" s="11">
        <v>1049317074</v>
      </c>
      <c r="H39" s="11">
        <v>0</v>
      </c>
      <c r="I39" s="11">
        <v>0</v>
      </c>
      <c r="J39" s="11"/>
      <c r="K39" s="11"/>
      <c r="L39" s="11"/>
      <c r="M39" s="95"/>
      <c r="N39" s="27"/>
      <c r="O39" s="27"/>
      <c r="P39" s="27"/>
      <c r="Q39" s="27"/>
    </row>
    <row r="40" spans="1:17" s="10" customFormat="1">
      <c r="A40" s="10" t="s">
        <v>155</v>
      </c>
      <c r="B40" s="10" t="s">
        <v>51</v>
      </c>
      <c r="C40" s="10" t="s">
        <v>49</v>
      </c>
      <c r="D40" s="10" t="s">
        <v>170</v>
      </c>
      <c r="E40" s="11"/>
      <c r="F40" s="11"/>
      <c r="G40" s="11"/>
      <c r="H40" s="11"/>
      <c r="I40" s="11"/>
      <c r="J40" s="11"/>
      <c r="K40" s="11"/>
      <c r="L40" s="11">
        <v>2155</v>
      </c>
      <c r="M40" s="95"/>
      <c r="N40" s="27"/>
      <c r="O40" s="27"/>
      <c r="P40" s="27"/>
      <c r="Q40" s="27"/>
    </row>
    <row r="41" spans="1:17" s="10" customFormat="1">
      <c r="A41" s="10" t="s">
        <v>155</v>
      </c>
      <c r="B41" s="10" t="s">
        <v>51</v>
      </c>
      <c r="C41" s="10" t="s">
        <v>49</v>
      </c>
      <c r="D41" s="10" t="s">
        <v>171</v>
      </c>
      <c r="E41" s="11">
        <v>1</v>
      </c>
      <c r="F41" s="11">
        <v>0</v>
      </c>
      <c r="G41" s="11">
        <v>9765848</v>
      </c>
      <c r="H41" s="11">
        <v>0</v>
      </c>
      <c r="I41" s="11">
        <v>0</v>
      </c>
      <c r="J41" s="11"/>
      <c r="K41" s="11"/>
      <c r="L41" s="11"/>
      <c r="M41" s="95"/>
      <c r="N41" s="27"/>
      <c r="O41" s="27"/>
      <c r="P41" s="27"/>
      <c r="Q41" s="27"/>
    </row>
    <row r="42" spans="1:17" s="10" customFormat="1">
      <c r="A42" s="10" t="s">
        <v>155</v>
      </c>
      <c r="B42" s="10" t="s">
        <v>51</v>
      </c>
      <c r="C42" s="10" t="s">
        <v>49</v>
      </c>
      <c r="D42" s="10" t="s">
        <v>172</v>
      </c>
      <c r="E42" s="11">
        <v>0</v>
      </c>
      <c r="F42" s="11">
        <v>0</v>
      </c>
      <c r="G42" s="11">
        <v>9121895</v>
      </c>
      <c r="H42" s="11">
        <v>0</v>
      </c>
      <c r="I42" s="11">
        <v>0</v>
      </c>
      <c r="J42" s="11"/>
      <c r="K42" s="11"/>
      <c r="L42" s="11"/>
      <c r="M42" s="95"/>
      <c r="N42" s="27"/>
      <c r="O42" s="27"/>
      <c r="P42" s="27"/>
      <c r="Q42" s="27"/>
    </row>
    <row r="43" spans="1:17" s="10" customFormat="1">
      <c r="A43" s="10" t="s">
        <v>155</v>
      </c>
      <c r="B43" s="10" t="s">
        <v>51</v>
      </c>
      <c r="C43" s="10" t="s">
        <v>49</v>
      </c>
      <c r="D43" s="10" t="s">
        <v>173</v>
      </c>
      <c r="E43" s="11">
        <v>0</v>
      </c>
      <c r="F43" s="11">
        <v>0</v>
      </c>
      <c r="G43" s="11">
        <v>9456449</v>
      </c>
      <c r="H43" s="11">
        <v>0</v>
      </c>
      <c r="I43" s="11">
        <v>0</v>
      </c>
      <c r="J43" s="11"/>
      <c r="K43" s="11"/>
      <c r="L43" s="11"/>
      <c r="M43" s="95"/>
      <c r="N43" s="27"/>
      <c r="O43" s="27"/>
      <c r="P43" s="27"/>
      <c r="Q43" s="27"/>
    </row>
    <row r="44" spans="1:17" s="10" customFormat="1">
      <c r="A44" s="10" t="s">
        <v>155</v>
      </c>
      <c r="B44" s="10" t="s">
        <v>51</v>
      </c>
      <c r="C44" s="10" t="s">
        <v>49</v>
      </c>
      <c r="D44" s="10" t="s">
        <v>174</v>
      </c>
      <c r="E44" s="11">
        <v>28</v>
      </c>
      <c r="F44" s="11">
        <v>0</v>
      </c>
      <c r="G44" s="11">
        <v>20378648728</v>
      </c>
      <c r="H44" s="11">
        <v>0</v>
      </c>
      <c r="I44" s="11">
        <v>0</v>
      </c>
      <c r="J44" s="11"/>
      <c r="K44" s="11"/>
      <c r="L44" s="11"/>
      <c r="M44" s="95"/>
      <c r="N44" s="27"/>
      <c r="O44" s="27"/>
      <c r="P44" s="27"/>
      <c r="Q44" s="27"/>
    </row>
    <row r="45" spans="1:17" s="10" customFormat="1">
      <c r="A45" s="10" t="s">
        <v>155</v>
      </c>
      <c r="B45" s="10" t="s">
        <v>51</v>
      </c>
      <c r="C45" s="10" t="s">
        <v>49</v>
      </c>
      <c r="D45" s="10" t="s">
        <v>175</v>
      </c>
      <c r="E45" s="11"/>
      <c r="F45" s="11"/>
      <c r="G45" s="11"/>
      <c r="H45" s="11"/>
      <c r="I45" s="11"/>
      <c r="J45" s="11"/>
      <c r="K45" s="11"/>
      <c r="L45" s="11">
        <v>2155</v>
      </c>
      <c r="M45" s="95"/>
      <c r="N45" s="27"/>
      <c r="O45" s="27"/>
      <c r="P45" s="27"/>
      <c r="Q45" s="27"/>
    </row>
    <row r="46" spans="1:17" s="10" customFormat="1">
      <c r="A46" s="10" t="s">
        <v>155</v>
      </c>
      <c r="B46" s="10" t="s">
        <v>51</v>
      </c>
      <c r="C46" s="10" t="s">
        <v>49</v>
      </c>
      <c r="D46" s="10" t="s">
        <v>176</v>
      </c>
      <c r="E46" s="11">
        <v>0</v>
      </c>
      <c r="F46" s="11">
        <v>1</v>
      </c>
      <c r="G46" s="11">
        <v>36018563</v>
      </c>
      <c r="H46" s="11">
        <v>0</v>
      </c>
      <c r="I46" s="11">
        <v>0</v>
      </c>
      <c r="J46" s="11"/>
      <c r="K46" s="11"/>
      <c r="L46" s="11"/>
      <c r="M46" s="95"/>
      <c r="N46" s="27"/>
      <c r="O46" s="27"/>
      <c r="P46" s="27"/>
      <c r="Q46" s="27"/>
    </row>
    <row r="47" spans="1:17" s="10" customFormat="1">
      <c r="A47" s="10" t="s">
        <v>155</v>
      </c>
      <c r="B47" s="10" t="s">
        <v>51</v>
      </c>
      <c r="C47" s="10" t="s">
        <v>49</v>
      </c>
      <c r="D47" s="10" t="s">
        <v>177</v>
      </c>
      <c r="E47" s="11">
        <v>0</v>
      </c>
      <c r="F47" s="11">
        <v>0</v>
      </c>
      <c r="G47" s="11">
        <v>33047357</v>
      </c>
      <c r="H47" s="11">
        <v>0</v>
      </c>
      <c r="I47" s="11">
        <v>0</v>
      </c>
      <c r="J47" s="11"/>
      <c r="K47" s="11"/>
      <c r="L47" s="11"/>
      <c r="M47" s="95"/>
      <c r="N47" s="27"/>
      <c r="O47" s="27"/>
      <c r="P47" s="27"/>
      <c r="Q47" s="27"/>
    </row>
    <row r="48" spans="1:17" s="10" customFormat="1">
      <c r="A48" s="10" t="s">
        <v>155</v>
      </c>
      <c r="B48" s="10" t="s">
        <v>51</v>
      </c>
      <c r="C48" s="10" t="s">
        <v>49</v>
      </c>
      <c r="D48" s="10" t="s">
        <v>178</v>
      </c>
      <c r="E48" s="11">
        <v>0</v>
      </c>
      <c r="F48" s="11">
        <v>0</v>
      </c>
      <c r="G48" s="11">
        <v>34592870</v>
      </c>
      <c r="H48" s="11">
        <v>0</v>
      </c>
      <c r="I48" s="11">
        <v>0</v>
      </c>
      <c r="J48" s="11"/>
      <c r="K48" s="11"/>
      <c r="L48" s="11"/>
      <c r="M48" s="95"/>
      <c r="N48" s="27"/>
      <c r="O48" s="27"/>
      <c r="P48" s="27"/>
      <c r="Q48" s="27"/>
    </row>
    <row r="49" spans="1:17" s="10" customFormat="1">
      <c r="A49" s="10" t="s">
        <v>155</v>
      </c>
      <c r="B49" s="10" t="s">
        <v>51</v>
      </c>
      <c r="C49" s="10" t="s">
        <v>49</v>
      </c>
      <c r="D49" s="10" t="s">
        <v>179</v>
      </c>
      <c r="E49" s="11">
        <v>0</v>
      </c>
      <c r="F49" s="11">
        <v>10</v>
      </c>
      <c r="G49" s="11">
        <v>74547636444</v>
      </c>
      <c r="H49" s="11">
        <v>0</v>
      </c>
      <c r="I49" s="11">
        <v>0</v>
      </c>
      <c r="J49" s="11"/>
      <c r="K49" s="11"/>
      <c r="L49" s="11"/>
      <c r="M49" s="95"/>
      <c r="N49" s="27"/>
      <c r="O49" s="27"/>
      <c r="P49" s="27"/>
      <c r="Q49" s="27"/>
    </row>
    <row r="50" spans="1:17" s="10" customFormat="1">
      <c r="A50" s="10" t="s">
        <v>155</v>
      </c>
      <c r="B50" s="10" t="s">
        <v>51</v>
      </c>
      <c r="C50" s="10" t="s">
        <v>49</v>
      </c>
      <c r="D50" s="10" t="s">
        <v>180</v>
      </c>
      <c r="E50" s="11"/>
      <c r="F50" s="11"/>
      <c r="G50" s="11"/>
      <c r="H50" s="11"/>
      <c r="I50" s="11"/>
      <c r="J50" s="11"/>
      <c r="K50" s="11"/>
      <c r="L50" s="11">
        <v>2155</v>
      </c>
      <c r="M50" s="95"/>
      <c r="N50" s="27"/>
      <c r="O50" s="27"/>
      <c r="P50" s="27"/>
      <c r="Q50" s="27"/>
    </row>
    <row r="51" spans="1:17" s="10" customFormat="1">
      <c r="A51" s="10" t="s">
        <v>155</v>
      </c>
      <c r="B51" s="10" t="s">
        <v>51</v>
      </c>
      <c r="C51" s="10" t="s">
        <v>49</v>
      </c>
      <c r="D51" s="10" t="s">
        <v>181</v>
      </c>
      <c r="E51" s="11">
        <v>0</v>
      </c>
      <c r="F51" s="11">
        <v>0</v>
      </c>
      <c r="G51" s="11">
        <v>581445</v>
      </c>
      <c r="H51" s="11">
        <v>0</v>
      </c>
      <c r="I51" s="11">
        <v>0</v>
      </c>
      <c r="J51" s="11"/>
      <c r="K51" s="11"/>
      <c r="L51" s="11"/>
      <c r="M51" s="95"/>
      <c r="N51" s="27"/>
      <c r="O51" s="27"/>
      <c r="P51" s="27"/>
      <c r="Q51" s="27"/>
    </row>
    <row r="52" spans="1:17" s="10" customFormat="1">
      <c r="A52" s="10" t="s">
        <v>155</v>
      </c>
      <c r="B52" s="10" t="s">
        <v>51</v>
      </c>
      <c r="C52" s="10" t="s">
        <v>49</v>
      </c>
      <c r="D52" s="10" t="s">
        <v>182</v>
      </c>
      <c r="E52" s="11">
        <v>0</v>
      </c>
      <c r="F52" s="11">
        <v>0</v>
      </c>
      <c r="G52" s="11">
        <v>535049</v>
      </c>
      <c r="H52" s="11">
        <v>0</v>
      </c>
      <c r="I52" s="11">
        <v>0</v>
      </c>
      <c r="J52" s="11"/>
      <c r="K52" s="11"/>
      <c r="L52" s="11"/>
      <c r="M52" s="95"/>
      <c r="N52" s="27"/>
      <c r="O52" s="27"/>
      <c r="P52" s="27"/>
      <c r="Q52" s="27"/>
    </row>
    <row r="53" spans="1:17" s="10" customFormat="1">
      <c r="A53" s="10" t="s">
        <v>155</v>
      </c>
      <c r="B53" s="10" t="s">
        <v>51</v>
      </c>
      <c r="C53" s="10" t="s">
        <v>49</v>
      </c>
      <c r="D53" s="10" t="s">
        <v>183</v>
      </c>
      <c r="E53" s="11">
        <v>0</v>
      </c>
      <c r="F53" s="11">
        <v>0</v>
      </c>
      <c r="G53" s="11">
        <v>559378</v>
      </c>
      <c r="H53" s="11">
        <v>0</v>
      </c>
      <c r="I53" s="11">
        <v>0</v>
      </c>
      <c r="J53" s="11"/>
      <c r="K53" s="11"/>
      <c r="L53" s="11"/>
      <c r="M53" s="95"/>
      <c r="N53" s="27"/>
      <c r="O53" s="27"/>
      <c r="P53" s="27"/>
      <c r="Q53" s="27"/>
    </row>
    <row r="54" spans="1:17" s="10" customFormat="1">
      <c r="A54" s="10" t="s">
        <v>155</v>
      </c>
      <c r="B54" s="10" t="s">
        <v>51</v>
      </c>
      <c r="C54" s="10" t="s">
        <v>49</v>
      </c>
      <c r="D54" s="10" t="s">
        <v>184</v>
      </c>
      <c r="E54" s="11">
        <v>0</v>
      </c>
      <c r="F54" s="11">
        <v>0</v>
      </c>
      <c r="G54" s="11">
        <v>1205459904</v>
      </c>
      <c r="H54" s="11">
        <v>0</v>
      </c>
      <c r="I54" s="11">
        <v>0</v>
      </c>
      <c r="J54" s="11"/>
      <c r="K54" s="11"/>
      <c r="L54" s="11"/>
      <c r="M54" s="95"/>
      <c r="N54" s="27"/>
      <c r="O54" s="27"/>
      <c r="P54" s="27"/>
      <c r="Q54" s="27"/>
    </row>
    <row r="55" spans="1:17" s="10" customFormat="1">
      <c r="A55" s="10" t="s">
        <v>155</v>
      </c>
      <c r="B55" s="10" t="s">
        <v>51</v>
      </c>
      <c r="C55" s="10" t="s">
        <v>49</v>
      </c>
      <c r="D55" s="10" t="s">
        <v>185</v>
      </c>
      <c r="E55" s="11"/>
      <c r="F55" s="11"/>
      <c r="G55" s="11"/>
      <c r="H55" s="11"/>
      <c r="I55" s="11"/>
      <c r="J55" s="11"/>
      <c r="K55" s="11"/>
      <c r="L55" s="11">
        <v>2155</v>
      </c>
      <c r="M55" s="95"/>
      <c r="N55" s="27"/>
      <c r="O55" s="27"/>
      <c r="P55" s="27"/>
      <c r="Q55" s="27"/>
    </row>
    <row r="56" spans="1:17" s="10" customFormat="1">
      <c r="A56" s="10" t="s">
        <v>155</v>
      </c>
      <c r="B56" s="10" t="s">
        <v>51</v>
      </c>
      <c r="C56" s="10" t="s">
        <v>49</v>
      </c>
      <c r="D56" s="10" t="s">
        <v>186</v>
      </c>
      <c r="E56" s="11">
        <v>32</v>
      </c>
      <c r="F56" s="11">
        <v>169</v>
      </c>
      <c r="G56" s="11">
        <v>46678042</v>
      </c>
      <c r="H56" s="11">
        <v>0</v>
      </c>
      <c r="I56" s="11">
        <v>0</v>
      </c>
      <c r="J56" s="11"/>
      <c r="K56" s="11"/>
      <c r="L56" s="11"/>
      <c r="M56" s="95"/>
      <c r="N56" s="27"/>
      <c r="O56" s="27"/>
      <c r="P56" s="27"/>
      <c r="Q56" s="27"/>
    </row>
    <row r="57" spans="1:17" s="10" customFormat="1">
      <c r="A57" s="10" t="s">
        <v>155</v>
      </c>
      <c r="B57" s="10" t="s">
        <v>51</v>
      </c>
      <c r="C57" s="10" t="s">
        <v>49</v>
      </c>
      <c r="D57" s="10" t="s">
        <v>187</v>
      </c>
      <c r="E57" s="11">
        <v>0</v>
      </c>
      <c r="F57" s="11">
        <v>0</v>
      </c>
      <c r="G57" s="11">
        <v>42828661</v>
      </c>
      <c r="H57" s="11">
        <v>0</v>
      </c>
      <c r="I57" s="11">
        <v>0</v>
      </c>
      <c r="J57" s="11"/>
      <c r="K57" s="11"/>
      <c r="L57" s="11"/>
      <c r="M57" s="95"/>
      <c r="N57" s="27"/>
      <c r="O57" s="27"/>
      <c r="P57" s="27"/>
      <c r="Q57" s="27"/>
    </row>
    <row r="58" spans="1:17" s="10" customFormat="1">
      <c r="A58" s="10" t="s">
        <v>155</v>
      </c>
      <c r="B58" s="10" t="s">
        <v>51</v>
      </c>
      <c r="C58" s="10" t="s">
        <v>49</v>
      </c>
      <c r="D58" s="10" t="s">
        <v>188</v>
      </c>
      <c r="E58" s="11">
        <v>0</v>
      </c>
      <c r="F58" s="11">
        <v>0</v>
      </c>
      <c r="G58" s="11">
        <v>44826543</v>
      </c>
      <c r="H58" s="11">
        <v>0</v>
      </c>
      <c r="I58" s="11">
        <v>0</v>
      </c>
      <c r="J58" s="11"/>
      <c r="K58" s="11"/>
      <c r="L58" s="11"/>
      <c r="M58" s="95"/>
      <c r="N58" s="27"/>
      <c r="O58" s="27"/>
      <c r="P58" s="27"/>
      <c r="Q58" s="27"/>
    </row>
    <row r="59" spans="1:17"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c r="Q59" s="27"/>
    </row>
    <row r="60" spans="1:17" s="10" customFormat="1">
      <c r="A60" s="10" t="s">
        <v>155</v>
      </c>
      <c r="B60" s="10" t="s">
        <v>51</v>
      </c>
      <c r="C60" s="10" t="s">
        <v>49</v>
      </c>
      <c r="D60" s="10" t="s">
        <v>190</v>
      </c>
      <c r="E60" s="11"/>
      <c r="F60" s="11"/>
      <c r="G60" s="11"/>
      <c r="H60" s="11"/>
      <c r="I60" s="11"/>
      <c r="J60" s="11"/>
      <c r="K60" s="11"/>
      <c r="L60" s="11">
        <v>2155</v>
      </c>
      <c r="M60" s="95"/>
      <c r="N60" s="27"/>
      <c r="O60" s="27"/>
      <c r="P60" s="27"/>
      <c r="Q60" s="27"/>
    </row>
    <row r="61" spans="1:17" s="10" customFormat="1">
      <c r="A61" s="10" t="s">
        <v>155</v>
      </c>
      <c r="B61" s="10" t="s">
        <v>51</v>
      </c>
      <c r="C61" s="10" t="s">
        <v>49</v>
      </c>
      <c r="D61" s="10" t="s">
        <v>191</v>
      </c>
      <c r="E61" s="11">
        <v>0</v>
      </c>
      <c r="F61" s="11">
        <v>0</v>
      </c>
      <c r="G61" s="11">
        <v>3486421</v>
      </c>
      <c r="H61" s="11">
        <v>0</v>
      </c>
      <c r="I61" s="11">
        <v>0</v>
      </c>
      <c r="J61" s="11"/>
      <c r="K61" s="11"/>
      <c r="L61" s="11"/>
      <c r="M61" s="95"/>
      <c r="N61" s="27"/>
      <c r="O61" s="27"/>
      <c r="P61" s="27"/>
      <c r="Q61" s="27"/>
    </row>
    <row r="62" spans="1:17" s="10" customFormat="1">
      <c r="A62" s="10" t="s">
        <v>155</v>
      </c>
      <c r="B62" s="10" t="s">
        <v>51</v>
      </c>
      <c r="C62" s="10" t="s">
        <v>49</v>
      </c>
      <c r="D62" s="10" t="s">
        <v>192</v>
      </c>
      <c r="E62" s="11">
        <v>0</v>
      </c>
      <c r="F62" s="11">
        <v>0</v>
      </c>
      <c r="G62" s="11">
        <v>3212148</v>
      </c>
      <c r="H62" s="11">
        <v>0</v>
      </c>
      <c r="I62" s="11">
        <v>0</v>
      </c>
      <c r="J62" s="11"/>
      <c r="K62" s="11"/>
      <c r="L62" s="11"/>
      <c r="M62" s="95"/>
      <c r="N62" s="27"/>
      <c r="O62" s="27"/>
      <c r="P62" s="27"/>
      <c r="Q62" s="27"/>
    </row>
    <row r="63" spans="1:17" s="10" customFormat="1">
      <c r="A63" s="10" t="s">
        <v>155</v>
      </c>
      <c r="B63" s="10" t="s">
        <v>51</v>
      </c>
      <c r="C63" s="10" t="s">
        <v>49</v>
      </c>
      <c r="D63" s="10" t="s">
        <v>193</v>
      </c>
      <c r="E63" s="11">
        <v>0</v>
      </c>
      <c r="F63" s="11">
        <v>0</v>
      </c>
      <c r="G63" s="11">
        <v>3352628</v>
      </c>
      <c r="H63" s="11">
        <v>0</v>
      </c>
      <c r="I63" s="11">
        <v>0</v>
      </c>
      <c r="J63" s="11"/>
      <c r="K63" s="11"/>
      <c r="L63" s="11"/>
      <c r="M63" s="95"/>
      <c r="N63" s="27"/>
      <c r="O63" s="27"/>
      <c r="P63" s="27"/>
      <c r="Q63" s="27"/>
    </row>
    <row r="64" spans="1:17" s="10" customFormat="1">
      <c r="A64" s="10" t="s">
        <v>155</v>
      </c>
      <c r="B64" s="10" t="s">
        <v>51</v>
      </c>
      <c r="C64" s="10" t="s">
        <v>49</v>
      </c>
      <c r="D64" s="10" t="s">
        <v>194</v>
      </c>
      <c r="E64" s="11">
        <v>0</v>
      </c>
      <c r="F64" s="11">
        <v>0</v>
      </c>
      <c r="G64" s="11">
        <v>7224914051</v>
      </c>
      <c r="H64" s="11">
        <v>0</v>
      </c>
      <c r="I64" s="11">
        <v>0</v>
      </c>
      <c r="J64" s="11"/>
      <c r="K64" s="11"/>
      <c r="L64" s="11"/>
      <c r="M64" s="95"/>
      <c r="N64" s="27"/>
      <c r="O64" s="27"/>
      <c r="P64" s="27"/>
      <c r="Q64" s="27"/>
    </row>
    <row r="65" spans="1:17" s="10" customFormat="1">
      <c r="A65" s="10" t="s">
        <v>155</v>
      </c>
      <c r="B65" s="10" t="s">
        <v>51</v>
      </c>
      <c r="C65" s="10" t="s">
        <v>49</v>
      </c>
      <c r="D65" s="10" t="s">
        <v>195</v>
      </c>
      <c r="E65" s="11"/>
      <c r="F65" s="11"/>
      <c r="G65" s="11"/>
      <c r="H65" s="11"/>
      <c r="I65" s="11"/>
      <c r="J65" s="11"/>
      <c r="K65" s="11"/>
      <c r="L65" s="11">
        <v>2155</v>
      </c>
      <c r="M65" s="95"/>
      <c r="N65" s="27"/>
      <c r="O65" s="27"/>
      <c r="P65" s="27"/>
      <c r="Q65" s="27"/>
    </row>
    <row r="66" spans="1:17" s="10" customFormat="1">
      <c r="A66" s="10" t="s">
        <v>155</v>
      </c>
      <c r="B66" s="10" t="s">
        <v>51</v>
      </c>
      <c r="C66" s="10" t="s">
        <v>49</v>
      </c>
      <c r="D66" s="10" t="s">
        <v>196</v>
      </c>
      <c r="E66" s="11">
        <v>0</v>
      </c>
      <c r="F66" s="11">
        <v>0</v>
      </c>
      <c r="G66" s="11">
        <v>18</v>
      </c>
      <c r="H66" s="11">
        <v>0</v>
      </c>
      <c r="I66" s="11">
        <v>0</v>
      </c>
      <c r="J66" s="11"/>
      <c r="K66" s="11"/>
      <c r="L66" s="11"/>
      <c r="M66" s="95"/>
      <c r="N66" s="27"/>
      <c r="O66" s="27"/>
      <c r="P66" s="27"/>
      <c r="Q66" s="27"/>
    </row>
    <row r="67" spans="1:17" s="10" customFormat="1">
      <c r="A67" s="10" t="s">
        <v>155</v>
      </c>
      <c r="B67" s="10" t="s">
        <v>51</v>
      </c>
      <c r="C67" s="10" t="s">
        <v>49</v>
      </c>
      <c r="D67" s="10" t="s">
        <v>197</v>
      </c>
      <c r="E67" s="11">
        <v>0</v>
      </c>
      <c r="F67" s="11">
        <v>0</v>
      </c>
      <c r="G67" s="11">
        <v>6</v>
      </c>
      <c r="H67" s="11">
        <v>0</v>
      </c>
      <c r="I67" s="11">
        <v>0</v>
      </c>
      <c r="J67" s="11"/>
      <c r="K67" s="11"/>
      <c r="L67" s="11"/>
      <c r="M67" s="95"/>
      <c r="N67" s="27"/>
      <c r="O67" s="27"/>
      <c r="P67" s="27"/>
      <c r="Q67" s="27"/>
    </row>
    <row r="68" spans="1:17" s="10" customFormat="1">
      <c r="A68" s="10" t="s">
        <v>155</v>
      </c>
      <c r="B68" s="10" t="s">
        <v>51</v>
      </c>
      <c r="C68" s="10" t="s">
        <v>49</v>
      </c>
      <c r="D68" s="10" t="s">
        <v>198</v>
      </c>
      <c r="E68" s="11">
        <v>0</v>
      </c>
      <c r="F68" s="11">
        <v>0</v>
      </c>
      <c r="G68" s="11">
        <v>14</v>
      </c>
      <c r="H68" s="11">
        <v>0</v>
      </c>
      <c r="I68" s="11">
        <v>0</v>
      </c>
      <c r="J68" s="11"/>
      <c r="K68" s="11"/>
      <c r="L68" s="11"/>
      <c r="M68" s="95"/>
      <c r="N68" s="27"/>
      <c r="O68" s="27"/>
      <c r="P68" s="27"/>
      <c r="Q68" s="27"/>
    </row>
    <row r="69" spans="1:17" s="10" customFormat="1">
      <c r="A69" s="10" t="s">
        <v>155</v>
      </c>
      <c r="B69" s="10" t="s">
        <v>51</v>
      </c>
      <c r="C69" s="10" t="s">
        <v>49</v>
      </c>
      <c r="D69" s="10" t="s">
        <v>199</v>
      </c>
      <c r="E69" s="11">
        <v>0</v>
      </c>
      <c r="F69" s="11">
        <v>0</v>
      </c>
      <c r="G69" s="11">
        <v>30372</v>
      </c>
      <c r="H69" s="11">
        <v>0</v>
      </c>
      <c r="I69" s="11">
        <v>0</v>
      </c>
      <c r="J69" s="11"/>
      <c r="K69" s="11"/>
      <c r="L69" s="11"/>
      <c r="M69" s="95"/>
      <c r="N69" s="27"/>
      <c r="O69" s="27"/>
      <c r="P69" s="27"/>
      <c r="Q69" s="27"/>
    </row>
    <row r="70" spans="1:17" s="10" customFormat="1">
      <c r="A70" s="10" t="s">
        <v>155</v>
      </c>
      <c r="B70" s="10" t="s">
        <v>51</v>
      </c>
      <c r="C70" s="10" t="s">
        <v>49</v>
      </c>
      <c r="D70" s="10" t="s">
        <v>200</v>
      </c>
      <c r="E70" s="11"/>
      <c r="F70" s="11"/>
      <c r="G70" s="11"/>
      <c r="H70" s="11"/>
      <c r="I70" s="11"/>
      <c r="J70" s="11"/>
      <c r="K70" s="11"/>
      <c r="L70" s="11">
        <v>2155</v>
      </c>
      <c r="M70" s="95"/>
      <c r="N70" s="27"/>
      <c r="O70" s="27"/>
      <c r="P70" s="27"/>
      <c r="Q70" s="27"/>
    </row>
    <row r="71" spans="1:17" s="10" customFormat="1">
      <c r="A71" s="10" t="s">
        <v>155</v>
      </c>
      <c r="B71" s="10" t="s">
        <v>51</v>
      </c>
      <c r="C71" s="10" t="s">
        <v>49</v>
      </c>
      <c r="D71" s="10" t="s">
        <v>201</v>
      </c>
      <c r="E71" s="11">
        <v>1</v>
      </c>
      <c r="F71" s="11">
        <v>1</v>
      </c>
      <c r="G71" s="11">
        <v>7356</v>
      </c>
      <c r="H71" s="11">
        <v>0</v>
      </c>
      <c r="I71" s="11">
        <v>0</v>
      </c>
      <c r="J71" s="11"/>
      <c r="K71" s="11"/>
      <c r="L71" s="11"/>
      <c r="M71" s="95"/>
      <c r="N71" s="27"/>
      <c r="O71" s="27"/>
      <c r="P71" s="27"/>
      <c r="Q71" s="27"/>
    </row>
    <row r="72" spans="1:17" s="10" customFormat="1">
      <c r="A72" s="10" t="s">
        <v>155</v>
      </c>
      <c r="B72" s="10" t="s">
        <v>51</v>
      </c>
      <c r="C72" s="10" t="s">
        <v>49</v>
      </c>
      <c r="D72" s="10" t="s">
        <v>202</v>
      </c>
      <c r="E72" s="11">
        <v>0</v>
      </c>
      <c r="F72" s="11">
        <v>0</v>
      </c>
      <c r="G72" s="11">
        <v>6780</v>
      </c>
      <c r="H72" s="11">
        <v>0</v>
      </c>
      <c r="I72" s="11">
        <v>0</v>
      </c>
      <c r="J72" s="11"/>
      <c r="K72" s="11"/>
      <c r="L72" s="11"/>
      <c r="M72" s="95"/>
      <c r="N72" s="27"/>
      <c r="O72" s="27"/>
      <c r="P72" s="27"/>
      <c r="Q72" s="27"/>
    </row>
    <row r="73" spans="1:17" s="10" customFormat="1">
      <c r="A73" s="10" t="s">
        <v>155</v>
      </c>
      <c r="B73" s="10" t="s">
        <v>51</v>
      </c>
      <c r="C73" s="10" t="s">
        <v>49</v>
      </c>
      <c r="D73" s="10" t="s">
        <v>203</v>
      </c>
      <c r="E73" s="11">
        <v>0</v>
      </c>
      <c r="F73" s="11">
        <v>0</v>
      </c>
      <c r="G73" s="11">
        <v>7069</v>
      </c>
      <c r="H73" s="11">
        <v>0</v>
      </c>
      <c r="I73" s="11">
        <v>0</v>
      </c>
      <c r="J73" s="11"/>
      <c r="K73" s="11"/>
      <c r="L73" s="11"/>
      <c r="M73" s="95"/>
      <c r="N73" s="27"/>
      <c r="O73" s="27"/>
      <c r="P73" s="27"/>
      <c r="Q73" s="27"/>
    </row>
    <row r="74" spans="1:17" s="10" customFormat="1">
      <c r="A74" s="10" t="s">
        <v>155</v>
      </c>
      <c r="B74" s="10" t="s">
        <v>51</v>
      </c>
      <c r="C74" s="10" t="s">
        <v>49</v>
      </c>
      <c r="D74" s="10" t="s">
        <v>204</v>
      </c>
      <c r="E74" s="11">
        <v>19</v>
      </c>
      <c r="F74" s="11">
        <v>19</v>
      </c>
      <c r="G74" s="11">
        <v>15234400</v>
      </c>
      <c r="H74" s="11">
        <v>0</v>
      </c>
      <c r="I74" s="11">
        <v>0</v>
      </c>
      <c r="J74" s="11"/>
      <c r="K74" s="11"/>
      <c r="L74" s="11"/>
      <c r="M74" s="95"/>
      <c r="N74" s="27"/>
      <c r="O74" s="27"/>
      <c r="P74" s="27"/>
      <c r="Q74" s="27"/>
    </row>
    <row r="75" spans="1:17" s="10" customFormat="1">
      <c r="A75" s="10" t="s">
        <v>155</v>
      </c>
      <c r="B75" s="10" t="s">
        <v>51</v>
      </c>
      <c r="C75" s="10" t="s">
        <v>49</v>
      </c>
      <c r="D75" s="10" t="s">
        <v>205</v>
      </c>
      <c r="E75" s="11"/>
      <c r="F75" s="11"/>
      <c r="G75" s="11"/>
      <c r="H75" s="11"/>
      <c r="I75" s="11"/>
      <c r="J75" s="11"/>
      <c r="K75" s="11"/>
      <c r="L75" s="11">
        <v>2155</v>
      </c>
      <c r="M75" s="95"/>
      <c r="N75" s="27"/>
      <c r="O75" s="27"/>
      <c r="P75" s="27"/>
      <c r="Q75" s="27"/>
    </row>
    <row r="76" spans="1:17" s="10" customFormat="1">
      <c r="A76" s="10" t="s">
        <v>155</v>
      </c>
      <c r="B76" s="10" t="s">
        <v>51</v>
      </c>
      <c r="C76" s="10" t="s">
        <v>49</v>
      </c>
      <c r="D76" s="10" t="s">
        <v>206</v>
      </c>
      <c r="E76" s="11">
        <v>0</v>
      </c>
      <c r="F76" s="11">
        <v>0</v>
      </c>
      <c r="G76" s="11">
        <v>5</v>
      </c>
      <c r="H76" s="11">
        <v>0</v>
      </c>
      <c r="I76" s="11">
        <v>0</v>
      </c>
      <c r="J76" s="11"/>
      <c r="K76" s="11"/>
      <c r="L76" s="11"/>
      <c r="M76" s="95"/>
      <c r="N76" s="27"/>
      <c r="O76" s="27"/>
      <c r="P76" s="27"/>
      <c r="Q76" s="27"/>
    </row>
    <row r="77" spans="1:17" s="10" customFormat="1">
      <c r="A77" s="10" t="s">
        <v>155</v>
      </c>
      <c r="B77" s="10" t="s">
        <v>51</v>
      </c>
      <c r="C77" s="10" t="s">
        <v>49</v>
      </c>
      <c r="D77" s="10" t="s">
        <v>207</v>
      </c>
      <c r="E77" s="11">
        <v>0</v>
      </c>
      <c r="F77" s="11">
        <v>0</v>
      </c>
      <c r="G77" s="11">
        <v>5</v>
      </c>
      <c r="H77" s="11">
        <v>0</v>
      </c>
      <c r="I77" s="11">
        <v>0</v>
      </c>
      <c r="J77" s="11"/>
      <c r="K77" s="11"/>
      <c r="L77" s="11"/>
      <c r="M77" s="95"/>
      <c r="N77" s="27"/>
      <c r="O77" s="27"/>
      <c r="P77" s="27"/>
      <c r="Q77" s="27"/>
    </row>
    <row r="78" spans="1:17" s="10" customFormat="1">
      <c r="A78" s="10" t="s">
        <v>155</v>
      </c>
      <c r="B78" s="10" t="s">
        <v>51</v>
      </c>
      <c r="C78" s="10" t="s">
        <v>49</v>
      </c>
      <c r="D78" s="10" t="s">
        <v>208</v>
      </c>
      <c r="E78" s="11">
        <v>0</v>
      </c>
      <c r="F78" s="11">
        <v>0</v>
      </c>
      <c r="G78" s="11">
        <v>5</v>
      </c>
      <c r="H78" s="11">
        <v>0</v>
      </c>
      <c r="I78" s="11">
        <v>0</v>
      </c>
      <c r="J78" s="11"/>
      <c r="K78" s="11"/>
      <c r="L78" s="11"/>
      <c r="M78" s="95"/>
      <c r="N78" s="27"/>
      <c r="O78" s="27"/>
      <c r="P78" s="27"/>
      <c r="Q78" s="27"/>
    </row>
    <row r="79" spans="1:17" s="10" customFormat="1">
      <c r="A79" s="10" t="s">
        <v>155</v>
      </c>
      <c r="B79" s="10" t="s">
        <v>51</v>
      </c>
      <c r="C79" s="10" t="s">
        <v>49</v>
      </c>
      <c r="D79" s="10" t="s">
        <v>209</v>
      </c>
      <c r="E79" s="11">
        <v>0</v>
      </c>
      <c r="F79" s="11">
        <v>0</v>
      </c>
      <c r="G79" s="11">
        <v>10775</v>
      </c>
      <c r="H79" s="11">
        <v>0</v>
      </c>
      <c r="I79" s="11">
        <v>0</v>
      </c>
      <c r="J79" s="11"/>
      <c r="K79" s="11"/>
      <c r="L79" s="11"/>
      <c r="M79" s="95"/>
      <c r="N79" s="27"/>
      <c r="O79" s="27"/>
      <c r="P79" s="27"/>
      <c r="Q79" s="27"/>
    </row>
    <row r="80" spans="1:17" s="10" customFormat="1">
      <c r="A80" s="10" t="s">
        <v>155</v>
      </c>
      <c r="B80" s="10" t="s">
        <v>51</v>
      </c>
      <c r="C80" s="10" t="s">
        <v>49</v>
      </c>
      <c r="D80" s="10" t="s">
        <v>210</v>
      </c>
      <c r="E80" s="11"/>
      <c r="F80" s="11"/>
      <c r="G80" s="11"/>
      <c r="H80" s="11"/>
      <c r="I80" s="11"/>
      <c r="J80" s="11"/>
      <c r="K80" s="11"/>
      <c r="L80" s="11">
        <v>2155</v>
      </c>
      <c r="M80" s="95"/>
      <c r="N80" s="27"/>
      <c r="O80" s="27"/>
      <c r="P80" s="27"/>
      <c r="Q80" s="27"/>
    </row>
    <row r="81" spans="1:17" s="10" customFormat="1">
      <c r="A81" s="10" t="s">
        <v>155</v>
      </c>
      <c r="B81" s="10" t="s">
        <v>51</v>
      </c>
      <c r="C81" s="10" t="s">
        <v>49</v>
      </c>
      <c r="D81" s="10" t="s">
        <v>211</v>
      </c>
      <c r="E81" s="11">
        <v>0</v>
      </c>
      <c r="F81" s="11">
        <v>0</v>
      </c>
      <c r="G81" s="11">
        <v>7356</v>
      </c>
      <c r="H81" s="11">
        <v>0</v>
      </c>
      <c r="I81" s="11">
        <v>0</v>
      </c>
      <c r="J81" s="11"/>
      <c r="K81" s="11"/>
      <c r="L81" s="11"/>
      <c r="M81" s="95"/>
      <c r="N81" s="27"/>
      <c r="O81" s="27"/>
      <c r="P81" s="27"/>
      <c r="Q81" s="27"/>
    </row>
    <row r="82" spans="1:17" s="10" customFormat="1">
      <c r="A82" s="10" t="s">
        <v>155</v>
      </c>
      <c r="B82" s="10" t="s">
        <v>51</v>
      </c>
      <c r="C82" s="10" t="s">
        <v>49</v>
      </c>
      <c r="D82" s="10" t="s">
        <v>212</v>
      </c>
      <c r="E82" s="11">
        <v>0</v>
      </c>
      <c r="F82" s="11">
        <v>0</v>
      </c>
      <c r="G82" s="11">
        <v>6780</v>
      </c>
      <c r="H82" s="11">
        <v>0</v>
      </c>
      <c r="I82" s="11">
        <v>0</v>
      </c>
      <c r="J82" s="11"/>
      <c r="K82" s="11"/>
      <c r="L82" s="11"/>
      <c r="M82" s="95"/>
      <c r="N82" s="27"/>
      <c r="O82" s="27"/>
      <c r="P82" s="27"/>
      <c r="Q82" s="27"/>
    </row>
    <row r="83" spans="1:17" s="10" customFormat="1">
      <c r="A83" s="10" t="s">
        <v>155</v>
      </c>
      <c r="B83" s="10" t="s">
        <v>51</v>
      </c>
      <c r="C83" s="10" t="s">
        <v>49</v>
      </c>
      <c r="D83" s="10" t="s">
        <v>213</v>
      </c>
      <c r="E83" s="11">
        <v>0</v>
      </c>
      <c r="F83" s="11">
        <v>0</v>
      </c>
      <c r="G83" s="11">
        <v>7069</v>
      </c>
      <c r="H83" s="11">
        <v>0</v>
      </c>
      <c r="I83" s="11">
        <v>0</v>
      </c>
      <c r="J83" s="11"/>
      <c r="K83" s="11"/>
      <c r="L83" s="11"/>
      <c r="M83" s="95"/>
      <c r="N83" s="27"/>
      <c r="O83" s="27"/>
      <c r="P83" s="27"/>
      <c r="Q83" s="27"/>
    </row>
    <row r="84" spans="1:17" s="10" customFormat="1">
      <c r="A84" s="10" t="s">
        <v>155</v>
      </c>
      <c r="B84" s="10" t="s">
        <v>51</v>
      </c>
      <c r="C84" s="10" t="s">
        <v>49</v>
      </c>
      <c r="D84" s="10" t="s">
        <v>214</v>
      </c>
      <c r="E84" s="11">
        <v>0</v>
      </c>
      <c r="F84" s="11">
        <v>0</v>
      </c>
      <c r="G84" s="11">
        <v>15234400</v>
      </c>
      <c r="H84" s="11">
        <v>0</v>
      </c>
      <c r="I84" s="11">
        <v>0</v>
      </c>
      <c r="J84" s="11"/>
      <c r="K84" s="11"/>
      <c r="L84" s="11"/>
      <c r="M84" s="95"/>
      <c r="N84" s="27"/>
      <c r="O84" s="27"/>
      <c r="P84" s="27"/>
      <c r="Q84" s="27"/>
    </row>
    <row r="85" spans="1:17" s="10" customFormat="1">
      <c r="A85" s="10" t="s">
        <v>155</v>
      </c>
      <c r="B85" s="10" t="s">
        <v>51</v>
      </c>
      <c r="C85" s="10" t="s">
        <v>49</v>
      </c>
      <c r="D85" s="10" t="s">
        <v>215</v>
      </c>
      <c r="E85" s="11"/>
      <c r="F85" s="11"/>
      <c r="G85" s="11"/>
      <c r="H85" s="11"/>
      <c r="I85" s="11"/>
      <c r="J85" s="11"/>
      <c r="K85" s="11"/>
      <c r="L85" s="11">
        <v>2155</v>
      </c>
      <c r="M85" s="95"/>
      <c r="N85" s="27"/>
      <c r="O85" s="27"/>
      <c r="P85" s="27"/>
      <c r="Q85" s="27"/>
    </row>
    <row r="86" spans="1:17" s="10" customFormat="1">
      <c r="A86" s="10" t="s">
        <v>155</v>
      </c>
      <c r="B86" s="10" t="s">
        <v>51</v>
      </c>
      <c r="C86" s="10" t="s">
        <v>49</v>
      </c>
      <c r="D86" s="10" t="s">
        <v>216</v>
      </c>
      <c r="E86" s="11">
        <v>1</v>
      </c>
      <c r="F86" s="11">
        <v>2</v>
      </c>
      <c r="G86" s="11">
        <v>37626</v>
      </c>
      <c r="H86" s="11">
        <v>0</v>
      </c>
      <c r="I86" s="11">
        <v>0</v>
      </c>
      <c r="J86" s="11"/>
      <c r="K86" s="11"/>
      <c r="L86" s="11"/>
      <c r="M86" s="95"/>
      <c r="N86" s="27"/>
      <c r="O86" s="27"/>
      <c r="P86" s="27"/>
      <c r="Q86" s="27"/>
    </row>
    <row r="87" spans="1:17" s="10" customFormat="1">
      <c r="A87" s="10" t="s">
        <v>155</v>
      </c>
      <c r="B87" s="10" t="s">
        <v>51</v>
      </c>
      <c r="C87" s="10" t="s">
        <v>49</v>
      </c>
      <c r="D87" s="10" t="s">
        <v>217</v>
      </c>
      <c r="E87" s="11">
        <v>0</v>
      </c>
      <c r="F87" s="11">
        <v>0</v>
      </c>
      <c r="G87" s="11">
        <v>34684</v>
      </c>
      <c r="H87" s="11">
        <v>0</v>
      </c>
      <c r="I87" s="11">
        <v>0</v>
      </c>
      <c r="J87" s="11"/>
      <c r="K87" s="11"/>
      <c r="L87" s="11"/>
      <c r="M87" s="95"/>
      <c r="N87" s="27"/>
      <c r="O87" s="27"/>
      <c r="P87" s="27"/>
      <c r="Q87" s="27"/>
    </row>
    <row r="88" spans="1:17" s="10" customFormat="1">
      <c r="A88" s="10" t="s">
        <v>155</v>
      </c>
      <c r="B88" s="10" t="s">
        <v>51</v>
      </c>
      <c r="C88" s="10" t="s">
        <v>49</v>
      </c>
      <c r="D88" s="10" t="s">
        <v>218</v>
      </c>
      <c r="E88" s="11">
        <v>0</v>
      </c>
      <c r="F88" s="11">
        <v>0</v>
      </c>
      <c r="G88" s="11">
        <v>36180</v>
      </c>
      <c r="H88" s="11">
        <v>0</v>
      </c>
      <c r="I88" s="11">
        <v>0</v>
      </c>
      <c r="J88" s="11"/>
      <c r="K88" s="11"/>
      <c r="L88" s="11"/>
      <c r="M88" s="95"/>
      <c r="N88" s="27"/>
      <c r="O88" s="27"/>
      <c r="P88" s="27"/>
      <c r="Q88" s="27"/>
    </row>
    <row r="89" spans="1:17" s="10" customFormat="1">
      <c r="A89" s="10" t="s">
        <v>155</v>
      </c>
      <c r="B89" s="10" t="s">
        <v>51</v>
      </c>
      <c r="C89" s="10" t="s">
        <v>49</v>
      </c>
      <c r="D89" s="10" t="s">
        <v>219</v>
      </c>
      <c r="E89" s="11">
        <v>19</v>
      </c>
      <c r="F89" s="11">
        <v>22</v>
      </c>
      <c r="G89" s="11">
        <v>77968557</v>
      </c>
      <c r="H89" s="11">
        <v>0</v>
      </c>
      <c r="I89" s="11">
        <v>0</v>
      </c>
      <c r="J89" s="11"/>
      <c r="K89" s="11"/>
      <c r="L89" s="11"/>
      <c r="M89" s="95"/>
      <c r="N89" s="27"/>
      <c r="O89" s="27"/>
      <c r="P89" s="27"/>
      <c r="Q89" s="27"/>
    </row>
    <row r="90" spans="1:17" s="10" customFormat="1">
      <c r="A90" s="10" t="s">
        <v>155</v>
      </c>
      <c r="B90" s="10" t="s">
        <v>51</v>
      </c>
      <c r="C90" s="10" t="s">
        <v>49</v>
      </c>
      <c r="D90" s="10" t="s">
        <v>220</v>
      </c>
      <c r="E90" s="11"/>
      <c r="F90" s="11"/>
      <c r="G90" s="11"/>
      <c r="H90" s="11"/>
      <c r="I90" s="11"/>
      <c r="J90" s="11"/>
      <c r="K90" s="11"/>
      <c r="L90" s="11">
        <v>2155</v>
      </c>
      <c r="M90" s="95"/>
      <c r="N90" s="27"/>
      <c r="O90" s="27"/>
      <c r="P90" s="27"/>
      <c r="Q90" s="27"/>
    </row>
    <row r="91" spans="1:17" s="10" customFormat="1">
      <c r="A91" s="10" t="s">
        <v>155</v>
      </c>
      <c r="B91" s="10" t="s">
        <v>51</v>
      </c>
      <c r="C91" s="10" t="s">
        <v>49</v>
      </c>
      <c r="D91" s="10" t="s">
        <v>221</v>
      </c>
      <c r="E91" s="11">
        <v>2</v>
      </c>
      <c r="F91" s="11">
        <v>11</v>
      </c>
      <c r="G91" s="11">
        <v>825851</v>
      </c>
      <c r="H91" s="11">
        <v>0</v>
      </c>
      <c r="I91" s="11">
        <v>0</v>
      </c>
      <c r="J91" s="11"/>
      <c r="K91" s="11"/>
      <c r="L91" s="11"/>
      <c r="M91" s="95"/>
      <c r="N91" s="27"/>
      <c r="O91" s="27"/>
      <c r="P91" s="27"/>
      <c r="Q91" s="27"/>
    </row>
    <row r="92" spans="1:17" s="10" customFormat="1">
      <c r="A92" s="10" t="s">
        <v>155</v>
      </c>
      <c r="B92" s="10" t="s">
        <v>51</v>
      </c>
      <c r="C92" s="10" t="s">
        <v>49</v>
      </c>
      <c r="D92" s="10" t="s">
        <v>222</v>
      </c>
      <c r="E92" s="11">
        <v>0</v>
      </c>
      <c r="F92" s="11">
        <v>0</v>
      </c>
      <c r="G92" s="11">
        <v>760949</v>
      </c>
      <c r="H92" s="11">
        <v>0</v>
      </c>
      <c r="I92" s="11">
        <v>0</v>
      </c>
      <c r="J92" s="11"/>
      <c r="K92" s="11"/>
      <c r="L92" s="11"/>
      <c r="M92" s="95"/>
      <c r="N92" s="27"/>
      <c r="O92" s="27"/>
      <c r="P92" s="27"/>
      <c r="Q92" s="27"/>
    </row>
    <row r="93" spans="1:17" s="10" customFormat="1">
      <c r="A93" s="10" t="s">
        <v>155</v>
      </c>
      <c r="B93" s="10" t="s">
        <v>51</v>
      </c>
      <c r="C93" s="10" t="s">
        <v>49</v>
      </c>
      <c r="D93" s="10" t="s">
        <v>223</v>
      </c>
      <c r="E93" s="11">
        <v>0</v>
      </c>
      <c r="F93" s="11">
        <v>0</v>
      </c>
      <c r="G93" s="11">
        <v>794121</v>
      </c>
      <c r="H93" s="11">
        <v>0</v>
      </c>
      <c r="I93" s="11">
        <v>0</v>
      </c>
      <c r="J93" s="11"/>
      <c r="K93" s="11"/>
      <c r="L93" s="11"/>
      <c r="M93" s="95"/>
      <c r="N93" s="27"/>
      <c r="O93" s="27"/>
      <c r="P93" s="27"/>
      <c r="Q93" s="27"/>
    </row>
    <row r="94" spans="1:17" s="10" customFormat="1">
      <c r="A94" s="10" t="s">
        <v>155</v>
      </c>
      <c r="B94" s="10" t="s">
        <v>51</v>
      </c>
      <c r="C94" s="10" t="s">
        <v>49</v>
      </c>
      <c r="D94" s="10" t="s">
        <v>224</v>
      </c>
      <c r="E94" s="11">
        <v>36</v>
      </c>
      <c r="F94" s="11">
        <v>115</v>
      </c>
      <c r="G94" s="11">
        <v>1711330880</v>
      </c>
      <c r="H94" s="11">
        <v>0</v>
      </c>
      <c r="I94" s="11">
        <v>0</v>
      </c>
      <c r="J94" s="11"/>
      <c r="K94" s="11"/>
      <c r="L94" s="11"/>
      <c r="M94" s="95"/>
      <c r="N94" s="27"/>
      <c r="O94" s="27"/>
      <c r="P94" s="27"/>
      <c r="Q94" s="27"/>
    </row>
    <row r="95" spans="1:17" s="10" customFormat="1">
      <c r="A95" s="10" t="s">
        <v>155</v>
      </c>
      <c r="B95" s="10" t="s">
        <v>51</v>
      </c>
      <c r="C95" s="10" t="s">
        <v>49</v>
      </c>
      <c r="D95" s="10" t="s">
        <v>225</v>
      </c>
      <c r="E95" s="11"/>
      <c r="F95" s="11"/>
      <c r="G95" s="11"/>
      <c r="H95" s="11"/>
      <c r="I95" s="11"/>
      <c r="J95" s="11"/>
      <c r="K95" s="11"/>
      <c r="L95" s="11">
        <v>2155</v>
      </c>
      <c r="M95" s="95"/>
      <c r="N95" s="27"/>
      <c r="O95" s="27"/>
      <c r="P95" s="27"/>
      <c r="Q95" s="27"/>
    </row>
    <row r="96" spans="1:17" s="10" customFormat="1">
      <c r="A96" s="10" t="s">
        <v>155</v>
      </c>
      <c r="B96" s="10" t="s">
        <v>51</v>
      </c>
      <c r="C96" s="10" t="s">
        <v>49</v>
      </c>
      <c r="D96" s="10" t="s">
        <v>226</v>
      </c>
      <c r="E96" s="11">
        <v>0</v>
      </c>
      <c r="F96" s="11">
        <v>0</v>
      </c>
      <c r="G96" s="11">
        <v>18</v>
      </c>
      <c r="H96" s="11">
        <v>0</v>
      </c>
      <c r="I96" s="11">
        <v>0</v>
      </c>
      <c r="J96" s="11"/>
      <c r="K96" s="11"/>
      <c r="L96" s="11"/>
      <c r="M96" s="95"/>
      <c r="N96" s="27"/>
      <c r="O96" s="27"/>
      <c r="P96" s="27"/>
      <c r="Q96" s="27"/>
    </row>
    <row r="97" spans="1:17" s="10" customFormat="1">
      <c r="A97" s="10" t="s">
        <v>155</v>
      </c>
      <c r="B97" s="10" t="s">
        <v>51</v>
      </c>
      <c r="C97" s="10" t="s">
        <v>49</v>
      </c>
      <c r="D97" s="10" t="s">
        <v>227</v>
      </c>
      <c r="E97" s="11">
        <v>0</v>
      </c>
      <c r="F97" s="11">
        <v>0</v>
      </c>
      <c r="G97" s="11">
        <v>6</v>
      </c>
      <c r="H97" s="11">
        <v>0</v>
      </c>
      <c r="I97" s="11">
        <v>0</v>
      </c>
      <c r="J97" s="11"/>
      <c r="K97" s="11"/>
      <c r="L97" s="11"/>
      <c r="M97" s="95"/>
      <c r="N97" s="27"/>
      <c r="O97" s="27"/>
      <c r="P97" s="27"/>
      <c r="Q97" s="27"/>
    </row>
    <row r="98" spans="1:17" s="10" customFormat="1">
      <c r="A98" s="10" t="s">
        <v>155</v>
      </c>
      <c r="B98" s="10" t="s">
        <v>51</v>
      </c>
      <c r="C98" s="10" t="s">
        <v>49</v>
      </c>
      <c r="D98" s="10" t="s">
        <v>228</v>
      </c>
      <c r="E98" s="11">
        <v>0</v>
      </c>
      <c r="F98" s="11">
        <v>0</v>
      </c>
      <c r="G98" s="11">
        <v>14</v>
      </c>
      <c r="H98" s="11">
        <v>0</v>
      </c>
      <c r="I98" s="11">
        <v>0</v>
      </c>
      <c r="J98" s="11"/>
      <c r="K98" s="11"/>
      <c r="L98" s="11"/>
      <c r="M98" s="95"/>
      <c r="N98" s="27"/>
      <c r="O98" s="27"/>
      <c r="P98" s="27"/>
      <c r="Q98" s="27"/>
    </row>
    <row r="99" spans="1:17" s="10" customFormat="1">
      <c r="A99" s="10" t="s">
        <v>155</v>
      </c>
      <c r="B99" s="10" t="s">
        <v>51</v>
      </c>
      <c r="C99" s="10" t="s">
        <v>49</v>
      </c>
      <c r="D99" s="10" t="s">
        <v>229</v>
      </c>
      <c r="E99" s="11">
        <v>0</v>
      </c>
      <c r="F99" s="11">
        <v>0</v>
      </c>
      <c r="G99" s="11">
        <v>30372</v>
      </c>
      <c r="H99" s="11">
        <v>0</v>
      </c>
      <c r="I99" s="11">
        <v>0</v>
      </c>
      <c r="J99" s="11"/>
      <c r="K99" s="11"/>
      <c r="L99" s="11"/>
      <c r="M99" s="95"/>
      <c r="N99" s="27"/>
      <c r="O99" s="27"/>
      <c r="P99" s="27"/>
      <c r="Q99" s="27"/>
    </row>
    <row r="100" spans="1:17" s="10" customFormat="1">
      <c r="A100" s="10" t="s">
        <v>155</v>
      </c>
      <c r="B100" s="10" t="s">
        <v>51</v>
      </c>
      <c r="C100" s="10" t="s">
        <v>49</v>
      </c>
      <c r="D100" s="10" t="s">
        <v>230</v>
      </c>
      <c r="E100" s="11"/>
      <c r="F100" s="11"/>
      <c r="G100" s="11"/>
      <c r="H100" s="11"/>
      <c r="I100" s="11"/>
      <c r="J100" s="11"/>
      <c r="K100" s="11"/>
      <c r="L100" s="11">
        <v>2155</v>
      </c>
      <c r="M100" s="95"/>
      <c r="N100" s="27"/>
      <c r="O100" s="27"/>
      <c r="P100" s="27"/>
      <c r="Q100" s="27"/>
    </row>
    <row r="101" spans="1:17"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c r="Q101" s="27"/>
    </row>
    <row r="102" spans="1:17"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c r="Q102" s="27"/>
    </row>
    <row r="103" spans="1:17"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c r="Q103" s="27"/>
    </row>
    <row r="104" spans="1:17"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c r="Q104" s="27"/>
    </row>
    <row r="105" spans="1:17" s="10" customFormat="1">
      <c r="A105" s="10" t="s">
        <v>155</v>
      </c>
      <c r="B105" s="10" t="s">
        <v>51</v>
      </c>
      <c r="C105" s="10" t="s">
        <v>49</v>
      </c>
      <c r="D105" s="10" t="s">
        <v>235</v>
      </c>
      <c r="E105" s="11"/>
      <c r="F105" s="11"/>
      <c r="G105" s="11"/>
      <c r="H105" s="11"/>
      <c r="I105" s="11"/>
      <c r="J105" s="11"/>
      <c r="K105" s="11"/>
      <c r="L105" s="11">
        <v>2155</v>
      </c>
      <c r="M105" s="95"/>
      <c r="N105" s="27"/>
      <c r="O105" s="27"/>
      <c r="P105" s="27"/>
      <c r="Q105" s="27"/>
    </row>
    <row r="106" spans="1:17" s="10" customFormat="1">
      <c r="A106" t="s">
        <v>155</v>
      </c>
      <c r="B106" s="10" t="s">
        <v>51</v>
      </c>
      <c r="C106" s="10" t="s">
        <v>49</v>
      </c>
      <c r="D106" s="10" t="s">
        <v>344</v>
      </c>
      <c r="E106" s="11"/>
      <c r="F106" s="11"/>
      <c r="G106" s="11"/>
      <c r="H106" s="11"/>
      <c r="I106" s="11"/>
      <c r="J106" s="11"/>
      <c r="K106" s="10">
        <v>201</v>
      </c>
      <c r="M106" s="95"/>
      <c r="N106" s="27"/>
      <c r="O106" s="27"/>
      <c r="P106" s="27"/>
      <c r="Q106" s="27"/>
    </row>
    <row r="107" spans="1:17" s="10" customFormat="1">
      <c r="A107" t="s">
        <v>155</v>
      </c>
      <c r="B107" s="10" t="s">
        <v>51</v>
      </c>
      <c r="C107" s="10" t="s">
        <v>49</v>
      </c>
      <c r="D107" s="10" t="s">
        <v>334</v>
      </c>
      <c r="E107" s="11"/>
      <c r="F107" s="11"/>
      <c r="G107" s="11"/>
      <c r="H107" s="11"/>
      <c r="I107" s="11"/>
      <c r="J107" s="11"/>
      <c r="K107" s="10">
        <v>396</v>
      </c>
      <c r="M107" s="95"/>
      <c r="N107" s="27"/>
      <c r="O107" s="27"/>
      <c r="P107" s="27"/>
      <c r="Q107" s="27"/>
    </row>
    <row r="108" spans="1:17" s="10" customFormat="1">
      <c r="A108" t="s">
        <v>155</v>
      </c>
      <c r="B108" s="10" t="s">
        <v>51</v>
      </c>
      <c r="C108" s="10" t="s">
        <v>49</v>
      </c>
      <c r="D108" s="10" t="s">
        <v>335</v>
      </c>
      <c r="E108" s="11"/>
      <c r="F108" s="11"/>
      <c r="G108" s="11"/>
      <c r="H108" s="11"/>
      <c r="I108" s="11"/>
      <c r="J108" s="11"/>
      <c r="K108" s="10">
        <v>240</v>
      </c>
      <c r="M108" s="95"/>
      <c r="N108" s="27"/>
      <c r="O108" s="27"/>
      <c r="P108" s="27"/>
      <c r="Q108" s="27"/>
    </row>
    <row r="109" spans="1:17" s="10" customFormat="1">
      <c r="A109" t="s">
        <v>155</v>
      </c>
      <c r="B109" s="10" t="s">
        <v>51</v>
      </c>
      <c r="C109" s="10" t="s">
        <v>49</v>
      </c>
      <c r="D109" s="10" t="s">
        <v>294</v>
      </c>
      <c r="E109" s="11"/>
      <c r="F109" s="11"/>
      <c r="H109" s="11"/>
      <c r="I109" s="11"/>
      <c r="J109" s="11"/>
      <c r="L109" s="11">
        <v>368</v>
      </c>
      <c r="M109" s="95"/>
      <c r="N109" s="27"/>
      <c r="O109" s="27"/>
      <c r="P109" s="27"/>
      <c r="Q109" s="27"/>
    </row>
    <row r="110" spans="1:17"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c r="Q110" s="27"/>
    </row>
    <row r="111" spans="1:17"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c r="Q111" s="27"/>
    </row>
    <row r="112" spans="1:17"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c r="Q112" s="27"/>
    </row>
    <row r="113" spans="1:17"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c r="Q113" s="27"/>
    </row>
    <row r="114" spans="1:17" s="10" customFormat="1">
      <c r="A114" s="10" t="s">
        <v>155</v>
      </c>
      <c r="B114" s="10" t="s">
        <v>51</v>
      </c>
      <c r="C114" s="10" t="s">
        <v>49</v>
      </c>
      <c r="D114" s="22" t="s">
        <v>323</v>
      </c>
      <c r="E114" s="11"/>
      <c r="F114" s="11"/>
      <c r="G114" s="11"/>
      <c r="H114" s="11"/>
      <c r="I114" s="11"/>
      <c r="J114" s="11"/>
      <c r="K114" s="11"/>
      <c r="L114" s="11">
        <v>2155</v>
      </c>
      <c r="M114" s="95"/>
      <c r="N114" s="27"/>
      <c r="O114" s="27"/>
      <c r="P114" s="27"/>
      <c r="Q114" s="27"/>
    </row>
    <row r="115" spans="1:17" s="10" customFormat="1">
      <c r="A115" s="10" t="s">
        <v>155</v>
      </c>
      <c r="B115" s="10" t="s">
        <v>51</v>
      </c>
      <c r="C115" s="10" t="s">
        <v>49</v>
      </c>
      <c r="D115" s="10" t="s">
        <v>348</v>
      </c>
      <c r="E115" s="11"/>
      <c r="F115" s="11"/>
      <c r="G115" s="11"/>
      <c r="H115" s="11"/>
      <c r="I115" s="11"/>
      <c r="J115" s="11"/>
      <c r="K115" s="11">
        <v>1161690624</v>
      </c>
      <c r="L115" s="11"/>
      <c r="M115" s="95"/>
      <c r="N115" s="27"/>
      <c r="O115" s="27"/>
      <c r="P115" s="27"/>
      <c r="Q115" s="27"/>
    </row>
    <row r="116" spans="1:17" s="10" customFormat="1">
      <c r="A116" s="10" t="s">
        <v>155</v>
      </c>
      <c r="B116" s="10" t="s">
        <v>51</v>
      </c>
      <c r="C116" s="10" t="s">
        <v>49</v>
      </c>
      <c r="D116" s="10" t="s">
        <v>349</v>
      </c>
      <c r="E116" s="11"/>
      <c r="F116" s="11"/>
      <c r="G116" s="11"/>
      <c r="H116" s="11"/>
      <c r="I116" s="11"/>
      <c r="J116" s="11"/>
      <c r="K116" s="11">
        <v>1890334750</v>
      </c>
      <c r="L116" s="11"/>
      <c r="M116" s="95"/>
      <c r="N116" s="27"/>
      <c r="O116" s="27"/>
      <c r="P116" s="27"/>
      <c r="Q116" s="27"/>
    </row>
    <row r="117" spans="1:17" s="10" customFormat="1">
      <c r="A117" s="10" t="s">
        <v>155</v>
      </c>
      <c r="B117" s="10" t="s">
        <v>51</v>
      </c>
      <c r="C117" s="10" t="s">
        <v>49</v>
      </c>
      <c r="D117" s="10" t="s">
        <v>350</v>
      </c>
      <c r="E117" s="11"/>
      <c r="F117" s="11"/>
      <c r="G117" s="11"/>
      <c r="H117" s="11"/>
      <c r="I117" s="11"/>
      <c r="J117" s="11"/>
      <c r="K117" s="11">
        <v>1526012687</v>
      </c>
      <c r="L117" s="11"/>
      <c r="M117" s="95"/>
      <c r="N117" s="27"/>
      <c r="O117" s="27"/>
      <c r="P117" s="27"/>
      <c r="Q117" s="27"/>
    </row>
    <row r="118" spans="1:17" s="10" customFormat="1">
      <c r="A118" s="10" t="s">
        <v>155</v>
      </c>
      <c r="B118" s="10" t="s">
        <v>51</v>
      </c>
      <c r="C118" s="10" t="s">
        <v>49</v>
      </c>
      <c r="D118" s="10" t="s">
        <v>351</v>
      </c>
      <c r="E118" s="11"/>
      <c r="F118" s="11"/>
      <c r="G118" s="11"/>
      <c r="H118" s="11"/>
      <c r="I118" s="11"/>
      <c r="J118" s="11"/>
      <c r="K118" s="11"/>
      <c r="L118" s="11">
        <v>2</v>
      </c>
      <c r="M118" s="95"/>
      <c r="N118" s="27"/>
      <c r="O118" s="27"/>
      <c r="P118" s="27"/>
      <c r="Q118" s="27"/>
    </row>
    <row r="119" spans="1:17">
      <c r="A119" s="10" t="s">
        <v>155</v>
      </c>
      <c r="B119" s="10" t="s">
        <v>51</v>
      </c>
      <c r="C119" s="10" t="s">
        <v>49</v>
      </c>
      <c r="D119" t="s">
        <v>435</v>
      </c>
      <c r="L119">
        <v>1</v>
      </c>
    </row>
    <row r="120" spans="1:17">
      <c r="A120" s="10" t="s">
        <v>155</v>
      </c>
      <c r="B120" s="10" t="s">
        <v>51</v>
      </c>
      <c r="C120" s="10" t="s">
        <v>49</v>
      </c>
      <c r="D120" s="10" t="s">
        <v>438</v>
      </c>
      <c r="L120">
        <v>1</v>
      </c>
    </row>
    <row r="121" spans="1:17">
      <c r="A121" s="10" t="s">
        <v>155</v>
      </c>
      <c r="B121" s="10" t="s">
        <v>51</v>
      </c>
      <c r="C121" s="10" t="s">
        <v>49</v>
      </c>
      <c r="D121" t="s">
        <v>444</v>
      </c>
      <c r="J121">
        <v>12</v>
      </c>
    </row>
    <row r="122" spans="1:17">
      <c r="A122" s="10" t="s">
        <v>155</v>
      </c>
      <c r="B122" s="10" t="s">
        <v>51</v>
      </c>
      <c r="C122" s="10" t="s">
        <v>49</v>
      </c>
      <c r="D122" t="s">
        <v>445</v>
      </c>
      <c r="J122">
        <v>8</v>
      </c>
    </row>
    <row r="123" spans="1:17">
      <c r="A123" s="10" t="s">
        <v>155</v>
      </c>
      <c r="B123" s="10" t="s">
        <v>51</v>
      </c>
      <c r="C123" s="10" t="s">
        <v>49</v>
      </c>
      <c r="D123" t="s">
        <v>446</v>
      </c>
      <c r="J123">
        <v>6</v>
      </c>
    </row>
    <row r="124" spans="1:17">
      <c r="A124" s="10" t="s">
        <v>155</v>
      </c>
      <c r="B124" s="10" t="s">
        <v>51</v>
      </c>
      <c r="C124" s="10" t="s">
        <v>49</v>
      </c>
      <c r="D124" t="s">
        <v>447</v>
      </c>
      <c r="J124">
        <v>4</v>
      </c>
    </row>
    <row r="125" spans="1:17">
      <c r="A125" s="10" t="s">
        <v>155</v>
      </c>
      <c r="B125" s="10" t="s">
        <v>51</v>
      </c>
      <c r="C125" s="10" t="s">
        <v>49</v>
      </c>
      <c r="D125" t="s">
        <v>448</v>
      </c>
      <c r="L125">
        <v>3</v>
      </c>
    </row>
    <row r="126" spans="1:17">
      <c r="A126" s="10" t="s">
        <v>155</v>
      </c>
      <c r="B126" s="10" t="s">
        <v>51</v>
      </c>
      <c r="C126" s="10" t="s">
        <v>49</v>
      </c>
      <c r="D126" t="s">
        <v>460</v>
      </c>
      <c r="M126" s="9">
        <v>23.45</v>
      </c>
    </row>
    <row r="127" spans="1:17">
      <c r="A127" s="10" t="s">
        <v>155</v>
      </c>
      <c r="B127" s="10" t="s">
        <v>51</v>
      </c>
      <c r="C127" s="10" t="s">
        <v>49</v>
      </c>
      <c r="D127" t="s">
        <v>461</v>
      </c>
      <c r="M127" s="9">
        <v>12.5</v>
      </c>
    </row>
    <row r="128" spans="1:17">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610</v>
      </c>
      <c r="G149">
        <v>5</v>
      </c>
    </row>
    <row r="150" spans="1:17">
      <c r="A150" s="10" t="s">
        <v>155</v>
      </c>
      <c r="B150" s="10" t="s">
        <v>51</v>
      </c>
      <c r="C150" s="10" t="s">
        <v>49</v>
      </c>
      <c r="D150" t="s">
        <v>611</v>
      </c>
      <c r="G150">
        <v>3</v>
      </c>
    </row>
    <row r="151" spans="1:17">
      <c r="A151" s="10" t="s">
        <v>155</v>
      </c>
      <c r="B151" s="10" t="s">
        <v>51</v>
      </c>
      <c r="C151" s="10" t="s">
        <v>49</v>
      </c>
      <c r="D151" t="s">
        <v>612</v>
      </c>
      <c r="G151">
        <v>2</v>
      </c>
    </row>
    <row r="152" spans="1:17">
      <c r="A152" s="10" t="s">
        <v>155</v>
      </c>
      <c r="B152" s="10" t="s">
        <v>51</v>
      </c>
      <c r="C152" s="10" t="s">
        <v>49</v>
      </c>
      <c r="D152" t="s">
        <v>613</v>
      </c>
      <c r="G152">
        <v>1</v>
      </c>
    </row>
    <row r="153" spans="1:17">
      <c r="A153" s="10" t="s">
        <v>155</v>
      </c>
      <c r="B153" s="10" t="s">
        <v>51</v>
      </c>
      <c r="C153" s="10" t="s">
        <v>49</v>
      </c>
      <c r="D153" t="s">
        <v>614</v>
      </c>
      <c r="L153">
        <v>10</v>
      </c>
    </row>
    <row r="154" spans="1:17">
      <c r="A154" s="10" t="s">
        <v>155</v>
      </c>
      <c r="B154" s="10" t="s">
        <v>51</v>
      </c>
      <c r="C154" s="10" t="s">
        <v>49</v>
      </c>
      <c r="D154" s="10" t="s">
        <v>675</v>
      </c>
      <c r="E154" s="11"/>
      <c r="F154" s="11"/>
      <c r="G154" s="11"/>
      <c r="H154" s="11"/>
      <c r="I154" s="11"/>
      <c r="J154" s="11"/>
      <c r="K154" s="11">
        <v>6104</v>
      </c>
      <c r="L154" s="11">
        <v>2</v>
      </c>
      <c r="M154" s="27"/>
      <c r="Q154" s="27">
        <v>1.9499880000000001</v>
      </c>
    </row>
    <row r="155" spans="1:17">
      <c r="A155" s="10" t="s">
        <v>155</v>
      </c>
      <c r="B155" s="10" t="s">
        <v>51</v>
      </c>
      <c r="C155" s="10" t="s">
        <v>49</v>
      </c>
      <c r="D155" s="10" t="s">
        <v>676</v>
      </c>
      <c r="E155" s="11"/>
      <c r="F155" s="11"/>
      <c r="G155" s="11"/>
      <c r="H155" s="11"/>
      <c r="I155" s="11"/>
      <c r="J155" s="11"/>
      <c r="K155" s="11">
        <v>495</v>
      </c>
      <c r="L155" s="11">
        <v>2</v>
      </c>
      <c r="M155" s="27"/>
      <c r="Q155" s="27">
        <v>1.531164</v>
      </c>
    </row>
    <row r="156" spans="1:17">
      <c r="A156" s="10" t="s">
        <v>155</v>
      </c>
      <c r="B156" s="10" t="s">
        <v>51</v>
      </c>
      <c r="C156" s="10" t="s">
        <v>49</v>
      </c>
      <c r="D156" s="10" t="s">
        <v>677</v>
      </c>
      <c r="E156" s="11"/>
      <c r="F156" s="11"/>
      <c r="G156" s="11"/>
      <c r="H156" s="11"/>
      <c r="I156" s="11"/>
      <c r="J156" s="11"/>
      <c r="K156" s="11">
        <v>3299</v>
      </c>
      <c r="L156" s="11">
        <v>2</v>
      </c>
      <c r="M156" s="27"/>
      <c r="Q156" s="27">
        <v>1.7405759999999999</v>
      </c>
    </row>
    <row r="157" spans="1:17">
      <c r="A157" s="10" t="s">
        <v>155</v>
      </c>
      <c r="B157" s="10" t="s">
        <v>51</v>
      </c>
      <c r="C157" s="10" t="s">
        <v>49</v>
      </c>
      <c r="D157" s="10" t="s">
        <v>678</v>
      </c>
      <c r="E157" s="11"/>
      <c r="F157" s="11"/>
      <c r="G157" s="11"/>
      <c r="H157" s="11"/>
      <c r="I157" s="11"/>
      <c r="J157" s="11"/>
      <c r="K157" s="11">
        <v>2804</v>
      </c>
      <c r="L157" s="11">
        <v>2</v>
      </c>
      <c r="M157" s="27"/>
      <c r="Q157" s="27">
        <v>0.20941199999999999</v>
      </c>
    </row>
    <row r="158" spans="1:17">
      <c r="A158" s="10" t="s">
        <v>155</v>
      </c>
      <c r="B158" s="10" t="s">
        <v>51</v>
      </c>
      <c r="C158" s="10" t="s">
        <v>49</v>
      </c>
      <c r="D158" s="10" t="s">
        <v>679</v>
      </c>
      <c r="E158" s="11"/>
      <c r="F158" s="11"/>
      <c r="G158" s="11"/>
      <c r="H158" s="11"/>
      <c r="I158" s="11"/>
      <c r="J158" s="11"/>
      <c r="K158" s="11">
        <v>6599</v>
      </c>
      <c r="L158" s="11">
        <v>2</v>
      </c>
      <c r="M158" s="27"/>
      <c r="Q158" s="27">
        <v>3.4811519999999998</v>
      </c>
    </row>
    <row r="159" spans="1:17">
      <c r="A159" s="10" t="s">
        <v>155</v>
      </c>
      <c r="B159" s="10" t="s">
        <v>51</v>
      </c>
      <c r="C159" s="10" t="s">
        <v>49</v>
      </c>
      <c r="D159" s="10" t="s">
        <v>680</v>
      </c>
      <c r="Q159"/>
    </row>
    <row r="160" spans="1:17">
      <c r="A160" s="10" t="s">
        <v>155</v>
      </c>
      <c r="B160" s="10" t="s">
        <v>51</v>
      </c>
      <c r="C160" s="10" t="s">
        <v>49</v>
      </c>
      <c r="D160" s="10" t="s">
        <v>681</v>
      </c>
      <c r="E160" s="11"/>
      <c r="F160" s="11"/>
      <c r="G160" s="11"/>
      <c r="H160" s="11"/>
      <c r="I160" s="11"/>
      <c r="J160" s="11"/>
      <c r="K160" s="11">
        <v>1031</v>
      </c>
      <c r="L160" s="11">
        <v>1</v>
      </c>
      <c r="M160" s="27"/>
      <c r="Q160" s="27">
        <v>8.0669253152279339</v>
      </c>
    </row>
    <row r="161" spans="1:17">
      <c r="A161" s="10" t="s">
        <v>155</v>
      </c>
      <c r="B161" s="10" t="s">
        <v>51</v>
      </c>
      <c r="C161" s="10" t="s">
        <v>49</v>
      </c>
      <c r="D161" s="10" t="s">
        <v>682</v>
      </c>
      <c r="E161" s="11"/>
      <c r="F161" s="11"/>
      <c r="G161" s="11"/>
      <c r="H161" s="11"/>
      <c r="I161" s="11"/>
      <c r="J161" s="11"/>
      <c r="K161" s="11">
        <v>1031</v>
      </c>
      <c r="L161" s="11">
        <v>1</v>
      </c>
      <c r="M161" s="27"/>
      <c r="Q161" s="27">
        <v>8.0669253152279339</v>
      </c>
    </row>
    <row r="162" spans="1:17">
      <c r="A162" s="10" t="s">
        <v>155</v>
      </c>
      <c r="B162" s="10" t="s">
        <v>51</v>
      </c>
      <c r="C162" s="10" t="s">
        <v>49</v>
      </c>
      <c r="D162" s="10" t="s">
        <v>683</v>
      </c>
      <c r="E162" s="11"/>
      <c r="F162" s="11"/>
      <c r="G162" s="11"/>
      <c r="H162" s="11"/>
      <c r="I162" s="11"/>
      <c r="J162" s="11"/>
      <c r="K162" s="11">
        <v>1031</v>
      </c>
      <c r="L162" s="11">
        <v>1</v>
      </c>
      <c r="M162" s="27"/>
      <c r="Q162" s="27">
        <v>8.0669253152279339</v>
      </c>
    </row>
    <row r="163" spans="1:17">
      <c r="A163" s="10" t="s">
        <v>155</v>
      </c>
      <c r="B163" s="10" t="s">
        <v>51</v>
      </c>
      <c r="C163" s="10" t="s">
        <v>49</v>
      </c>
      <c r="D163" s="10" t="s">
        <v>684</v>
      </c>
      <c r="E163" s="11"/>
      <c r="F163" s="11"/>
      <c r="G163" s="11"/>
      <c r="H163" s="11"/>
      <c r="I163" s="11"/>
      <c r="J163" s="11"/>
      <c r="K163" s="11">
        <v>0</v>
      </c>
      <c r="L163" s="11">
        <v>1</v>
      </c>
      <c r="M163" s="27"/>
      <c r="Q163" s="27">
        <v>0</v>
      </c>
    </row>
    <row r="164" spans="1:17">
      <c r="A164" s="10" t="s">
        <v>155</v>
      </c>
      <c r="B164" s="10" t="s">
        <v>51</v>
      </c>
      <c r="C164" s="10" t="s">
        <v>49</v>
      </c>
      <c r="D164" s="10" t="s">
        <v>685</v>
      </c>
      <c r="E164" s="11"/>
      <c r="F164" s="11"/>
      <c r="G164" s="11"/>
      <c r="H164" s="11"/>
      <c r="I164" s="11"/>
      <c r="J164" s="11"/>
      <c r="K164" s="11">
        <v>1031</v>
      </c>
      <c r="L164" s="11">
        <v>1</v>
      </c>
      <c r="M164" s="27"/>
      <c r="Q164" s="27">
        <v>8.0669253152279339</v>
      </c>
    </row>
    <row r="165" spans="1:17">
      <c r="A165" s="10" t="s">
        <v>155</v>
      </c>
      <c r="B165" s="10" t="s">
        <v>51</v>
      </c>
      <c r="C165" s="10" t="s">
        <v>49</v>
      </c>
      <c r="D165" s="10" t="s">
        <v>686</v>
      </c>
      <c r="E165" s="11"/>
      <c r="F165" s="11"/>
      <c r="G165" s="11"/>
      <c r="H165" s="11"/>
      <c r="I165" s="11"/>
      <c r="J165" s="11"/>
      <c r="K165" s="11"/>
      <c r="L165" s="11">
        <v>1</v>
      </c>
      <c r="M165" s="27"/>
    </row>
    <row r="166" spans="1:17">
      <c r="A166" s="10" t="s">
        <v>155</v>
      </c>
      <c r="B166" s="10" t="s">
        <v>51</v>
      </c>
      <c r="C166" s="10" t="s">
        <v>49</v>
      </c>
      <c r="D166" s="10" t="s">
        <v>687</v>
      </c>
      <c r="E166" s="11"/>
      <c r="F166" s="11"/>
      <c r="G166" s="11"/>
      <c r="H166" s="11"/>
      <c r="I166" s="11"/>
      <c r="J166" s="11"/>
      <c r="K166" s="11">
        <v>6104</v>
      </c>
      <c r="L166" s="11">
        <v>3</v>
      </c>
      <c r="M166" s="27"/>
      <c r="Q166" s="27">
        <v>1.9499880000000001</v>
      </c>
    </row>
    <row r="167" spans="1:17">
      <c r="A167" s="10" t="s">
        <v>155</v>
      </c>
      <c r="B167" s="10" t="s">
        <v>51</v>
      </c>
      <c r="C167" s="10" t="s">
        <v>49</v>
      </c>
      <c r="D167" s="10" t="s">
        <v>688</v>
      </c>
      <c r="E167" s="11"/>
      <c r="F167" s="11"/>
      <c r="G167" s="11"/>
      <c r="H167" s="11"/>
      <c r="I167" s="11"/>
      <c r="J167" s="11"/>
      <c r="K167" s="11">
        <v>495</v>
      </c>
      <c r="L167" s="11">
        <v>3</v>
      </c>
      <c r="M167" s="27"/>
      <c r="Q167" s="27">
        <v>1.0016050000000001</v>
      </c>
    </row>
    <row r="168" spans="1:17">
      <c r="A168" s="10" t="s">
        <v>155</v>
      </c>
      <c r="B168" s="10" t="s">
        <v>51</v>
      </c>
      <c r="C168" s="10" t="s">
        <v>49</v>
      </c>
      <c r="D168" s="10" t="s">
        <v>689</v>
      </c>
      <c r="E168" s="11"/>
      <c r="F168" s="11"/>
      <c r="G168" s="11"/>
      <c r="H168" s="11"/>
      <c r="I168" s="11"/>
      <c r="J168" s="11"/>
      <c r="K168" s="11">
        <v>2452</v>
      </c>
      <c r="L168" s="11">
        <v>3</v>
      </c>
      <c r="M168" s="27"/>
      <c r="Q168" s="27">
        <v>1.4942523333333335</v>
      </c>
    </row>
    <row r="169" spans="1:17">
      <c r="A169" s="10" t="s">
        <v>155</v>
      </c>
      <c r="B169" s="10" t="s">
        <v>51</v>
      </c>
      <c r="C169" s="10" t="s">
        <v>49</v>
      </c>
      <c r="D169" s="10" t="s">
        <v>690</v>
      </c>
      <c r="E169" s="11"/>
      <c r="F169" s="11"/>
      <c r="G169" s="11"/>
      <c r="H169" s="11"/>
      <c r="I169" s="11"/>
      <c r="J169" s="11"/>
      <c r="K169" s="11">
        <v>2584</v>
      </c>
      <c r="L169" s="11">
        <v>3</v>
      </c>
      <c r="M169" s="27"/>
      <c r="Q169" s="27">
        <v>0.38805449103988199</v>
      </c>
    </row>
    <row r="170" spans="1:17">
      <c r="A170" s="10" t="s">
        <v>155</v>
      </c>
      <c r="B170" s="10" t="s">
        <v>51</v>
      </c>
      <c r="C170" s="10" t="s">
        <v>49</v>
      </c>
      <c r="D170" s="10" t="s">
        <v>691</v>
      </c>
      <c r="E170" s="11"/>
      <c r="F170" s="11"/>
      <c r="G170" s="11"/>
      <c r="H170" s="11"/>
      <c r="I170" s="11"/>
      <c r="J170" s="11"/>
      <c r="K170" s="11">
        <v>7356</v>
      </c>
      <c r="L170" s="11">
        <v>3</v>
      </c>
      <c r="M170" s="27"/>
      <c r="Q170" s="27">
        <v>4.4827570000000003</v>
      </c>
    </row>
  </sheetData>
  <autoFilter ref="A1:M13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2017-01-16T11:37:54Z</dcterms:modified>
</cp:coreProperties>
</file>