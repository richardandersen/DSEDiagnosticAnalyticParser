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Droppable" sheetId="26" r:id="rId27"/>
    <sheet name="Storage-Size" sheetId="15" r:id="rId28"/>
    <sheet name="Hints" sheetId="50" r:id="rId29"/>
    <sheet name="Batches" sheetId="33" r:id="rId30"/>
    <sheet name="Histogram - Read" sheetId="36" r:id="rId31"/>
    <sheet name="Histogram - SSTables" sheetId="45" r:id="rId32"/>
    <sheet name="Histogram - Write" sheetId="37" r:id="rId33"/>
    <sheet name="Histogram - Cell Counts" sheetId="38" r:id="rId34"/>
    <sheet name="Histogram - Partition" sheetId="44" r:id="rId35"/>
    <sheet name="Cassandra Log Exceptions" sheetId="47" r:id="rId36"/>
    <sheet name="Cassandra Summary Logs" sheetId="39" r:id="rId37"/>
    <sheet name="Solr" sheetId="54" r:id="rId38"/>
    <sheet name="Solr by Node" sheetId="55" r:id="rId39"/>
    <sheet name="Application" sheetId="27" r:id="rId40"/>
    <sheet name="--Marker--" sheetId="42" r:id="rId41"/>
    <sheet name="Read Repair History" sheetId="49" r:id="rId42"/>
    <sheet name="CFStats" sheetId="4" r:id="rId43"/>
    <sheet name="NodeStats" sheetId="16" r:id="rId44"/>
    <sheet name="TableHistogram" sheetId="32" r:id="rId45"/>
  </sheets>
  <definedNames>
    <definedName name="_xlnm._FilterDatabase" localSheetId="36" hidden="1">'Cassandra Summary Logs'!$A$2:$H$2</definedName>
    <definedName name="_xlnm._FilterDatabase" localSheetId="42" hidden="1">CFStats!$A$1:$K$68</definedName>
    <definedName name="_xlnm._FilterDatabase" localSheetId="5" hidden="1">'DDL Keyspaces'!$A$1:$E$1</definedName>
    <definedName name="_xlnm._FilterDatabase" localSheetId="43" hidden="1">NodeStats!$A$1:$M$130</definedName>
    <definedName name="_xlnm._FilterDatabase" localSheetId="4" hidden="1">'Settings-Yamls'!$A$1:$E$1</definedName>
    <definedName name="_xlnm._FilterDatabase" localSheetId="4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8" r:id="rId46"/>
    <pivotCache cacheId="9" r:id="rId47"/>
    <pivotCache cacheId="10" r:id="rId48"/>
    <pivotCache cacheId="11" r:id="rId49"/>
    <pivotCache cacheId="12" r:id="rId50"/>
    <pivotCache cacheId="13" r:id="rId51"/>
    <pivotCache cacheId="14" r:id="rId52"/>
    <pivotCache cacheId="15"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<sst xmlns="http://schemas.openxmlformats.org/spreadsheetml/2006/main" count="4345" uniqueCount="692">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</sst>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2">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3">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pivotCacheDefinition" Target="pivotCache/pivotCacheDefinition5.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8.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7.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3.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6.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4.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48.407783564813"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0.0.0.0"/>
        <m/>
        <s v="10.12.50.1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48.409016435187"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Count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Count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7"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TPWriteCntMaxin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2">
      <pivotArea collapsedLevelsAreSubtotals="1" fieldPosition="0">
        <references count="2">
          <reference field="4294967294" count="1" selected="0">
            <x v="0"/>
          </reference>
          <reference field="2" count="1">
            <x v="0"/>
          </reference>
        </references>
      </pivotArea>
    </format>
    <format dxfId="39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TSlowQueryOccurrences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8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8">
      <pivotArea field="3" type="button" dataOnly="0" labelOnly="1" outline="0" axis="axisRow" fieldPosition="1"/>
    </format>
    <format dxfId="387">
      <pivotArea dataOnly="0" labelOnly="1" outline="0" fieldPosition="0">
        <references count="1">
          <reference field="4294967294" count="9">
            <x v="0"/>
            <x v="1"/>
            <x v="2"/>
            <x v="3"/>
            <x v="5"/>
            <x v="6"/>
            <x v="11"/>
            <x v="12"/>
            <x v="13"/>
          </reference>
        </references>
      </pivotArea>
    </format>
    <format dxfId="386">
      <pivotArea outline="0" fieldPosition="0">
        <references count="1">
          <reference field="4294967294" count="1">
            <x v="7"/>
          </reference>
        </references>
      </pivotArea>
    </format>
    <format dxfId="385">
      <pivotArea dataOnly="0" labelOnly="1" outline="0" fieldPosition="0">
        <references count="1">
          <reference field="4294967294" count="1">
            <x v="7"/>
          </reference>
        </references>
      </pivotArea>
    </format>
    <format dxfId="384">
      <pivotArea collapsedLevelsAreSubtotals="1" fieldPosition="0">
        <references count="2">
          <reference field="4294967294" count="1" selected="0">
            <x v="3"/>
          </reference>
          <reference field="3" count="1">
            <x v="0"/>
          </reference>
        </references>
      </pivotArea>
    </format>
    <format dxfId="383">
      <pivotArea outline="0" fieldPosition="0">
        <references count="1">
          <reference field="4294967294" count="1">
            <x v="4"/>
          </reference>
        </references>
      </pivotArea>
    </format>
    <format dxfId="382">
      <pivotArea outline="0" fieldPosition="0">
        <references count="1">
          <reference field="4294967294" count="1">
            <x v="8"/>
          </reference>
        </references>
      </pivotArea>
    </format>
    <format dxfId="381">
      <pivotArea outline="0" fieldPosition="0">
        <references count="1">
          <reference field="4294967294" count="1">
            <x v="9"/>
          </reference>
        </references>
      </pivotArea>
    </format>
    <format dxfId="380">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x="0"/>
        <item sd="0" x="1"/>
        <item sd="0" m="1" x="2"/>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i>
    <i>
      <x v="1"/>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79">
      <pivotArea field="3" type="button" dataOnly="0" labelOnly="1" outline="0" axis="axisRow" fieldPosition="0"/>
    </format>
    <format dxfId="378">
      <pivotArea dataOnly="0" labelOnly="1" outline="0" fieldPosition="0">
        <references count="1">
          <reference field="4294967294" count="9">
            <x v="0"/>
            <x v="1"/>
            <x v="2"/>
            <x v="3"/>
            <x v="5"/>
            <x v="7"/>
            <x v="9"/>
            <x v="10"/>
            <x v="11"/>
          </reference>
        </references>
      </pivotArea>
    </format>
    <format dxfId="377">
      <pivotArea outline="0" fieldPosition="0">
        <references count="1">
          <reference field="4294967294" count="1">
            <x v="6"/>
          </reference>
        </references>
      </pivotArea>
    </format>
    <format dxfId="376">
      <pivotArea outline="0" fieldPosition="0">
        <references count="1">
          <reference field="4294967294" count="1">
            <x v="8"/>
          </reference>
        </references>
      </pivotArea>
    </format>
    <format dxfId="375">
      <pivotArea dataOnly="0" labelOnly="1" outline="0" fieldPosition="0">
        <references count="1">
          <reference field="4294967294" count="1">
            <x v="8"/>
          </reference>
        </references>
      </pivotArea>
    </format>
    <format dxfId="374">
      <pivotArea dataOnly="0" labelOnly="1" outline="0" fieldPosition="0">
        <references count="1">
          <reference field="4294967294" count="1">
            <x v="6"/>
          </reference>
        </references>
      </pivotArea>
    </format>
    <format dxfId="373">
      <pivotArea collapsedLevelsAreSubtotals="1" fieldPosition="0">
        <references count="2">
          <reference field="4294967294" count="1" selected="0">
            <x v="3"/>
          </reference>
          <reference field="3" count="1">
            <x v="0"/>
          </reference>
        </references>
      </pivotArea>
    </format>
    <format dxfId="372">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NbrbyNod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1">
      <pivotArea dataOnly="0" labelOnly="1" outline="0" fieldPosition="0">
        <references count="1">
          <reference field="4294967294" count="1">
            <x v="1"/>
          </reference>
        </references>
      </pivotArea>
    </format>
    <format dxfId="36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4">
      <pivotArea dataOnly="0" labelOnly="1" outline="0" axis="axisValues" fieldPosition="0"/>
    </format>
    <format dxfId="363">
      <pivotArea dataOnly="0" outline="0" axis="axisValues" fieldPosition="0"/>
    </format>
    <format dxfId="3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6">
      <pivotArea dataOnly="0" labelOnly="1" outline="0" fieldPosition="0">
        <references count="1">
          <reference field="4294967294" count="1">
            <x v="0"/>
          </reference>
        </references>
      </pivotArea>
    </format>
    <format dxfId="3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6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71">
      <pivotArea dataOnly="0" labelOnly="1" outline="0" fieldPosition="0">
        <references count="1">
          <reference field="4294967294" count="1">
            <x v="0"/>
          </reference>
        </references>
      </pivotArea>
    </format>
    <format dxfId="37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49">
      <pivotArea dataOnly="0" labelOnly="1" outline="0" fieldPosition="0">
        <references count="1">
          <reference field="4294967294" count="1">
            <x v="1"/>
          </reference>
        </references>
      </pivotArea>
    </format>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1">
      <pivotArea dataOnly="0" labelOnly="1" outline="0" fieldPosition="0">
        <references count="1">
          <reference field="4294967294" count="1">
            <x v="0"/>
          </reference>
        </references>
      </pivotArea>
    </format>
    <format dxfId="35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5">
      <pivotArea dataOnly="0" labelOnly="1" outline="0" axis="axisValues" fieldPosition="0"/>
    </format>
    <format dxfId="354">
      <pivotArea dataOnly="0" outline="0" axis="axisValues" fieldPosition="0"/>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7">
      <pivotArea dataOnly="0" labelOnly="1" outline="0" fieldPosition="0">
        <references count="1">
          <reference field="4294967294" count="1">
            <x v="0"/>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9">
      <pivotArea dataOnly="0" labelOnly="1" outline="0" fieldPosition="0">
        <references count="1">
          <reference field="4294967294" count="1">
            <x v="1"/>
          </reference>
        </references>
      </pivotArea>
    </format>
    <format dxfId="35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0"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4">
      <pivotArea dataOnly="0" labelOnly="1" outline="0" axis="axisValues" fieldPosition="0"/>
    </format>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6">
      <pivotArea collapsedLevelsAreSubtotals="1" fieldPosition="0">
        <references count="1">
          <reference field="4" count="1">
            <x v="1"/>
          </reference>
        </references>
      </pivotArea>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8:W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8:Z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0"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9"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8"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7"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4"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Page" fieldPosition="2"/>
    </format>
    <format dxfId="299">
      <pivotArea dataOnly="0" labelOnly="1" fieldPosition="0">
        <references count="1">
          <reference field="4" count="1">
            <x v="0"/>
          </reference>
        </references>
      </pivotArea>
    </format>
    <format dxfId="298">
      <pivotArea dataOnly="0" labelOnly="1" outline="0" fieldPosition="0">
        <references count="1">
          <reference field="4294967294" count="1">
            <x v="0"/>
          </reference>
        </references>
      </pivotArea>
    </format>
    <format dxfId="297">
      <pivotArea field="4" type="button" dataOnly="0" labelOnly="1" outline="0" axis="axisPage" fieldPosition="2"/>
    </format>
    <format dxfId="296">
      <pivotArea field="2" type="button" dataOnly="0" labelOnly="1" outline="0" axis="axisRow" fieldPosition="0"/>
    </format>
    <format dxfId="295">
      <pivotArea dataOnly="0" labelOnly="1" fieldPosition="0">
        <references count="1">
          <reference field="2" count="1">
            <x v="0"/>
          </reference>
        </references>
      </pivotArea>
    </format>
    <format dxfId="294">
      <pivotArea dataOnly="0" labelOnly="1" grandRow="1" outline="0" fieldPosition="0"/>
    </format>
    <format dxfId="293">
      <pivotArea outline="0" collapsedLevelsAreSubtotals="1" fieldPosition="0">
        <references count="1">
          <reference field="4294967294" count="1" selected="0">
            <x v="3"/>
          </reference>
        </references>
      </pivotArea>
    </format>
    <format dxfId="292">
      <pivotArea dataOnly="0" labelOnly="1" outline="0" fieldPosition="0">
        <references count="1">
          <reference field="4294967294" count="1">
            <x v="3"/>
          </reference>
        </references>
      </pivotArea>
    </format>
    <format dxfId="291">
      <pivotArea outline="0" collapsedLevelsAreSubtotals="1" fieldPosition="0">
        <references count="1">
          <reference field="4294967294" count="1" selected="0">
            <x v="6"/>
          </reference>
        </references>
      </pivotArea>
    </format>
    <format dxfId="290">
      <pivotArea dataOnly="0" labelOnly="1" outline="0" fieldPosition="0">
        <references count="1">
          <reference field="4294967294" count="1">
            <x v="6"/>
          </reference>
        </references>
      </pivotArea>
    </format>
    <format dxfId="289">
      <pivotArea outline="0" collapsedLevelsAreSubtotals="1" fieldPosition="0">
        <references count="1">
          <reference field="4294967294" count="1" selected="0">
            <x v="9"/>
          </reference>
        </references>
      </pivotArea>
    </format>
    <format dxfId="288">
      <pivotArea dataOnly="0" labelOnly="1" outline="0" fieldPosition="0">
        <references count="1">
          <reference field="4294967294" count="1">
            <x v="9"/>
          </reference>
        </references>
      </pivotArea>
    </format>
    <format dxfId="287">
      <pivotArea outline="0" collapsedLevelsAreSubtotals="1" fieldPosition="0">
        <references count="1">
          <reference field="4294967294" count="1" selected="0">
            <x v="12"/>
          </reference>
        </references>
      </pivotArea>
    </format>
    <format dxfId="286">
      <pivotArea dataOnly="0" labelOnly="1" outline="0" fieldPosition="0">
        <references count="1">
          <reference field="4294967294" count="1">
            <x v="12"/>
          </reference>
        </references>
      </pivotArea>
    </format>
    <format dxfId="285">
      <pivotArea outline="0" collapsedLevelsAreSubtotals="1" fieldPosition="0">
        <references count="1">
          <reference field="4294967294" count="1" selected="0">
            <x v="15"/>
          </reference>
        </references>
      </pivotArea>
    </format>
    <format dxfId="284">
      <pivotArea dataOnly="0" labelOnly="1" outline="0" fieldPosition="0">
        <references count="1">
          <reference field="4294967294" count="1">
            <x v="15"/>
          </reference>
        </references>
      </pivotArea>
    </format>
    <format dxfId="283">
      <pivotArea outline="0" collapsedLevelsAreSubtotals="1" fieldPosition="0">
        <references count="1">
          <reference field="4294967294" count="1" selected="0">
            <x v="17"/>
          </reference>
        </references>
      </pivotArea>
    </format>
    <format dxfId="28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0"/>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Page" fieldPosition="2"/>
    </format>
    <format dxfId="241">
      <pivotArea dataOnly="0" labelOnly="1" fieldPosition="0">
        <references count="1">
          <reference field="4" count="1">
            <x v="0"/>
          </reference>
        </references>
      </pivotArea>
    </format>
    <format dxfId="240">
      <pivotArea dataOnly="0" labelOnly="1" outline="0" fieldPosition="0">
        <references count="1">
          <reference field="4294967294" count="1">
            <x v="0"/>
          </reference>
        </references>
      </pivotArea>
    </format>
    <format dxfId="239">
      <pivotArea field="4" type="button" dataOnly="0" labelOnly="1" outline="0" axis="axisPage" fieldPosition="2"/>
    </format>
    <format dxfId="238">
      <pivotArea field="2" type="button" dataOnly="0" labelOnly="1" outline="0" axis="axisRow" fieldPosition="0"/>
    </format>
    <format dxfId="237">
      <pivotArea dataOnly="0" labelOnly="1" fieldPosition="0">
        <references count="1">
          <reference field="2" count="1">
            <x v="0"/>
          </reference>
        </references>
      </pivotArea>
    </format>
    <format dxfId="236">
      <pivotArea dataOnly="0" labelOnly="1" grandRow="1" outline="0" fieldPosition="0"/>
    </format>
    <format dxfId="235">
      <pivotArea outline="0" collapsedLevelsAreSubtotals="1" fieldPosition="0">
        <references count="1">
          <reference field="4294967294" count="1" selected="0">
            <x v="3"/>
          </reference>
        </references>
      </pivotArea>
    </format>
    <format dxfId="234">
      <pivotArea dataOnly="0" labelOnly="1" outline="0" fieldPosition="0">
        <references count="1">
          <reference field="4294967294" count="1">
            <x v="3"/>
          </reference>
        </references>
      </pivotArea>
    </format>
    <format dxfId="233">
      <pivotArea outline="0" collapsedLevelsAreSubtotals="1" fieldPosition="0">
        <references count="1">
          <reference field="4294967294" count="1" selected="0">
            <x v="6"/>
          </reference>
        </references>
      </pivotArea>
    </format>
    <format dxfId="232">
      <pivotArea dataOnly="0" labelOnly="1" outline="0" fieldPosition="0">
        <references count="1">
          <reference field="4294967294" count="1">
            <x v="6"/>
          </reference>
        </references>
      </pivotArea>
    </format>
    <format dxfId="231">
      <pivotArea outline="0" collapsedLevelsAreSubtotals="1" fieldPosition="0">
        <references count="1">
          <reference field="4294967294" count="1" selected="0">
            <x v="9"/>
          </reference>
        </references>
      </pivotArea>
    </format>
    <format dxfId="230">
      <pivotArea dataOnly="0" labelOnly="1" outline="0" fieldPosition="0">
        <references count="1">
          <reference field="4294967294" count="1">
            <x v="9"/>
          </reference>
        </references>
      </pivotArea>
    </format>
    <format dxfId="229">
      <pivotArea outline="0" collapsedLevelsAreSubtotals="1" fieldPosition="0">
        <references count="1">
          <reference field="4294967294" count="1" selected="0">
            <x v="12"/>
          </reference>
        </references>
      </pivotArea>
    </format>
    <format dxfId="228">
      <pivotArea dataOnly="0" labelOnly="1" outline="0" fieldPosition="0">
        <references count="1">
          <reference field="4294967294" count="1">
            <x v="12"/>
          </reference>
        </references>
      </pivotArea>
    </format>
    <format dxfId="227">
      <pivotArea outline="0" collapsedLevelsAreSubtotals="1" fieldPosition="0">
        <references count="1">
          <reference field="4294967294" count="1" selected="0">
            <x v="15"/>
          </reference>
        </references>
      </pivotArea>
    </format>
    <format dxfId="226">
      <pivotArea dataOnly="0" labelOnly="1" outline="0" fieldPosition="0">
        <references count="1">
          <reference field="4294967294" count="1">
            <x v="15"/>
          </reference>
        </references>
      </pivotArea>
    </format>
    <format dxfId="225">
      <pivotArea outline="0" collapsedLevelsAreSubtotals="1" fieldPosition="0">
        <references count="1">
          <reference field="4294967294" count="1" selected="0">
            <x v="17"/>
          </reference>
        </references>
      </pivotArea>
    </format>
    <format dxfId="224">
      <pivotArea dataOnly="0" labelOnly="1" outline="0" fieldPosition="0">
        <references count="1">
          <reference field="4294967294" count="1">
            <x v="17"/>
          </reference>
        </references>
      </pivotArea>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1">
      <pivotArea outline="0" collapsedLevelsAreSubtotals="1" fieldPosition="0">
        <references count="1">
          <reference field="4294967294" count="1" selected="0">
            <x v="3"/>
          </reference>
        </references>
      </pivotArea>
    </format>
    <format dxfId="280">
      <pivotArea dataOnly="0" labelOnly="1" outline="0" fieldPosition="0">
        <references count="1">
          <reference field="4294967294" count="1">
            <x v="3"/>
          </reference>
        </references>
      </pivotArea>
    </format>
    <format dxfId="279">
      <pivotArea outline="0" collapsedLevelsAreSubtotals="1" fieldPosition="0">
        <references count="1">
          <reference field="4294967294" count="1" selected="0">
            <x v="6"/>
          </reference>
        </references>
      </pivotArea>
    </format>
    <format dxfId="278">
      <pivotArea dataOnly="0" labelOnly="1" outline="0" fieldPosition="0">
        <references count="1">
          <reference field="4294967294" count="1">
            <x v="6"/>
          </reference>
        </references>
      </pivotArea>
    </format>
    <format dxfId="277">
      <pivotArea outline="0" collapsedLevelsAreSubtotals="1" fieldPosition="0">
        <references count="1">
          <reference field="4294967294" count="1" selected="0">
            <x v="9"/>
          </reference>
        </references>
      </pivotArea>
    </format>
    <format dxfId="276">
      <pivotArea dataOnly="0" labelOnly="1" outline="0" fieldPosition="0">
        <references count="1">
          <reference field="4294967294" count="1">
            <x v="9"/>
          </reference>
        </references>
      </pivotArea>
    </format>
    <format dxfId="275">
      <pivotArea outline="0" collapsedLevelsAreSubtotals="1" fieldPosition="0">
        <references count="1">
          <reference field="4294967294" count="1" selected="0">
            <x v="12"/>
          </reference>
        </references>
      </pivotArea>
    </format>
    <format dxfId="274">
      <pivotArea dataOnly="0" labelOnly="1" outline="0" fieldPosition="0">
        <references count="1">
          <reference field="4294967294" count="1">
            <x v="12"/>
          </reference>
        </references>
      </pivotArea>
    </format>
    <format dxfId="273">
      <pivotArea outline="0" collapsedLevelsAreSubtotals="1" fieldPosition="0">
        <references count="1">
          <reference field="4294967294" count="1" selected="0">
            <x v="15"/>
          </reference>
        </references>
      </pivotArea>
    </format>
    <format dxfId="272">
      <pivotArea dataOnly="0" labelOnly="1" outline="0" fieldPosition="0">
        <references count="1">
          <reference field="4294967294" count="1">
            <x v="15"/>
          </reference>
        </references>
      </pivotArea>
    </format>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Row" fieldPosition="0"/>
    </format>
    <format dxfId="267">
      <pivotArea dataOnly="0" labelOnly="1" fieldPosition="0">
        <references count="1">
          <reference field="4" count="1">
            <x v="0"/>
          </reference>
        </references>
      </pivotArea>
    </format>
    <format dxfId="266">
      <pivotArea dataOnly="0" labelOnly="1" grandRow="1" outline="0" fieldPosition="0"/>
    </format>
    <format dxfId="265">
      <pivotArea dataOnly="0" labelOnly="1" outline="0" fieldPosition="0">
        <references count="1">
          <reference field="4294967294" count="1">
            <x v="0"/>
          </reference>
        </references>
      </pivotArea>
    </format>
    <format dxfId="264">
      <pivotArea field="4" type="button" dataOnly="0" labelOnly="1" outline="0" axis="axisRow" fieldPosition="0"/>
    </format>
    <format dxfId="263">
      <pivotArea outline="0" fieldPosition="0">
        <references count="1">
          <reference field="4294967294" count="1">
            <x v="0"/>
          </reference>
        </references>
      </pivotArea>
    </format>
    <format dxfId="262">
      <pivotArea outline="0" fieldPosition="0">
        <references count="1">
          <reference field="4294967294" count="1">
            <x v="1"/>
          </reference>
        </references>
      </pivotArea>
    </format>
    <format dxfId="261">
      <pivotArea outline="0" fieldPosition="0">
        <references count="1">
          <reference field="4294967294" count="1">
            <x v="2"/>
          </reference>
        </references>
      </pivotArea>
    </format>
    <format dxfId="260">
      <pivotArea outline="0" fieldPosition="0">
        <references count="1">
          <reference field="4294967294" count="1">
            <x v="3"/>
          </reference>
        </references>
      </pivotArea>
    </format>
    <format dxfId="259">
      <pivotArea outline="0" fieldPosition="0">
        <references count="1">
          <reference field="4294967294" count="1">
            <x v="4"/>
          </reference>
        </references>
      </pivotArea>
    </format>
    <format dxfId="258">
      <pivotArea outline="0" fieldPosition="0">
        <references count="1">
          <reference field="4294967294" count="1">
            <x v="5"/>
          </reference>
        </references>
      </pivotArea>
    </format>
    <format dxfId="257">
      <pivotArea outline="0" fieldPosition="0">
        <references count="1">
          <reference field="4294967294" count="1">
            <x v="6"/>
          </reference>
        </references>
      </pivotArea>
    </format>
    <format dxfId="256">
      <pivotArea outline="0" fieldPosition="0">
        <references count="1">
          <reference field="4294967294" count="1">
            <x v="7"/>
          </reference>
        </references>
      </pivotArea>
    </format>
    <format dxfId="255">
      <pivotArea outline="0" fieldPosition="0">
        <references count="1">
          <reference field="4294967294" count="1">
            <x v="8"/>
          </reference>
        </references>
      </pivotArea>
    </format>
    <format dxfId="254">
      <pivotArea outline="0" fieldPosition="0">
        <references count="1">
          <reference field="4294967294" count="1">
            <x v="9"/>
          </reference>
        </references>
      </pivotArea>
    </format>
    <format dxfId="253">
      <pivotArea outline="0" fieldPosition="0">
        <references count="1">
          <reference field="4294967294" count="1">
            <x v="10"/>
          </reference>
        </references>
      </pivotArea>
    </format>
    <format dxfId="252">
      <pivotArea outline="0" fieldPosition="0">
        <references count="1">
          <reference field="4294967294" count="1">
            <x v="11"/>
          </reference>
        </references>
      </pivotArea>
    </format>
    <format dxfId="251">
      <pivotArea outline="0" fieldPosition="0">
        <references count="1">
          <reference field="4294967294" count="1">
            <x v="12"/>
          </reference>
        </references>
      </pivotArea>
    </format>
    <format dxfId="250">
      <pivotArea outline="0" fieldPosition="0">
        <references count="1">
          <reference field="4294967294" count="1">
            <x v="13"/>
          </reference>
        </references>
      </pivotArea>
    </format>
    <format dxfId="249">
      <pivotArea outline="0" fieldPosition="0">
        <references count="1">
          <reference field="4294967294" count="1">
            <x v="14"/>
          </reference>
        </references>
      </pivotArea>
    </format>
    <format dxfId="248">
      <pivotArea outline="0" fieldPosition="0">
        <references count="1">
          <reference field="4294967294" count="1">
            <x v="15"/>
          </reference>
        </references>
      </pivotArea>
    </format>
    <format dxfId="247">
      <pivotArea outline="0" fieldPosition="0">
        <references count="1">
          <reference field="4294967294" count="1">
            <x v="16"/>
          </reference>
        </references>
      </pivotArea>
    </format>
    <format dxfId="24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Row" fieldPosition="0"/>
    </format>
    <format dxfId="151">
      <pivotArea dataOnly="0" labelOnly="1" fieldPosition="0">
        <references count="1">
          <reference field="4" count="1">
            <x v="0"/>
          </reference>
        </references>
      </pivotArea>
    </format>
    <format dxfId="150">
      <pivotArea dataOnly="0" labelOnly="1" grandRow="1" outline="0" fieldPosition="0"/>
    </format>
    <format dxfId="149">
      <pivotArea dataOnly="0" labelOnly="1" outline="0" fieldPosition="0">
        <references count="1">
          <reference field="4294967294" count="1">
            <x v="0"/>
          </reference>
        </references>
      </pivotArea>
    </format>
    <format dxfId="148">
      <pivotArea field="4" type="button" dataOnly="0" labelOnly="1" outline="0" axis="axisRow" fieldPosition="0"/>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53">
      <pivotArea dataOnly="0" labelOnly="1" outline="0" fieldPosition="0">
        <references count="1">
          <reference field="4294967294" count="3">
            <x v="3"/>
            <x v="4"/>
            <x v="5"/>
          </reference>
        </references>
      </pivotArea>
    </format>
    <format dxfId="52">
      <pivotArea dataOnly="0" labelOnly="1" outline="0" fieldPosition="0">
        <references count="1">
          <reference field="4294967294" count="3">
            <x v="9"/>
            <x v="10"/>
            <x v="11"/>
          </reference>
        </references>
      </pivotArea>
    </format>
    <format dxfId="51">
      <pivotArea dataOnly="0" labelOnly="1" outline="0" fieldPosition="0">
        <references count="1">
          <reference field="4294967294" count="3">
            <x v="15"/>
            <x v="16"/>
            <x v="17"/>
          </reference>
        </references>
      </pivotArea>
    </format>
    <format dxfId="50">
      <pivotArea field="4" type="button" dataOnly="0" labelOnly="1" outline="0" axis="axisPage" fieldPosition="2"/>
    </format>
    <format dxfId="49">
      <pivotArea dataOnly="0" labelOnly="1" fieldPosition="0">
        <references count="1">
          <reference field="4" count="1">
            <x v="0"/>
          </reference>
        </references>
      </pivotArea>
    </format>
    <format dxfId="48">
      <pivotArea dataOnly="0" labelOnly="1" outline="0" fieldPosition="0">
        <references count="1">
          <reference field="4294967294" count="1">
            <x v="0"/>
          </reference>
        </references>
      </pivotArea>
    </format>
    <format dxfId="47">
      <pivotArea field="4" type="button" dataOnly="0" labelOnly="1" outline="0" axis="axisPage" fieldPosition="2"/>
    </format>
    <format dxfId="46">
      <pivotArea field="2" type="button" dataOnly="0" labelOnly="1" outline="0" axis="axisRow" fieldPosition="0"/>
    </format>
    <format dxfId="45">
      <pivotArea dataOnly="0" labelOnly="1" fieldPosition="0">
        <references count="1">
          <reference field="2" count="1">
            <x v="0"/>
          </reference>
        </references>
      </pivotArea>
    </format>
    <format dxfId="44">
      <pivotArea dataOnly="0" labelOnly="1" grandRow="1" outline="0" fieldPosition="0"/>
    </format>
    <format dxfId="43">
      <pivotArea outline="0" collapsedLevelsAreSubtotals="1" fieldPosition="0">
        <references count="1">
          <reference field="4294967294" count="1" selected="0">
            <x v="3"/>
          </reference>
        </references>
      </pivotArea>
    </format>
    <format dxfId="42">
      <pivotArea dataOnly="0" labelOnly="1" outline="0" fieldPosition="0">
        <references count="1">
          <reference field="4294967294" count="1">
            <x v="3"/>
          </reference>
        </references>
      </pivotArea>
    </format>
    <format dxfId="41">
      <pivotArea outline="0" collapsedLevelsAreSubtotals="1" fieldPosition="0">
        <references count="1">
          <reference field="4294967294" count="1" selected="0">
            <x v="6"/>
          </reference>
        </references>
      </pivotArea>
    </format>
    <format dxfId="40">
      <pivotArea dataOnly="0" labelOnly="1" outline="0" fieldPosition="0">
        <references count="1">
          <reference field="4294967294" count="1">
            <x v="6"/>
          </reference>
        </references>
      </pivotArea>
    </format>
    <format dxfId="39">
      <pivotArea outline="0" collapsedLevelsAreSubtotals="1" fieldPosition="0">
        <references count="1">
          <reference field="4294967294" count="1" selected="0">
            <x v="9"/>
          </reference>
        </references>
      </pivotArea>
    </format>
    <format dxfId="38">
      <pivotArea dataOnly="0" labelOnly="1" outline="0" fieldPosition="0">
        <references count="1">
          <reference field="4294967294" count="1">
            <x v="9"/>
          </reference>
        </references>
      </pivotArea>
    </format>
    <format dxfId="37">
      <pivotArea outline="0" collapsedLevelsAreSubtotals="1" fieldPosition="0">
        <references count="1">
          <reference field="4294967294" count="1" selected="0">
            <x v="12"/>
          </reference>
        </references>
      </pivotArea>
    </format>
    <format dxfId="36">
      <pivotArea dataOnly="0" labelOnly="1" outline="0" fieldPosition="0">
        <references count="1">
          <reference field="4294967294" count="1">
            <x v="12"/>
          </reference>
        </references>
      </pivotArea>
    </format>
    <format dxfId="35">
      <pivotArea outline="0" collapsedLevelsAreSubtotals="1" fieldPosition="0">
        <references count="1">
          <reference field="4294967294" count="1" selected="0">
            <x v="15"/>
          </reference>
        </references>
      </pivotArea>
    </format>
    <format dxfId="34">
      <pivotArea dataOnly="0" labelOnly="1" outline="0" fieldPosition="0">
        <references count="1">
          <reference field="4294967294" count="1">
            <x v="15"/>
          </reference>
        </references>
      </pivotArea>
    </format>
    <format dxfId="33">
      <pivotArea outline="0" collapsedLevelsAreSubtotals="1" fieldPosition="0">
        <references count="1">
          <reference field="4294967294" count="1" selected="0">
            <x v="17"/>
          </reference>
        </references>
      </pivotArea>
    </format>
    <format dxfId="32">
      <pivotArea dataOnly="0" labelOnly="1" outline="0" fieldPosition="0">
        <references count="1">
          <reference field="4294967294" count="1">
            <x v="17"/>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1"/>
          </reference>
        </references>
      </pivotArea>
    </format>
    <format dxfId="29">
      <pivotArea collapsedLevelsAreSubtotals="1" fieldPosition="0">
        <references count="2">
          <reference field="4294967294" count="1" selected="0">
            <x v="0"/>
          </reference>
          <reference field="2" count="1">
            <x v="2"/>
          </reference>
        </references>
      </pivotArea>
    </format>
    <format dxfId="28">
      <pivotArea collapsedLevelsAreSubtotals="1" fieldPosition="0">
        <references count="2">
          <reference field="4294967294" count="1" selected="0">
            <x v="1"/>
          </reference>
          <reference field="2" count="1">
            <x v="2"/>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89">
      <pivotArea outline="0" collapsedLevelsAreSubtotals="1" fieldPosition="0">
        <references count="1">
          <reference field="4294967294" count="1" selected="0">
            <x v="3"/>
          </reference>
        </references>
      </pivotArea>
    </format>
    <format dxfId="88">
      <pivotArea dataOnly="0" labelOnly="1" outline="0" fieldPosition="0">
        <references count="1">
          <reference field="4294967294" count="1">
            <x v="3"/>
          </reference>
        </references>
      </pivotArea>
    </format>
    <format dxfId="87">
      <pivotArea outline="0" collapsedLevelsAreSubtotals="1" fieldPosition="0">
        <references count="1">
          <reference field="4294967294" count="1" selected="0">
            <x v="6"/>
          </reference>
        </references>
      </pivotArea>
    </format>
    <format dxfId="86">
      <pivotArea dataOnly="0" labelOnly="1" outline="0" fieldPosition="0">
        <references count="1">
          <reference field="4294967294" count="1">
            <x v="6"/>
          </reference>
        </references>
      </pivotArea>
    </format>
    <format dxfId="85">
      <pivotArea outline="0" collapsedLevelsAreSubtotals="1" fieldPosition="0">
        <references count="1">
          <reference field="4294967294" count="1" selected="0">
            <x v="9"/>
          </reference>
        </references>
      </pivotArea>
    </format>
    <format dxfId="84">
      <pivotArea dataOnly="0" labelOnly="1" outline="0" fieldPosition="0">
        <references count="1">
          <reference field="4294967294" count="1">
            <x v="9"/>
          </reference>
        </references>
      </pivotArea>
    </format>
    <format dxfId="83">
      <pivotArea outline="0" collapsedLevelsAreSubtotals="1" fieldPosition="0">
        <references count="1">
          <reference field="4294967294" count="1" selected="0">
            <x v="12"/>
          </reference>
        </references>
      </pivotArea>
    </format>
    <format dxfId="82">
      <pivotArea dataOnly="0" labelOnly="1" outline="0" fieldPosition="0">
        <references count="1">
          <reference field="4294967294" count="1">
            <x v="12"/>
          </reference>
        </references>
      </pivotArea>
    </format>
    <format dxfId="81">
      <pivotArea outline="0" collapsedLevelsAreSubtotals="1" fieldPosition="0">
        <references count="1">
          <reference field="4294967294" count="1" selected="0">
            <x v="15"/>
          </reference>
        </references>
      </pivotArea>
    </format>
    <format dxfId="80">
      <pivotArea dataOnly="0" labelOnly="1" outline="0" fieldPosition="0">
        <references count="1">
          <reference field="4294967294" count="1">
            <x v="15"/>
          </reference>
        </references>
      </pivotArea>
    </format>
    <format dxfId="79">
      <pivotArea dataOnly="0" labelOnly="1" outline="0" fieldPosition="0">
        <references count="1">
          <reference field="4294967294" count="3">
            <x v="3"/>
            <x v="4"/>
            <x v="5"/>
          </reference>
        </references>
      </pivotArea>
    </format>
    <format dxfId="78">
      <pivotArea dataOnly="0" labelOnly="1" outline="0" fieldPosition="0">
        <references count="1">
          <reference field="4294967294" count="3">
            <x v="9"/>
            <x v="10"/>
            <x v="11"/>
          </reference>
        </references>
      </pivotArea>
    </format>
    <format dxfId="77">
      <pivotArea dataOnly="0" labelOnly="1" outline="0" fieldPosition="0">
        <references count="1">
          <reference field="4294967294" count="3">
            <x v="15"/>
            <x v="16"/>
            <x v="17"/>
          </reference>
        </references>
      </pivotArea>
    </format>
    <format dxfId="76">
      <pivotArea field="4" type="button" dataOnly="0" labelOnly="1" outline="0" axis="axisRow" fieldPosition="0"/>
    </format>
    <format dxfId="75">
      <pivotArea dataOnly="0" labelOnly="1" fieldPosition="0">
        <references count="1">
          <reference field="4" count="1">
            <x v="0"/>
          </reference>
        </references>
      </pivotArea>
    </format>
    <format dxfId="74">
      <pivotArea dataOnly="0" labelOnly="1" grandRow="1" outline="0" fieldPosition="0"/>
    </format>
    <format dxfId="73">
      <pivotArea dataOnly="0" labelOnly="1" outline="0" fieldPosition="0">
        <references count="1">
          <reference field="4294967294" count="1">
            <x v="0"/>
          </reference>
        </references>
      </pivotArea>
    </format>
    <format dxfId="72">
      <pivotArea field="4" type="button" dataOnly="0" labelOnly="1" outline="0" axis="axisRow" fieldPosition="0"/>
    </format>
    <format dxfId="71">
      <pivotArea outline="0" fieldPosition="0">
        <references count="1">
          <reference field="4294967294" count="1">
            <x v="0"/>
          </reference>
        </references>
      </pivotArea>
    </format>
    <format dxfId="70">
      <pivotArea outline="0" fieldPosition="0">
        <references count="1">
          <reference field="4294967294" count="1">
            <x v="1"/>
          </reference>
        </references>
      </pivotArea>
    </format>
    <format dxfId="69">
      <pivotArea outline="0" fieldPosition="0">
        <references count="1">
          <reference field="4294967294" count="1">
            <x v="2"/>
          </reference>
        </references>
      </pivotArea>
    </format>
    <format dxfId="68">
      <pivotArea outline="0" fieldPosition="0">
        <references count="1">
          <reference field="4294967294" count="1">
            <x v="3"/>
          </reference>
        </references>
      </pivotArea>
    </format>
    <format dxfId="67">
      <pivotArea outline="0" fieldPosition="0">
        <references count="1">
          <reference field="4294967294" count="1">
            <x v="4"/>
          </reference>
        </references>
      </pivotArea>
    </format>
    <format dxfId="66">
      <pivotArea outline="0" fieldPosition="0">
        <references count="1">
          <reference field="4294967294" count="1">
            <x v="5"/>
          </reference>
        </references>
      </pivotArea>
    </format>
    <format dxfId="65">
      <pivotArea outline="0" fieldPosition="0">
        <references count="1">
          <reference field="4294967294" count="1">
            <x v="6"/>
          </reference>
        </references>
      </pivotArea>
    </format>
    <format dxfId="64">
      <pivotArea outline="0" fieldPosition="0">
        <references count="1">
          <reference field="4294967294" count="1">
            <x v="7"/>
          </reference>
        </references>
      </pivotArea>
    </format>
    <format dxfId="63">
      <pivotArea outline="0" fieldPosition="0">
        <references count="1">
          <reference field="4294967294" count="1">
            <x v="8"/>
          </reference>
        </references>
      </pivotArea>
    </format>
    <format dxfId="62">
      <pivotArea outline="0" fieldPosition="0">
        <references count="1">
          <reference field="4294967294" count="1">
            <x v="9"/>
          </reference>
        </references>
      </pivotArea>
    </format>
    <format dxfId="61">
      <pivotArea outline="0" fieldPosition="0">
        <references count="1">
          <reference field="4294967294" count="1">
            <x v="10"/>
          </reference>
        </references>
      </pivotArea>
    </format>
    <format dxfId="60">
      <pivotArea outline="0" fieldPosition="0">
        <references count="1">
          <reference field="4294967294" count="1">
            <x v="11"/>
          </reference>
        </references>
      </pivotArea>
    </format>
    <format dxfId="59">
      <pivotArea outline="0" fieldPosition="0">
        <references count="1">
          <reference field="4294967294" count="1">
            <x v="12"/>
          </reference>
        </references>
      </pivotArea>
    </format>
    <format dxfId="58">
      <pivotArea outline="0" fieldPosition="0">
        <references count="1">
          <reference field="4294967294" count="1">
            <x v="13"/>
          </reference>
        </references>
      </pivotArea>
    </format>
    <format dxfId="57">
      <pivotArea outline="0" fieldPosition="0">
        <references count="1">
          <reference field="4294967294" count="1">
            <x v="14"/>
          </reference>
        </references>
      </pivotArea>
    </format>
    <format dxfId="56">
      <pivotArea outline="0" fieldPosition="0">
        <references count="1">
          <reference field="4294967294" count="1">
            <x v="15"/>
          </reference>
        </references>
      </pivotArea>
    </format>
    <format dxfId="55">
      <pivotArea outline="0" fieldPosition="0">
        <references count="1">
          <reference field="4294967294" count="1">
            <x v="16"/>
          </reference>
        </references>
      </pivotArea>
    </format>
    <format dxfId="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11" Type="http://schemas.openxmlformats.org/officeDocument/2006/relationships/printerSettings" Target="../printerSettings/printerSettings22.bin"/><Relationship Id="rId5" Type="http://schemas.openxmlformats.org/officeDocument/2006/relationships/pivotTable" Target="../pivotTables/pivotTable106.xml"/><Relationship Id="rId10" Type="http://schemas.openxmlformats.org/officeDocument/2006/relationships/pivotTable" Target="../pivotTables/pivotTable111.xml"/><Relationship Id="rId4" Type="http://schemas.openxmlformats.org/officeDocument/2006/relationships/pivotTable" Target="../pivotTables/pivotTable105.xml"/><Relationship Id="rId9" Type="http://schemas.openxmlformats.org/officeDocument/2006/relationships/pivotTable" Target="../pivotTables/pivotTable11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13.xml"/><Relationship Id="rId1" Type="http://schemas.openxmlformats.org/officeDocument/2006/relationships/pivotTable" Target="../pivotTables/pivotTable112.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5.xml"/><Relationship Id="rId1" Type="http://schemas.openxmlformats.org/officeDocument/2006/relationships/pivotTable" Target="../pivotTables/pivotTable114.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5.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3.xml"/><Relationship Id="rId1" Type="http://schemas.openxmlformats.org/officeDocument/2006/relationships/pivotTable" Target="../pivotTables/pivotTable122.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34.xml"/><Relationship Id="rId2" Type="http://schemas.openxmlformats.org/officeDocument/2006/relationships/pivotTable" Target="../pivotTables/pivotTable133.xml"/><Relationship Id="rId1" Type="http://schemas.openxmlformats.org/officeDocument/2006/relationships/pivotTable" Target="../pivotTables/pivotTable132.xml"/><Relationship Id="rId4"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37.xml"/><Relationship Id="rId2" Type="http://schemas.openxmlformats.org/officeDocument/2006/relationships/pivotTable" Target="../pivotTables/pivotTable136.xml"/><Relationship Id="rId1" Type="http://schemas.openxmlformats.org/officeDocument/2006/relationships/pivotTable" Target="../pivotTables/pivotTable135.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0.xml"/><Relationship Id="rId2" Type="http://schemas.openxmlformats.org/officeDocument/2006/relationships/pivotTable" Target="../pivotTables/pivotTable139.xml"/><Relationship Id="rId1" Type="http://schemas.openxmlformats.org/officeDocument/2006/relationships/pivotTable" Target="../pivotTables/pivotTable138.xml"/><Relationship Id="rId4"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6" t="s">
        <v>521</v>
      </c>
      <c r="C5" s="156"/>
      <c r="D5" s="156"/>
      <c r="F5" s="156" t="s">
        <v>522</v>
      </c>
      <c r="G5" s="156"/>
      <c r="H5" s="156"/>
      <c r="J5" s="156" t="s">
        <v>365</v>
      </c>
      <c r="K5" s="156"/>
      <c r="L5" s="156"/>
      <c r="N5" s="156" t="s">
        <v>515</v>
      </c>
      <c r="O5" s="156"/>
      <c r="P5" s="156"/>
      <c r="Q5" s="157"/>
      <c r="R5" s="157"/>
      <c r="S5" s="157"/>
      <c r="T5" s="157"/>
      <c r="U5" s="157"/>
      <c r="V5" s="157"/>
      <c r="W5" s="157"/>
      <c r="X5" s="157"/>
      <c r="Y5" s="157"/>
      <c r="Z5" s="15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2" t="s">
        <v>236</v>
      </c>
      <c r="K1" s="160" t="s">
        <v>236</v>
      </c>
      <c r="L1" s="160" t="s">
        <v>236</v>
      </c>
      <c r="M1" s="161" t="s">
        <v>236</v>
      </c>
      <c r="N1" s="158" t="s">
        <v>237</v>
      </c>
      <c r="O1" s="159" t="s">
        <v>237</v>
      </c>
      <c r="P1" s="159" t="s">
        <v>237</v>
      </c>
      <c r="Q1" s="159" t="s">
        <v>237</v>
      </c>
      <c r="R1" s="159" t="s">
        <v>237</v>
      </c>
      <c r="S1" s="163" t="s">
        <v>237</v>
      </c>
      <c r="T1" s="164" t="s">
        <v>238</v>
      </c>
      <c r="U1" s="165" t="s">
        <v>238</v>
      </c>
      <c r="V1" s="165" t="s">
        <v>238</v>
      </c>
      <c r="W1" s="165" t="s">
        <v>238</v>
      </c>
      <c r="X1" s="166" t="s">
        <v>238</v>
      </c>
      <c r="Y1" s="167" t="s">
        <v>239</v>
      </c>
      <c r="Z1" s="165" t="s">
        <v>239</v>
      </c>
      <c r="AA1" s="160" t="s">
        <v>239</v>
      </c>
      <c r="AB1" s="166" t="s">
        <v>239</v>
      </c>
      <c r="AC1" s="167" t="s">
        <v>240</v>
      </c>
      <c r="AD1" s="160" t="s">
        <v>240</v>
      </c>
      <c r="AE1" s="160" t="s">
        <v>240</v>
      </c>
      <c r="AF1" s="161" t="s">
        <v>240</v>
      </c>
      <c r="AG1" s="164" t="s">
        <v>241</v>
      </c>
      <c r="AH1" s="165" t="s">
        <v>241</v>
      </c>
      <c r="AI1" s="165" t="s">
        <v>241</v>
      </c>
      <c r="AJ1" s="165" t="s">
        <v>241</v>
      </c>
      <c r="AK1" s="168" t="s">
        <v>241</v>
      </c>
      <c r="AL1" s="158" t="s">
        <v>242</v>
      </c>
      <c r="AM1" s="159" t="s">
        <v>242</v>
      </c>
      <c r="AN1" s="159" t="s">
        <v>242</v>
      </c>
      <c r="AO1" s="159" t="s">
        <v>242</v>
      </c>
      <c r="AP1" s="159" t="s">
        <v>242</v>
      </c>
      <c r="AQ1" s="160" t="s">
        <v>242</v>
      </c>
      <c r="AR1" s="160" t="s">
        <v>242</v>
      </c>
      <c r="AS1" s="161"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4" t="s">
        <v>89</v>
      </c>
      <c r="H1" s="169" t="s">
        <v>89</v>
      </c>
      <c r="I1" s="169" t="s">
        <v>89</v>
      </c>
      <c r="J1" s="168" t="s">
        <v>89</v>
      </c>
      <c r="K1" s="14"/>
      <c r="L1" s="170" t="s">
        <v>431</v>
      </c>
      <c r="M1" s="171" t="s">
        <v>431</v>
      </c>
      <c r="N1" s="171" t="s">
        <v>431</v>
      </c>
      <c r="O1" s="171"/>
      <c r="P1" s="171"/>
      <c r="Q1" s="172"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3" t="s">
        <v>377</v>
      </c>
      <c r="D1" s="174"/>
      <c r="E1" s="174"/>
      <c r="F1" s="174"/>
      <c r="G1" s="174"/>
      <c r="H1" s="174"/>
      <c r="I1" s="174"/>
      <c r="J1" s="174"/>
      <c r="L1" s="173" t="s">
        <v>365</v>
      </c>
      <c r="M1" s="174"/>
      <c r="N1" s="174"/>
      <c r="O1" s="174"/>
      <c r="P1" s="174"/>
      <c r="Q1" s="174"/>
      <c r="R1" s="174"/>
      <c r="S1" s="61"/>
      <c r="T1" s="173" t="s">
        <v>628</v>
      </c>
      <c r="U1" s="174"/>
      <c r="V1" s="174"/>
      <c r="W1" s="174"/>
    </row>
    <row r="2" spans="1:23">
      <c r="A2" s="30"/>
      <c r="B2" s="31"/>
      <c r="C2" s="152" t="s">
        <v>0</v>
      </c>
      <c r="D2" s="153" t="s">
        <v>16</v>
      </c>
      <c r="E2" s="53"/>
      <c r="F2" s="53"/>
      <c r="G2" s="152" t="s">
        <v>0</v>
      </c>
      <c r="H2" s="153" t="s">
        <v>16</v>
      </c>
      <c r="I2" s="53"/>
      <c r="J2" s="61"/>
      <c r="K2" s="61"/>
      <c r="L2" s="107" t="s">
        <v>0</v>
      </c>
      <c r="M2" s="108" t="s">
        <v>16</v>
      </c>
      <c r="N2" s="61"/>
      <c r="O2" s="61"/>
      <c r="P2" s="107" t="s">
        <v>0</v>
      </c>
      <c r="Q2" s="108" t="s">
        <v>16</v>
      </c>
      <c r="R2" s="61"/>
      <c r="S2" s="61"/>
      <c r="T2" s="152" t="s">
        <v>0</v>
      </c>
      <c r="U2" s="153" t="s">
        <v>16</v>
      </c>
      <c r="V2" s="136"/>
    </row>
    <row r="3" spans="1:23">
      <c r="A3" s="30"/>
      <c r="B3" s="30"/>
      <c r="C3" s="152" t="s">
        <v>1</v>
      </c>
      <c r="D3" s="153" t="s">
        <v>16</v>
      </c>
      <c r="G3" s="152" t="s">
        <v>1</v>
      </c>
      <c r="H3" s="153" t="s">
        <v>16</v>
      </c>
      <c r="L3" s="107" t="s">
        <v>1</v>
      </c>
      <c r="M3" s="108" t="s">
        <v>16</v>
      </c>
      <c r="P3" s="107" t="s">
        <v>1</v>
      </c>
      <c r="Q3" s="108" t="s">
        <v>16</v>
      </c>
      <c r="R3" s="57"/>
      <c r="T3" s="152" t="s">
        <v>1</v>
      </c>
      <c r="U3" s="153" t="s">
        <v>16</v>
      </c>
      <c r="V3" s="137"/>
    </row>
    <row r="4" spans="1:23">
      <c r="A4" s="30"/>
      <c r="B4" s="30"/>
      <c r="C4" s="152" t="s">
        <v>52</v>
      </c>
      <c r="D4" s="153" t="s">
        <v>16</v>
      </c>
      <c r="G4" s="152" t="s">
        <v>52</v>
      </c>
      <c r="H4" s="153" t="s">
        <v>16</v>
      </c>
      <c r="L4" s="107" t="s">
        <v>52</v>
      </c>
      <c r="M4" s="108" t="s">
        <v>16</v>
      </c>
      <c r="P4" s="107" t="s">
        <v>52</v>
      </c>
      <c r="Q4" s="108" t="s">
        <v>16</v>
      </c>
      <c r="R4" s="57"/>
      <c r="T4" s="152" t="s">
        <v>52</v>
      </c>
      <c r="U4" s="153" t="s">
        <v>16</v>
      </c>
      <c r="V4" s="137"/>
    </row>
    <row r="5" spans="1:23">
      <c r="A5" s="30"/>
      <c r="B5" s="30"/>
      <c r="C5" s="152" t="s">
        <v>3</v>
      </c>
      <c r="D5" s="153" t="s">
        <v>10</v>
      </c>
      <c r="G5" s="152" t="s">
        <v>3</v>
      </c>
      <c r="H5" s="153" t="s">
        <v>9</v>
      </c>
      <c r="L5" s="107" t="s">
        <v>3</v>
      </c>
      <c r="M5" s="108" t="s">
        <v>441</v>
      </c>
      <c r="P5" s="107" t="s">
        <v>3</v>
      </c>
      <c r="Q5" s="108" t="s">
        <v>367</v>
      </c>
      <c r="R5" s="57"/>
      <c r="T5" s="152" t="s">
        <v>3</v>
      </c>
      <c r="U5" s="153" t="s">
        <v>26</v>
      </c>
      <c r="V5" s="137"/>
    </row>
    <row r="6" spans="1:23">
      <c r="A6" s="30"/>
      <c r="B6" s="30"/>
      <c r="R6" s="57"/>
      <c r="T6" s="137"/>
      <c r="U6" s="137"/>
      <c r="V6" s="137"/>
    </row>
    <row r="7" spans="1:23">
      <c r="A7" s="24" t="s">
        <v>330</v>
      </c>
      <c r="B7" s="24" t="s">
        <v>94</v>
      </c>
      <c r="C7" s="152" t="s">
        <v>2</v>
      </c>
      <c r="D7" s="153" t="s">
        <v>302</v>
      </c>
      <c r="E7" s="153" t="s">
        <v>415</v>
      </c>
      <c r="G7" s="152" t="s">
        <v>2</v>
      </c>
      <c r="H7" s="153" t="s">
        <v>380</v>
      </c>
      <c r="I7" s="153" t="s">
        <v>376</v>
      </c>
      <c r="J7" s="153" t="s">
        <v>381</v>
      </c>
      <c r="L7" s="107" t="s">
        <v>2</v>
      </c>
      <c r="M7" s="108" t="s">
        <v>375</v>
      </c>
      <c r="N7" s="108" t="s">
        <v>415</v>
      </c>
      <c r="P7" s="107" t="s">
        <v>2</v>
      </c>
      <c r="Q7" s="108" t="s">
        <v>302</v>
      </c>
      <c r="R7" s="108" t="s">
        <v>415</v>
      </c>
      <c r="T7" s="152" t="s">
        <v>2</v>
      </c>
      <c r="U7" s="153" t="s">
        <v>625</v>
      </c>
      <c r="V7" s="153" t="s">
        <v>626</v>
      </c>
      <c r="W7" s="153"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7" customWidth="1"/>
    <col min="13" max="13" width="11.42578125" style="137" customWidth="1"/>
    <col min="14" max="14" width="26" style="137" customWidth="1"/>
    <col min="15" max="15" width="20.42578125" style="137" customWidth="1"/>
    <col min="16" max="16" width="19.85546875" style="57" customWidth="1"/>
    <col min="17" max="17" width="9.140625" style="137"/>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3" t="s">
        <v>377</v>
      </c>
      <c r="C1" s="174"/>
      <c r="D1" s="174"/>
      <c r="E1" s="174"/>
      <c r="F1" s="174"/>
      <c r="G1" s="174"/>
      <c r="H1" s="61"/>
      <c r="I1" s="173" t="s">
        <v>365</v>
      </c>
      <c r="J1" s="174"/>
      <c r="K1" s="174"/>
      <c r="L1" s="136"/>
      <c r="M1" s="173" t="s">
        <v>628</v>
      </c>
      <c r="N1" s="174"/>
      <c r="O1" s="174"/>
      <c r="P1" s="174"/>
      <c r="Q1" s="136"/>
      <c r="R1" s="177" t="s">
        <v>488</v>
      </c>
      <c r="S1" s="178"/>
      <c r="T1" s="174"/>
      <c r="U1" s="174"/>
      <c r="V1" s="174"/>
      <c r="W1" s="174"/>
      <c r="X1" s="174"/>
      <c r="Y1" s="174"/>
      <c r="Z1" s="174"/>
      <c r="AA1" s="174"/>
      <c r="AB1" s="174"/>
      <c r="AC1" s="174"/>
    </row>
    <row r="2" spans="1:29">
      <c r="A2" s="31"/>
      <c r="B2" s="152" t="s">
        <v>0</v>
      </c>
      <c r="C2" s="153" t="s">
        <v>16</v>
      </c>
      <c r="D2" s="31"/>
      <c r="E2" s="31"/>
      <c r="F2" s="175" t="s">
        <v>0</v>
      </c>
      <c r="G2" s="176" t="s">
        <v>16</v>
      </c>
      <c r="I2" s="107" t="s">
        <v>0</v>
      </c>
      <c r="J2" s="108" t="s">
        <v>16</v>
      </c>
      <c r="K2" s="61"/>
      <c r="L2" s="136"/>
      <c r="M2" s="152" t="s">
        <v>0</v>
      </c>
      <c r="N2" s="153" t="s">
        <v>16</v>
      </c>
      <c r="R2" s="62"/>
      <c r="S2" s="62"/>
      <c r="T2" s="62"/>
      <c r="U2" s="62"/>
      <c r="V2" s="62"/>
      <c r="W2" s="62"/>
      <c r="X2" s="62"/>
      <c r="Y2" s="62"/>
      <c r="Z2" s="62"/>
      <c r="AA2" s="62"/>
      <c r="AB2" s="62"/>
      <c r="AC2" s="62"/>
    </row>
    <row r="3" spans="1:29">
      <c r="A3" s="31"/>
      <c r="B3" s="152" t="s">
        <v>1</v>
      </c>
      <c r="C3" s="153" t="s">
        <v>16</v>
      </c>
      <c r="D3" s="31"/>
      <c r="E3" s="31"/>
      <c r="F3" s="175" t="s">
        <v>1</v>
      </c>
      <c r="G3" s="176" t="s">
        <v>16</v>
      </c>
      <c r="I3" s="107" t="s">
        <v>1</v>
      </c>
      <c r="J3" s="108" t="s">
        <v>16</v>
      </c>
      <c r="K3" s="61"/>
      <c r="L3" s="136"/>
      <c r="M3" s="152" t="s">
        <v>1</v>
      </c>
      <c r="N3" s="153" t="s">
        <v>16</v>
      </c>
      <c r="O3" s="136"/>
      <c r="P3" s="137"/>
      <c r="R3" s="62"/>
      <c r="S3" s="63"/>
      <c r="T3" s="63"/>
      <c r="U3" s="63"/>
      <c r="V3" s="63"/>
      <c r="W3" s="63"/>
      <c r="X3" s="63"/>
      <c r="Y3" s="63"/>
      <c r="Z3" s="63"/>
      <c r="AA3" s="63"/>
      <c r="AB3" s="63"/>
      <c r="AC3" s="63"/>
    </row>
    <row r="4" spans="1:29">
      <c r="A4" s="31"/>
      <c r="B4" s="152" t="s">
        <v>2</v>
      </c>
      <c r="C4" s="153" t="s">
        <v>16</v>
      </c>
      <c r="F4" s="152" t="s">
        <v>2</v>
      </c>
      <c r="G4" s="153" t="s">
        <v>16</v>
      </c>
      <c r="I4" s="107" t="s">
        <v>2</v>
      </c>
      <c r="J4" s="108" t="s">
        <v>16</v>
      </c>
      <c r="M4" s="152" t="s">
        <v>2</v>
      </c>
      <c r="N4" s="153" t="s">
        <v>16</v>
      </c>
      <c r="P4" s="137"/>
      <c r="R4" s="31"/>
      <c r="S4" s="31"/>
      <c r="X4" s="31"/>
      <c r="Y4" s="31"/>
    </row>
    <row r="5" spans="1:29">
      <c r="A5" s="31"/>
      <c r="B5" s="152" t="s">
        <v>52</v>
      </c>
      <c r="C5" s="153" t="s">
        <v>16</v>
      </c>
      <c r="F5" s="152" t="s">
        <v>52</v>
      </c>
      <c r="G5" s="153" t="s">
        <v>16</v>
      </c>
      <c r="I5" s="107" t="s">
        <v>52</v>
      </c>
      <c r="J5" s="108" t="s">
        <v>16</v>
      </c>
      <c r="M5" s="152" t="s">
        <v>52</v>
      </c>
      <c r="N5" s="153" t="s">
        <v>16</v>
      </c>
      <c r="P5" s="137"/>
      <c r="R5" s="134" t="s">
        <v>0</v>
      </c>
      <c r="S5" s="135" t="s">
        <v>16</v>
      </c>
      <c r="X5" s="134" t="s">
        <v>0</v>
      </c>
      <c r="Y5" s="135" t="s">
        <v>16</v>
      </c>
    </row>
    <row r="6" spans="1:29">
      <c r="A6" s="31"/>
      <c r="B6" s="152" t="s">
        <v>3</v>
      </c>
      <c r="C6" s="153" t="s">
        <v>10</v>
      </c>
      <c r="F6" s="152" t="s">
        <v>3</v>
      </c>
      <c r="G6" s="153" t="s">
        <v>9</v>
      </c>
      <c r="I6" s="107" t="s">
        <v>3</v>
      </c>
      <c r="J6" s="108" t="s">
        <v>367</v>
      </c>
      <c r="M6" s="152" t="s">
        <v>3</v>
      </c>
      <c r="N6" s="153" t="s">
        <v>26</v>
      </c>
      <c r="P6" s="137"/>
      <c r="R6" s="134" t="s">
        <v>3</v>
      </c>
      <c r="S6" s="135" t="s">
        <v>310</v>
      </c>
      <c r="X6" s="134" t="s">
        <v>3</v>
      </c>
      <c r="Y6" s="135" t="s">
        <v>310</v>
      </c>
    </row>
    <row r="7" spans="1:29">
      <c r="A7" s="31"/>
      <c r="P7" s="137"/>
    </row>
    <row r="8" spans="1:29">
      <c r="A8" s="24" t="s">
        <v>122</v>
      </c>
      <c r="B8" s="152" t="s">
        <v>296</v>
      </c>
      <c r="C8" s="153" t="s">
        <v>302</v>
      </c>
      <c r="D8" s="153" t="s">
        <v>415</v>
      </c>
      <c r="F8" s="152" t="s">
        <v>296</v>
      </c>
      <c r="G8" t="s">
        <v>382</v>
      </c>
      <c r="I8" s="107" t="s">
        <v>2</v>
      </c>
      <c r="J8" s="108" t="s">
        <v>302</v>
      </c>
      <c r="K8" s="108" t="s">
        <v>415</v>
      </c>
      <c r="M8" s="152" t="s">
        <v>2</v>
      </c>
      <c r="N8" s="153" t="s">
        <v>629</v>
      </c>
      <c r="O8" s="153" t="s">
        <v>626</v>
      </c>
      <c r="P8" s="153" t="s">
        <v>627</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3" t="s">
        <v>377</v>
      </c>
      <c r="D1" s="174"/>
      <c r="E1" s="174"/>
      <c r="F1" s="174"/>
      <c r="G1" s="174"/>
      <c r="H1" s="174"/>
      <c r="I1" s="174"/>
      <c r="J1" s="174"/>
      <c r="K1" s="61"/>
      <c r="L1" s="173" t="s">
        <v>365</v>
      </c>
      <c r="M1" s="174"/>
      <c r="N1" s="174"/>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2" t="s">
        <v>0</v>
      </c>
      <c r="D2" s="153" t="s">
        <v>16</v>
      </c>
      <c r="E2" s="53"/>
      <c r="F2" s="53"/>
      <c r="G2" s="152" t="s">
        <v>0</v>
      </c>
      <c r="H2" s="15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2" t="s">
        <v>1</v>
      </c>
      <c r="D3" s="153" t="s">
        <v>16</v>
      </c>
      <c r="G3" s="152" t="s">
        <v>1</v>
      </c>
      <c r="H3" s="153" t="s">
        <v>16</v>
      </c>
      <c r="L3" s="107" t="s">
        <v>1</v>
      </c>
      <c r="M3" s="108" t="s">
        <v>16</v>
      </c>
    </row>
    <row r="4" spans="1:40">
      <c r="A4" s="30"/>
      <c r="B4" s="30"/>
      <c r="C4" s="152" t="s">
        <v>52</v>
      </c>
      <c r="D4" s="153" t="s">
        <v>16</v>
      </c>
      <c r="G4" s="152" t="s">
        <v>52</v>
      </c>
      <c r="H4" s="153" t="s">
        <v>16</v>
      </c>
      <c r="L4" s="107" t="s">
        <v>52</v>
      </c>
      <c r="M4" s="108" t="s">
        <v>16</v>
      </c>
    </row>
    <row r="5" spans="1:40">
      <c r="A5" s="30"/>
      <c r="B5" s="30"/>
      <c r="C5" s="152" t="s">
        <v>3</v>
      </c>
      <c r="D5" s="153" t="s">
        <v>12</v>
      </c>
      <c r="G5" s="152" t="s">
        <v>3</v>
      </c>
      <c r="H5" s="153" t="s">
        <v>11</v>
      </c>
      <c r="L5" s="107" t="s">
        <v>3</v>
      </c>
      <c r="M5" s="108" t="s">
        <v>366</v>
      </c>
    </row>
    <row r="6" spans="1:40">
      <c r="A6" s="30"/>
      <c r="B6" s="30"/>
    </row>
    <row r="7" spans="1:40">
      <c r="A7" s="24" t="s">
        <v>330</v>
      </c>
      <c r="B7" s="24" t="s">
        <v>94</v>
      </c>
      <c r="C7" s="152" t="s">
        <v>2</v>
      </c>
      <c r="D7" s="153" t="s">
        <v>302</v>
      </c>
      <c r="E7" s="153" t="s">
        <v>415</v>
      </c>
      <c r="G7" s="152" t="s">
        <v>2</v>
      </c>
      <c r="H7" s="153" t="s">
        <v>378</v>
      </c>
      <c r="I7" s="153" t="s">
        <v>379</v>
      </c>
      <c r="J7" s="15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3">
        <v>2</v>
      </c>
      <c r="K8" s="5"/>
      <c r="L8" s="4" t="s">
        <v>50</v>
      </c>
      <c r="M8" s="9">
        <v>4.4999999999999998E-2</v>
      </c>
      <c r="N8" s="9">
        <v>0</v>
      </c>
      <c r="O8" s="5"/>
    </row>
    <row r="9" spans="1:40">
      <c r="C9" s="4" t="s">
        <v>18</v>
      </c>
      <c r="D9" s="9">
        <v>0.03</v>
      </c>
      <c r="E9" s="9">
        <v>0</v>
      </c>
      <c r="G9" s="4" t="s">
        <v>18</v>
      </c>
      <c r="H9" s="5">
        <v>2</v>
      </c>
      <c r="I9" s="5">
        <v>2</v>
      </c>
      <c r="J9" s="15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3" t="s">
        <v>377</v>
      </c>
      <c r="C1" s="174"/>
      <c r="D1" s="174"/>
      <c r="E1" s="174"/>
      <c r="F1" s="174"/>
      <c r="G1" s="174"/>
      <c r="H1" s="61"/>
      <c r="I1" s="173" t="s">
        <v>365</v>
      </c>
      <c r="J1" s="174"/>
      <c r="K1" s="174"/>
      <c r="L1" s="61"/>
      <c r="M1" s="177" t="s">
        <v>489</v>
      </c>
      <c r="N1" s="178"/>
      <c r="O1" s="174"/>
      <c r="P1" s="174"/>
      <c r="Q1" s="174"/>
      <c r="R1" s="174"/>
      <c r="S1" s="174"/>
      <c r="T1" s="174"/>
      <c r="U1" s="174"/>
      <c r="V1" s="174"/>
    </row>
    <row r="2" spans="1:22" s="31" customFormat="1">
      <c r="B2" s="152" t="s">
        <v>0</v>
      </c>
      <c r="C2" s="153" t="s">
        <v>16</v>
      </c>
      <c r="F2" s="175" t="s">
        <v>0</v>
      </c>
      <c r="G2" s="176" t="s">
        <v>16</v>
      </c>
      <c r="H2" s="57"/>
      <c r="I2" s="107" t="s">
        <v>0</v>
      </c>
      <c r="J2" s="108" t="s">
        <v>16</v>
      </c>
      <c r="L2" s="57"/>
      <c r="M2" s="62"/>
      <c r="N2" s="62"/>
      <c r="O2" s="62"/>
      <c r="P2" s="62"/>
      <c r="Q2" s="62"/>
      <c r="R2" s="62"/>
      <c r="S2" s="62"/>
      <c r="T2" s="62"/>
      <c r="U2" s="62"/>
      <c r="V2" s="62"/>
    </row>
    <row r="3" spans="1:22" s="31" customFormat="1">
      <c r="B3" s="152" t="s">
        <v>1</v>
      </c>
      <c r="C3" s="153" t="s">
        <v>16</v>
      </c>
      <c r="F3" s="175" t="s">
        <v>1</v>
      </c>
      <c r="G3" s="176" t="s">
        <v>16</v>
      </c>
      <c r="H3" s="57"/>
      <c r="I3" s="107" t="s">
        <v>1</v>
      </c>
      <c r="J3" s="108" t="s">
        <v>16</v>
      </c>
      <c r="K3" s="61"/>
      <c r="L3" s="57"/>
      <c r="M3" s="62"/>
      <c r="N3" s="63"/>
      <c r="O3" s="63"/>
      <c r="P3" s="63"/>
      <c r="Q3" s="63"/>
      <c r="R3" s="63"/>
      <c r="S3" s="63"/>
      <c r="T3" s="63"/>
      <c r="U3" s="63"/>
      <c r="V3" s="63"/>
    </row>
    <row r="4" spans="1:22">
      <c r="A4" s="31"/>
      <c r="B4" s="152" t="s">
        <v>2</v>
      </c>
      <c r="C4" s="153" t="s">
        <v>16</v>
      </c>
      <c r="F4" s="152" t="s">
        <v>2</v>
      </c>
      <c r="G4" s="153" t="s">
        <v>16</v>
      </c>
      <c r="I4" s="107" t="s">
        <v>2</v>
      </c>
      <c r="J4" s="108" t="s">
        <v>16</v>
      </c>
      <c r="M4" s="31"/>
      <c r="N4" s="31"/>
    </row>
    <row r="5" spans="1:22">
      <c r="A5" s="31"/>
      <c r="B5" s="152" t="s">
        <v>52</v>
      </c>
      <c r="C5" s="153" t="s">
        <v>16</v>
      </c>
      <c r="F5" s="152" t="s">
        <v>52</v>
      </c>
      <c r="G5" s="153" t="s">
        <v>16</v>
      </c>
      <c r="I5" s="107" t="s">
        <v>52</v>
      </c>
      <c r="J5" s="108" t="s">
        <v>16</v>
      </c>
      <c r="M5" s="134" t="s">
        <v>0</v>
      </c>
      <c r="N5" s="135" t="s">
        <v>16</v>
      </c>
      <c r="S5" s="107" t="s">
        <v>0</v>
      </c>
      <c r="T5" s="108" t="s">
        <v>16</v>
      </c>
    </row>
    <row r="6" spans="1:22">
      <c r="A6" s="31"/>
      <c r="B6" s="152" t="s">
        <v>3</v>
      </c>
      <c r="C6" s="153" t="s">
        <v>12</v>
      </c>
      <c r="F6" s="152" t="s">
        <v>3</v>
      </c>
      <c r="G6" s="153" t="s">
        <v>11</v>
      </c>
      <c r="I6" s="107" t="s">
        <v>3</v>
      </c>
      <c r="J6" s="108" t="s">
        <v>366</v>
      </c>
      <c r="M6" s="134" t="s">
        <v>3</v>
      </c>
      <c r="N6" s="135" t="s">
        <v>310</v>
      </c>
      <c r="S6" s="107" t="s">
        <v>3</v>
      </c>
      <c r="T6" s="108" t="s">
        <v>310</v>
      </c>
    </row>
    <row r="7" spans="1:22">
      <c r="A7" s="31"/>
    </row>
    <row r="8" spans="1:22">
      <c r="A8" s="24" t="s">
        <v>122</v>
      </c>
      <c r="B8" s="152" t="s">
        <v>2</v>
      </c>
      <c r="C8" s="153" t="s">
        <v>302</v>
      </c>
      <c r="D8" s="153" t="s">
        <v>415</v>
      </c>
      <c r="F8" s="15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9" t="s">
        <v>146</v>
      </c>
      <c r="C2" s="180"/>
      <c r="D2" s="180"/>
      <c r="E2" s="180"/>
      <c r="F2" s="180"/>
      <c r="G2" s="180"/>
      <c r="H2" s="180"/>
      <c r="I2" s="180"/>
      <c r="J2" s="180"/>
      <c r="K2" s="180"/>
      <c r="L2" s="173" t="s">
        <v>377</v>
      </c>
      <c r="M2" s="174"/>
      <c r="N2" s="174"/>
      <c r="O2" s="53"/>
    </row>
    <row r="3" spans="1:15">
      <c r="A3" s="30"/>
      <c r="B3" s="54"/>
      <c r="C3" s="55"/>
      <c r="D3" s="55"/>
      <c r="E3" s="55"/>
      <c r="F3" s="55"/>
      <c r="G3" s="55"/>
      <c r="H3" s="55"/>
      <c r="I3" s="55"/>
      <c r="J3" s="55"/>
      <c r="K3" s="55"/>
      <c r="L3" s="152" t="s">
        <v>0</v>
      </c>
      <c r="M3" s="153" t="s">
        <v>16</v>
      </c>
      <c r="N3" s="53"/>
      <c r="O3" s="49"/>
    </row>
    <row r="4" spans="1:15">
      <c r="A4" s="30"/>
      <c r="B4" s="152" t="s">
        <v>0</v>
      </c>
      <c r="C4" s="153" t="s">
        <v>16</v>
      </c>
      <c r="D4" s="33"/>
      <c r="E4" s="33"/>
      <c r="F4" s="152" t="s">
        <v>0</v>
      </c>
      <c r="G4" s="153" t="s">
        <v>16</v>
      </c>
      <c r="I4" s="152" t="s">
        <v>0</v>
      </c>
      <c r="J4" s="153" t="s">
        <v>16</v>
      </c>
      <c r="K4" s="33"/>
      <c r="L4" s="152" t="s">
        <v>1</v>
      </c>
      <c r="M4" s="153" t="s">
        <v>16</v>
      </c>
    </row>
    <row r="5" spans="1:15">
      <c r="A5" s="30"/>
      <c r="B5" s="152" t="s">
        <v>1</v>
      </c>
      <c r="C5" s="153" t="s">
        <v>16</v>
      </c>
      <c r="D5" s="33"/>
      <c r="E5" s="33"/>
      <c r="F5" s="152" t="s">
        <v>1</v>
      </c>
      <c r="G5" s="153" t="s">
        <v>16</v>
      </c>
      <c r="I5" s="152" t="s">
        <v>1</v>
      </c>
      <c r="J5" s="153" t="s">
        <v>16</v>
      </c>
      <c r="K5" s="33"/>
      <c r="L5" s="152" t="s">
        <v>52</v>
      </c>
      <c r="M5" s="153" t="s">
        <v>16</v>
      </c>
    </row>
    <row r="6" spans="1:15">
      <c r="A6" s="30"/>
      <c r="B6" s="152" t="s">
        <v>3</v>
      </c>
      <c r="C6" s="153" t="s">
        <v>113</v>
      </c>
      <c r="D6" s="33"/>
      <c r="E6" s="33"/>
      <c r="F6" s="152" t="s">
        <v>3</v>
      </c>
      <c r="G6" s="153" t="s">
        <v>115</v>
      </c>
      <c r="I6" s="152" t="s">
        <v>3</v>
      </c>
      <c r="J6" s="153" t="s">
        <v>144</v>
      </c>
      <c r="K6" s="33"/>
      <c r="L6" s="152" t="s">
        <v>3</v>
      </c>
      <c r="M6" s="153" t="s">
        <v>15</v>
      </c>
    </row>
    <row r="7" spans="1:15">
      <c r="A7" s="30"/>
    </row>
    <row r="8" spans="1:15">
      <c r="A8" s="24" t="s">
        <v>330</v>
      </c>
      <c r="B8" s="152" t="s">
        <v>2</v>
      </c>
      <c r="C8" s="153" t="s">
        <v>299</v>
      </c>
      <c r="D8" s="153" t="s">
        <v>418</v>
      </c>
      <c r="F8" s="152" t="s">
        <v>2</v>
      </c>
      <c r="G8" t="s">
        <v>298</v>
      </c>
      <c r="I8" s="152" t="s">
        <v>2</v>
      </c>
      <c r="J8" t="s">
        <v>297</v>
      </c>
      <c r="L8" s="152" t="s">
        <v>2</v>
      </c>
      <c r="M8" s="153" t="s">
        <v>300</v>
      </c>
      <c r="N8" s="15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9" t="s">
        <v>146</v>
      </c>
      <c r="C1" s="180"/>
      <c r="D1" s="180"/>
      <c r="E1" s="180"/>
      <c r="F1" s="180"/>
      <c r="G1" s="180"/>
      <c r="H1" s="180"/>
      <c r="I1" s="180"/>
      <c r="J1" s="180"/>
      <c r="K1" s="180"/>
      <c r="L1" s="173" t="s">
        <v>377</v>
      </c>
      <c r="M1" s="174"/>
      <c r="N1" s="174"/>
    </row>
    <row r="2" spans="1:14">
      <c r="A2" s="31"/>
      <c r="B2" s="54"/>
      <c r="C2" s="55"/>
      <c r="D2" s="55"/>
      <c r="E2" s="55"/>
      <c r="F2" s="55"/>
      <c r="G2" s="55"/>
      <c r="H2" s="55"/>
      <c r="I2" s="55"/>
      <c r="J2" s="55"/>
      <c r="K2" s="55"/>
      <c r="L2" s="152" t="s">
        <v>0</v>
      </c>
      <c r="M2" s="153" t="s">
        <v>16</v>
      </c>
      <c r="N2" s="53"/>
    </row>
    <row r="3" spans="1:14">
      <c r="A3" s="31"/>
      <c r="B3" s="152" t="s">
        <v>0</v>
      </c>
      <c r="C3" s="153" t="s">
        <v>16</v>
      </c>
      <c r="F3" s="152" t="s">
        <v>0</v>
      </c>
      <c r="G3" s="153" t="s">
        <v>16</v>
      </c>
      <c r="I3" s="152" t="s">
        <v>0</v>
      </c>
      <c r="J3" s="153" t="s">
        <v>16</v>
      </c>
      <c r="L3" s="152" t="s">
        <v>1</v>
      </c>
      <c r="M3" s="153" t="s">
        <v>16</v>
      </c>
    </row>
    <row r="4" spans="1:14">
      <c r="A4" s="31"/>
      <c r="B4" s="152" t="s">
        <v>1</v>
      </c>
      <c r="C4" s="153" t="s">
        <v>16</v>
      </c>
      <c r="D4" s="33"/>
      <c r="E4" s="33"/>
      <c r="F4" s="152" t="s">
        <v>1</v>
      </c>
      <c r="G4" s="153" t="s">
        <v>16</v>
      </c>
      <c r="I4" s="152" t="s">
        <v>1</v>
      </c>
      <c r="J4" s="153" t="s">
        <v>16</v>
      </c>
      <c r="K4" s="33"/>
      <c r="L4" s="152" t="s">
        <v>2</v>
      </c>
      <c r="M4" s="153" t="s">
        <v>16</v>
      </c>
    </row>
    <row r="5" spans="1:14">
      <c r="A5" s="31"/>
      <c r="B5" s="152" t="s">
        <v>2</v>
      </c>
      <c r="C5" s="153" t="s">
        <v>16</v>
      </c>
      <c r="D5" s="33"/>
      <c r="E5" s="33"/>
      <c r="F5" s="152" t="s">
        <v>2</v>
      </c>
      <c r="G5" s="153" t="s">
        <v>16</v>
      </c>
      <c r="I5" s="152" t="s">
        <v>2</v>
      </c>
      <c r="J5" s="153" t="s">
        <v>16</v>
      </c>
      <c r="K5" s="33"/>
      <c r="L5" s="152" t="s">
        <v>52</v>
      </c>
      <c r="M5" s="153" t="s">
        <v>16</v>
      </c>
    </row>
    <row r="6" spans="1:14">
      <c r="A6" s="31"/>
      <c r="B6" s="152" t="s">
        <v>3</v>
      </c>
      <c r="C6" s="153" t="s">
        <v>113</v>
      </c>
      <c r="D6" s="33"/>
      <c r="E6" s="33"/>
      <c r="F6" s="152" t="s">
        <v>3</v>
      </c>
      <c r="G6" s="153" t="s">
        <v>115</v>
      </c>
      <c r="I6" s="152" t="s">
        <v>3</v>
      </c>
      <c r="J6" s="153" t="s">
        <v>144</v>
      </c>
      <c r="K6" s="33"/>
      <c r="L6" s="152" t="s">
        <v>3</v>
      </c>
      <c r="M6" s="153" t="s">
        <v>15</v>
      </c>
    </row>
    <row r="7" spans="1:14">
      <c r="A7" s="31"/>
    </row>
    <row r="8" spans="1:14">
      <c r="A8" s="24" t="s">
        <v>122</v>
      </c>
      <c r="B8" s="152" t="s">
        <v>296</v>
      </c>
      <c r="C8" s="153" t="s">
        <v>299</v>
      </c>
      <c r="D8" s="153" t="s">
        <v>415</v>
      </c>
      <c r="F8" s="152" t="s">
        <v>296</v>
      </c>
      <c r="G8" t="s">
        <v>298</v>
      </c>
      <c r="I8" s="152" t="s">
        <v>296</v>
      </c>
      <c r="J8" t="s">
        <v>297</v>
      </c>
      <c r="L8" s="152" t="s">
        <v>296</v>
      </c>
      <c r="M8" s="153" t="s">
        <v>300</v>
      </c>
      <c r="N8" s="15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77" t="s">
        <v>308</v>
      </c>
      <c r="C3" s="157"/>
      <c r="D3" s="157"/>
      <c r="E3" s="157"/>
      <c r="F3" s="157"/>
      <c r="G3" s="157"/>
      <c r="H3" s="157"/>
      <c r="I3" s="157"/>
      <c r="J3" s="157"/>
      <c r="K3" s="157"/>
      <c r="M3" s="177" t="s">
        <v>475</v>
      </c>
      <c r="N3" s="174"/>
      <c r="O3" s="174"/>
      <c r="P3" s="174"/>
      <c r="Q3" s="174"/>
      <c r="R3" s="174"/>
      <c r="S3" s="174"/>
    </row>
    <row r="4" spans="1:19">
      <c r="A4" s="31"/>
      <c r="B4" s="177"/>
      <c r="C4" s="157"/>
      <c r="D4" s="157"/>
      <c r="E4" s="157"/>
      <c r="F4" s="157"/>
      <c r="G4" s="157"/>
      <c r="H4" s="157"/>
      <c r="I4" s="157"/>
      <c r="J4" s="157"/>
      <c r="K4" s="157"/>
      <c r="M4" s="96"/>
      <c r="N4" s="152" t="s">
        <v>0</v>
      </c>
      <c r="O4" s="153" t="s">
        <v>16</v>
      </c>
      <c r="P4" s="96"/>
      <c r="Q4" s="152" t="s">
        <v>0</v>
      </c>
      <c r="R4" s="153" t="s">
        <v>16</v>
      </c>
      <c r="S4" s="33"/>
    </row>
    <row r="5" spans="1:19">
      <c r="A5" s="31"/>
      <c r="B5" s="134" t="s">
        <v>0</v>
      </c>
      <c r="C5" s="135" t="s">
        <v>16</v>
      </c>
      <c r="E5" s="134" t="s">
        <v>0</v>
      </c>
      <c r="F5" s="135" t="s">
        <v>16</v>
      </c>
      <c r="I5" s="134" t="s">
        <v>0</v>
      </c>
      <c r="J5" s="135" t="s">
        <v>16</v>
      </c>
      <c r="K5" s="52"/>
      <c r="M5" s="96"/>
      <c r="N5" s="152" t="s">
        <v>1</v>
      </c>
      <c r="O5" s="153" t="s">
        <v>16</v>
      </c>
      <c r="P5" s="96"/>
      <c r="Q5" s="152" t="s">
        <v>1</v>
      </c>
      <c r="R5" s="153" t="s">
        <v>16</v>
      </c>
      <c r="S5" s="33"/>
    </row>
    <row r="6" spans="1:19">
      <c r="A6" s="31"/>
      <c r="B6" s="134" t="s">
        <v>3</v>
      </c>
      <c r="C6" s="135" t="s">
        <v>294</v>
      </c>
      <c r="E6" s="134" t="s">
        <v>3</v>
      </c>
      <c r="F6" s="135" t="s">
        <v>334</v>
      </c>
      <c r="I6" s="134" t="s">
        <v>3</v>
      </c>
      <c r="J6" s="135" t="s">
        <v>335</v>
      </c>
      <c r="K6" s="52"/>
      <c r="M6" s="96"/>
      <c r="N6" s="152" t="s">
        <v>3</v>
      </c>
      <c r="O6" s="153" t="s">
        <v>466</v>
      </c>
      <c r="P6" s="96"/>
      <c r="Q6" s="152" t="s">
        <v>3</v>
      </c>
      <c r="R6" s="15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52" t="s">
        <v>2</v>
      </c>
      <c r="O8" t="s">
        <v>472</v>
      </c>
      <c r="P8" s="96"/>
      <c r="Q8" s="152" t="s">
        <v>2</v>
      </c>
      <c r="R8" s="153" t="s">
        <v>473</v>
      </c>
      <c r="S8" s="15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4" customWidth="1"/>
    <col min="2" max="2" width="22.85546875" style="144" customWidth="1"/>
    <col min="3" max="3" width="14.7109375" style="144" customWidth="1"/>
    <col min="4" max="4" width="22.85546875" style="144" customWidth="1"/>
    <col min="5" max="5" width="26.42578125" style="144" customWidth="1"/>
    <col min="6" max="6" width="18.7109375" style="144" customWidth="1"/>
    <col min="7" max="7" width="14.42578125" style="144" customWidth="1"/>
    <col min="8" max="8" width="18.7109375" style="144" customWidth="1"/>
    <col min="9" max="9" width="27" style="144" customWidth="1"/>
    <col min="10" max="10" width="28" style="144" customWidth="1"/>
    <col min="11" max="11" width="12.5703125" style="144" customWidth="1"/>
    <col min="12" max="12" width="22" style="144" customWidth="1"/>
    <col min="13" max="13" width="23" style="144" customWidth="1"/>
    <col min="14" max="14" width="25.140625" style="144" customWidth="1"/>
    <col min="15" max="15" width="19.42578125" style="144" customWidth="1"/>
    <col min="16" max="16" width="24.5703125" style="144" customWidth="1"/>
    <col min="17" max="17" width="24.5703125" style="144" bestFit="1" customWidth="1"/>
    <col min="18" max="16384" width="9.140625" style="144"/>
  </cols>
  <sheetData>
    <row r="1" spans="1:17" s="45" customFormat="1"/>
    <row r="2" spans="1:17" s="45" customFormat="1"/>
    <row r="3" spans="1:17" s="45" customFormat="1"/>
    <row r="4" spans="1:17">
      <c r="A4" s="45"/>
      <c r="B4" s="181" t="s">
        <v>301</v>
      </c>
      <c r="C4" s="174"/>
      <c r="D4" s="174"/>
      <c r="E4" s="174"/>
      <c r="F4" s="174"/>
      <c r="G4" s="174"/>
      <c r="H4" s="174"/>
      <c r="I4" s="174"/>
      <c r="J4" s="174"/>
      <c r="K4" s="174"/>
      <c r="L4" s="174"/>
      <c r="M4" s="174"/>
      <c r="N4" s="174"/>
      <c r="O4" s="174"/>
      <c r="P4" s="174"/>
    </row>
    <row r="5" spans="1:17">
      <c r="A5" s="45"/>
      <c r="B5" s="146" t="s">
        <v>575</v>
      </c>
      <c r="C5" s="147" t="s">
        <v>16</v>
      </c>
      <c r="D5" s="45"/>
      <c r="E5" s="45"/>
      <c r="F5" s="45"/>
      <c r="G5" s="45"/>
      <c r="H5" s="45"/>
      <c r="I5" s="45"/>
      <c r="J5" s="45"/>
      <c r="K5" s="45"/>
      <c r="L5" s="45"/>
      <c r="M5" s="45"/>
      <c r="N5" s="45"/>
      <c r="O5" s="45"/>
      <c r="P5" s="45"/>
    </row>
    <row r="6" spans="1:17">
      <c r="A6" s="45"/>
      <c r="B6" s="146" t="s">
        <v>0</v>
      </c>
      <c r="C6" s="147" t="s">
        <v>16</v>
      </c>
      <c r="D6" s="143"/>
      <c r="E6" s="143"/>
      <c r="F6" s="143"/>
      <c r="G6" s="143"/>
      <c r="H6" s="145"/>
      <c r="I6" s="143"/>
      <c r="J6" s="143"/>
      <c r="K6" s="143"/>
      <c r="L6" s="143"/>
      <c r="M6" s="145"/>
    </row>
    <row r="7" spans="1:17">
      <c r="A7" s="45"/>
    </row>
    <row r="8" spans="1:17">
      <c r="A8" s="24"/>
      <c r="B8" s="132" t="s">
        <v>646</v>
      </c>
      <c r="C8" s="133" t="s">
        <v>601</v>
      </c>
      <c r="D8" s="133" t="s">
        <v>599</v>
      </c>
      <c r="E8" s="133" t="s">
        <v>600</v>
      </c>
      <c r="F8" s="133" t="s">
        <v>602</v>
      </c>
      <c r="G8" s="147" t="s">
        <v>624</v>
      </c>
      <c r="H8" s="133" t="s">
        <v>603</v>
      </c>
      <c r="I8" s="133" t="s">
        <v>604</v>
      </c>
      <c r="J8" s="133" t="s">
        <v>609</v>
      </c>
      <c r="K8" s="147" t="s">
        <v>652</v>
      </c>
      <c r="L8" s="147" t="s">
        <v>653</v>
      </c>
      <c r="M8" s="147" t="s">
        <v>654</v>
      </c>
      <c r="N8" s="133" t="s">
        <v>605</v>
      </c>
      <c r="O8" s="133" t="s">
        <v>606</v>
      </c>
      <c r="P8" s="133" t="s">
        <v>607</v>
      </c>
      <c r="Q8"/>
    </row>
    <row r="9" spans="1:17">
      <c r="A9" s="29"/>
      <c r="B9" s="4" t="s">
        <v>48</v>
      </c>
      <c r="C9" s="5">
        <v>2</v>
      </c>
      <c r="D9" s="131">
        <v>4.9768518518518521E-4</v>
      </c>
      <c r="E9" s="131">
        <v>3.3564814814814818E-4</v>
      </c>
      <c r="F9" s="147">
        <v>0</v>
      </c>
      <c r="G9" s="5">
        <v>1</v>
      </c>
      <c r="H9" s="5">
        <v>0</v>
      </c>
      <c r="I9" s="5">
        <v>3</v>
      </c>
      <c r="J9" s="5">
        <v>69156</v>
      </c>
      <c r="K9" s="5">
        <v>2</v>
      </c>
      <c r="L9" s="104">
        <v>63.46</v>
      </c>
      <c r="M9" s="5">
        <v>235</v>
      </c>
      <c r="N9" s="5">
        <v>0</v>
      </c>
      <c r="O9" s="5">
        <v>0</v>
      </c>
      <c r="P9" s="5">
        <v>1</v>
      </c>
      <c r="Q9"/>
    </row>
    <row r="10" spans="1:17">
      <c r="B10" s="4" t="s">
        <v>498</v>
      </c>
      <c r="C10" s="5"/>
      <c r="D10" s="131"/>
      <c r="E10" s="131"/>
      <c r="F10" s="147"/>
      <c r="G10" s="5"/>
      <c r="H10" s="5"/>
      <c r="I10" s="5"/>
      <c r="J10" s="5"/>
      <c r="K10" s="5"/>
      <c r="L10" s="104"/>
      <c r="M10" s="5"/>
      <c r="N10" s="5"/>
      <c r="O10" s="5"/>
      <c r="P10" s="5"/>
      <c r="Q10"/>
    </row>
    <row r="11" spans="1:17">
      <c r="B11" s="4" t="s">
        <v>18</v>
      </c>
      <c r="C11" s="5">
        <v>2</v>
      </c>
      <c r="D11" s="131">
        <v>4.9768518518518521E-4</v>
      </c>
      <c r="E11" s="131">
        <v>3.3564814814814818E-4</v>
      </c>
      <c r="F11" s="14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81" t="s">
        <v>528</v>
      </c>
      <c r="C4" s="182"/>
      <c r="D4" s="182"/>
      <c r="E4" s="182"/>
      <c r="F4" s="182"/>
      <c r="G4" s="182"/>
      <c r="H4" s="182"/>
      <c r="I4" s="182"/>
      <c r="J4" s="182"/>
      <c r="K4" s="182"/>
      <c r="M4" s="181" t="s">
        <v>529</v>
      </c>
      <c r="N4" s="182"/>
      <c r="O4" s="182"/>
      <c r="P4" s="182"/>
      <c r="Q4" s="182"/>
      <c r="R4" s="182"/>
      <c r="S4" s="182"/>
      <c r="T4" s="182"/>
      <c r="U4" s="182"/>
      <c r="V4" s="182"/>
      <c r="X4" s="181" t="s">
        <v>301</v>
      </c>
      <c r="Y4" s="182"/>
      <c r="Z4" s="182"/>
      <c r="AA4" s="182"/>
      <c r="AB4" s="182"/>
      <c r="AC4" s="182"/>
      <c r="AD4" s="182"/>
      <c r="AE4" s="182"/>
      <c r="AF4" s="182"/>
      <c r="AG4" s="182"/>
      <c r="AH4" s="157"/>
      <c r="AI4" s="157"/>
      <c r="AJ4" s="157"/>
    </row>
    <row r="5" spans="1:36">
      <c r="A5" s="45"/>
      <c r="B5" s="134" t="s">
        <v>0</v>
      </c>
      <c r="C5" s="135" t="s">
        <v>16</v>
      </c>
      <c r="D5" s="33"/>
      <c r="G5" s="33"/>
      <c r="H5" s="134" t="s">
        <v>0</v>
      </c>
      <c r="I5" s="135" t="s">
        <v>16</v>
      </c>
      <c r="M5" s="134" t="s">
        <v>0</v>
      </c>
      <c r="N5" s="135" t="s">
        <v>16</v>
      </c>
      <c r="O5" s="33"/>
      <c r="R5" s="33"/>
      <c r="S5" s="134" t="s">
        <v>0</v>
      </c>
      <c r="T5" s="135" t="s">
        <v>16</v>
      </c>
      <c r="X5" s="146" t="s">
        <v>575</v>
      </c>
      <c r="Y5" s="14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46" t="s">
        <v>0</v>
      </c>
      <c r="Y6" s="14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47" t="s">
        <v>624</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0</v>
      </c>
      <c r="AI9" s="5">
        <v>0</v>
      </c>
      <c r="AJ9" s="5">
        <v>1</v>
      </c>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47"/>
      <c r="AC10" s="5"/>
      <c r="AD10" s="5"/>
      <c r="AE10" s="5"/>
      <c r="AF10" s="5"/>
      <c r="AG10" s="5"/>
      <c r="AH10" s="5"/>
      <c r="AI10" s="5"/>
      <c r="AJ10" s="5"/>
    </row>
    <row r="11" spans="1:36">
      <c r="X11" s="4" t="s">
        <v>18</v>
      </c>
      <c r="Y11" s="5">
        <v>2</v>
      </c>
      <c r="Z11" s="131">
        <v>4.9768518518518521E-4</v>
      </c>
      <c r="AA11" s="131">
        <v>3.3564814814814818E-4</v>
      </c>
      <c r="AB11" s="14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3" t="s">
        <v>147</v>
      </c>
      <c r="C2" s="180"/>
      <c r="D2" s="180"/>
      <c r="E2" s="180"/>
      <c r="F2" s="180"/>
      <c r="G2" s="180"/>
      <c r="H2" s="180"/>
      <c r="I2" s="184"/>
      <c r="J2" s="86"/>
      <c r="K2" s="173" t="s">
        <v>365</v>
      </c>
      <c r="L2" s="157"/>
      <c r="M2" s="57"/>
      <c r="N2" s="173" t="s">
        <v>377</v>
      </c>
      <c r="O2" s="157"/>
      <c r="P2" s="157"/>
      <c r="Q2" s="157"/>
      <c r="R2" s="157"/>
      <c r="S2" s="157"/>
      <c r="T2" s="157"/>
      <c r="U2" s="157"/>
      <c r="V2" s="157"/>
      <c r="W2" s="157"/>
      <c r="X2" s="157"/>
      <c r="Y2" s="157"/>
    </row>
    <row r="3" spans="1:26" s="31" customFormat="1">
      <c r="A3" s="30"/>
      <c r="B3" s="152" t="s">
        <v>150</v>
      </c>
      <c r="C3" s="153" t="s">
        <v>16</v>
      </c>
      <c r="D3" s="55"/>
      <c r="E3" s="152" t="s">
        <v>150</v>
      </c>
      <c r="F3" s="153" t="s">
        <v>16</v>
      </c>
      <c r="G3" s="55"/>
      <c r="H3" s="152" t="s">
        <v>150</v>
      </c>
      <c r="I3" s="153" t="s">
        <v>16</v>
      </c>
      <c r="J3" s="86"/>
      <c r="K3" s="111" t="s">
        <v>150</v>
      </c>
      <c r="L3" s="112" t="s">
        <v>365</v>
      </c>
      <c r="M3" s="57"/>
      <c r="N3" s="152" t="s">
        <v>0</v>
      </c>
      <c r="O3" s="153" t="s">
        <v>16</v>
      </c>
      <c r="R3" s="152" t="s">
        <v>0</v>
      </c>
      <c r="S3" s="153" t="s">
        <v>16</v>
      </c>
      <c r="T3" s="34"/>
      <c r="V3" s="152" t="s">
        <v>0</v>
      </c>
      <c r="W3" s="153" t="s">
        <v>16</v>
      </c>
    </row>
    <row r="4" spans="1:26">
      <c r="A4" s="30"/>
      <c r="B4" s="152" t="s">
        <v>0</v>
      </c>
      <c r="C4" s="153" t="s">
        <v>16</v>
      </c>
      <c r="D4" s="33"/>
      <c r="E4" s="152" t="s">
        <v>0</v>
      </c>
      <c r="F4" s="153" t="s">
        <v>16</v>
      </c>
      <c r="G4" s="33"/>
      <c r="H4" s="152" t="s">
        <v>0</v>
      </c>
      <c r="I4" s="153" t="s">
        <v>16</v>
      </c>
      <c r="K4" s="111" t="s">
        <v>0</v>
      </c>
      <c r="L4" s="112" t="s">
        <v>16</v>
      </c>
      <c r="N4" s="152" t="s">
        <v>1</v>
      </c>
      <c r="O4" s="153" t="s">
        <v>16</v>
      </c>
      <c r="Q4" s="8"/>
      <c r="R4" s="152" t="s">
        <v>1</v>
      </c>
      <c r="S4" s="153" t="s">
        <v>16</v>
      </c>
      <c r="T4"/>
      <c r="V4" s="152" t="s">
        <v>1</v>
      </c>
      <c r="W4" s="153" t="s">
        <v>16</v>
      </c>
      <c r="Z4" s="8"/>
    </row>
    <row r="5" spans="1:26">
      <c r="A5" s="30"/>
      <c r="B5" s="152" t="s">
        <v>1</v>
      </c>
      <c r="C5" s="153" t="s">
        <v>16</v>
      </c>
      <c r="D5" s="33"/>
      <c r="E5" s="152" t="s">
        <v>1</v>
      </c>
      <c r="F5" s="153" t="s">
        <v>16</v>
      </c>
      <c r="G5" s="33"/>
      <c r="H5" s="152" t="s">
        <v>1</v>
      </c>
      <c r="I5" s="153" t="s">
        <v>16</v>
      </c>
      <c r="K5" s="111" t="s">
        <v>1</v>
      </c>
      <c r="L5" s="112" t="s">
        <v>16</v>
      </c>
      <c r="N5" s="152" t="s">
        <v>52</v>
      </c>
      <c r="O5" s="153" t="s">
        <v>16</v>
      </c>
      <c r="Q5" s="8"/>
      <c r="R5" s="152" t="s">
        <v>52</v>
      </c>
      <c r="S5" s="153" t="s">
        <v>16</v>
      </c>
      <c r="T5"/>
      <c r="V5" s="152" t="s">
        <v>52</v>
      </c>
      <c r="W5" s="153" t="s">
        <v>16</v>
      </c>
      <c r="Z5" s="8"/>
    </row>
    <row r="6" spans="1:26">
      <c r="A6" s="30"/>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26">
      <c r="A7" s="30"/>
      <c r="Q7" s="8"/>
      <c r="T7"/>
      <c r="Z7" s="8"/>
    </row>
    <row r="8" spans="1:26" ht="30">
      <c r="A8" s="24" t="s">
        <v>330</v>
      </c>
      <c r="B8" s="152" t="s">
        <v>2</v>
      </c>
      <c r="C8" t="s">
        <v>439</v>
      </c>
      <c r="E8" s="152" t="s">
        <v>2</v>
      </c>
      <c r="F8" s="32" t="s">
        <v>388</v>
      </c>
      <c r="H8" s="152" t="s">
        <v>2</v>
      </c>
      <c r="I8" s="32" t="s">
        <v>440</v>
      </c>
      <c r="J8" s="32"/>
      <c r="K8" s="111" t="s">
        <v>2</v>
      </c>
      <c r="L8" t="s">
        <v>439</v>
      </c>
      <c r="N8" s="152" t="s">
        <v>2</v>
      </c>
      <c r="O8" s="32" t="s">
        <v>385</v>
      </c>
      <c r="P8" s="32" t="s">
        <v>415</v>
      </c>
      <c r="Q8" s="8"/>
      <c r="R8" s="152" t="s">
        <v>2</v>
      </c>
      <c r="S8" s="32" t="s">
        <v>386</v>
      </c>
      <c r="T8" s="32" t="s">
        <v>419</v>
      </c>
      <c r="V8" s="152" t="s">
        <v>2</v>
      </c>
      <c r="W8" s="15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3" t="s">
        <v>387</v>
      </c>
      <c r="C1" s="180"/>
      <c r="D1" s="180"/>
      <c r="E1" s="180"/>
      <c r="F1" s="180"/>
      <c r="G1" s="180"/>
      <c r="H1" s="180"/>
      <c r="I1" s="184"/>
      <c r="J1" s="86"/>
      <c r="K1" s="173" t="s">
        <v>365</v>
      </c>
      <c r="L1" s="174"/>
      <c r="M1" s="86"/>
      <c r="N1" s="185" t="s">
        <v>377</v>
      </c>
      <c r="O1" s="174"/>
      <c r="P1" s="174"/>
      <c r="Q1" s="174"/>
      <c r="R1" s="174"/>
      <c r="S1" s="174"/>
      <c r="T1" s="174"/>
      <c r="U1" s="174"/>
      <c r="V1" s="174"/>
      <c r="W1" s="174"/>
      <c r="X1" s="174"/>
      <c r="Y1" s="174"/>
    </row>
    <row r="2" spans="1:36">
      <c r="A2" s="31"/>
      <c r="B2" s="152" t="s">
        <v>150</v>
      </c>
      <c r="C2" s="153" t="s">
        <v>16</v>
      </c>
      <c r="D2" s="55"/>
      <c r="E2" s="152" t="s">
        <v>150</v>
      </c>
      <c r="F2" s="153" t="s">
        <v>16</v>
      </c>
      <c r="G2" s="55"/>
      <c r="H2" s="152" t="s">
        <v>150</v>
      </c>
      <c r="I2" s="153" t="s">
        <v>16</v>
      </c>
      <c r="K2" s="111" t="s">
        <v>150</v>
      </c>
      <c r="L2" s="112" t="s">
        <v>365</v>
      </c>
      <c r="M2" s="86"/>
      <c r="N2" s="152" t="s">
        <v>0</v>
      </c>
      <c r="O2" s="153" t="s">
        <v>16</v>
      </c>
      <c r="P2" s="31"/>
      <c r="Q2" s="31"/>
      <c r="R2" s="152" t="s">
        <v>0</v>
      </c>
      <c r="S2" s="153" t="s">
        <v>16</v>
      </c>
      <c r="T2" s="31"/>
      <c r="U2" s="31"/>
      <c r="V2" s="152" t="s">
        <v>0</v>
      </c>
      <c r="W2" s="153" t="s">
        <v>16</v>
      </c>
      <c r="X2" s="86"/>
      <c r="Y2" s="86"/>
      <c r="Z2" s="86"/>
      <c r="AA2" s="86"/>
      <c r="AB2" s="86"/>
      <c r="AC2" s="86"/>
      <c r="AD2" s="86"/>
      <c r="AE2" s="86"/>
      <c r="AF2" s="86"/>
      <c r="AG2" s="86"/>
      <c r="AH2" s="86"/>
      <c r="AI2" s="86"/>
      <c r="AJ2" s="86"/>
    </row>
    <row r="3" spans="1:36" s="31" customFormat="1">
      <c r="B3" s="152" t="s">
        <v>0</v>
      </c>
      <c r="C3" s="153" t="s">
        <v>16</v>
      </c>
      <c r="E3" s="152" t="s">
        <v>0</v>
      </c>
      <c r="F3" s="153" t="s">
        <v>16</v>
      </c>
      <c r="H3" s="152" t="s">
        <v>0</v>
      </c>
      <c r="I3" s="153" t="s">
        <v>16</v>
      </c>
      <c r="J3" s="86"/>
      <c r="K3" s="111" t="s">
        <v>0</v>
      </c>
      <c r="L3" s="112" t="s">
        <v>16</v>
      </c>
      <c r="M3" s="86"/>
      <c r="N3" s="152" t="s">
        <v>1</v>
      </c>
      <c r="O3" s="153" t="s">
        <v>16</v>
      </c>
      <c r="R3" s="152" t="s">
        <v>1</v>
      </c>
      <c r="S3" s="153" t="s">
        <v>16</v>
      </c>
      <c r="T3" s="34"/>
      <c r="V3" s="152" t="s">
        <v>1</v>
      </c>
      <c r="W3" s="153" t="s">
        <v>16</v>
      </c>
      <c r="X3" s="86"/>
      <c r="Y3" s="86"/>
      <c r="Z3" s="86"/>
      <c r="AA3" s="86"/>
      <c r="AB3" s="86"/>
      <c r="AC3" s="86"/>
      <c r="AD3" s="86"/>
      <c r="AE3" s="86"/>
      <c r="AF3" s="86"/>
      <c r="AG3" s="86"/>
      <c r="AH3" s="86"/>
      <c r="AI3" s="86"/>
      <c r="AJ3" s="86"/>
    </row>
    <row r="4" spans="1:36">
      <c r="A4" s="31"/>
      <c r="B4" s="152" t="s">
        <v>1</v>
      </c>
      <c r="C4" s="153" t="s">
        <v>16</v>
      </c>
      <c r="D4" s="33"/>
      <c r="E4" s="152" t="s">
        <v>1</v>
      </c>
      <c r="F4" s="153" t="s">
        <v>16</v>
      </c>
      <c r="G4" s="33"/>
      <c r="H4" s="152" t="s">
        <v>1</v>
      </c>
      <c r="I4" s="153" t="s">
        <v>16</v>
      </c>
      <c r="K4" s="111" t="s">
        <v>1</v>
      </c>
      <c r="L4" s="112" t="s">
        <v>16</v>
      </c>
      <c r="N4" s="152" t="s">
        <v>2</v>
      </c>
      <c r="O4" s="153" t="s">
        <v>16</v>
      </c>
      <c r="Q4" s="8"/>
      <c r="R4" s="152" t="s">
        <v>2</v>
      </c>
      <c r="S4" s="153" t="s">
        <v>16</v>
      </c>
      <c r="T4"/>
      <c r="V4" s="152" t="s">
        <v>2</v>
      </c>
      <c r="W4" s="153" t="s">
        <v>16</v>
      </c>
      <c r="X4" s="86"/>
      <c r="Z4" s="86"/>
      <c r="AA4" s="86"/>
      <c r="AB4" s="86"/>
      <c r="AC4" s="86"/>
      <c r="AD4" s="86"/>
      <c r="AE4" s="86"/>
      <c r="AF4" s="86"/>
      <c r="AG4" s="86"/>
      <c r="AH4" s="86"/>
      <c r="AI4" s="86"/>
      <c r="AJ4" s="86"/>
    </row>
    <row r="5" spans="1:36">
      <c r="A5" s="31"/>
      <c r="B5" s="152" t="s">
        <v>2</v>
      </c>
      <c r="C5" s="153" t="s">
        <v>16</v>
      </c>
      <c r="D5" s="33"/>
      <c r="E5" s="152" t="s">
        <v>2</v>
      </c>
      <c r="F5" s="153" t="s">
        <v>16</v>
      </c>
      <c r="G5" s="33"/>
      <c r="H5" s="152" t="s">
        <v>2</v>
      </c>
      <c r="I5" s="153" t="s">
        <v>16</v>
      </c>
      <c r="K5" s="111" t="s">
        <v>2</v>
      </c>
      <c r="L5" s="112" t="s">
        <v>16</v>
      </c>
      <c r="N5" s="152" t="s">
        <v>52</v>
      </c>
      <c r="O5" s="153" t="s">
        <v>16</v>
      </c>
      <c r="Q5" s="8"/>
      <c r="R5" s="152" t="s">
        <v>52</v>
      </c>
      <c r="S5" s="153" t="s">
        <v>16</v>
      </c>
      <c r="T5"/>
      <c r="V5" s="152" t="s">
        <v>52</v>
      </c>
      <c r="W5" s="153" t="s">
        <v>16</v>
      </c>
      <c r="Z5" s="8"/>
    </row>
    <row r="6" spans="1:36">
      <c r="A6" s="31"/>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36">
      <c r="A7" s="31"/>
      <c r="Q7" s="8"/>
      <c r="T7"/>
      <c r="Z7" s="8"/>
    </row>
    <row r="8" spans="1:36" ht="30">
      <c r="A8" s="24" t="s">
        <v>122</v>
      </c>
      <c r="B8" s="152" t="s">
        <v>2</v>
      </c>
      <c r="C8" t="s">
        <v>385</v>
      </c>
      <c r="E8" s="152" t="s">
        <v>2</v>
      </c>
      <c r="F8" s="32" t="s">
        <v>388</v>
      </c>
      <c r="H8" s="152" t="s">
        <v>2</v>
      </c>
      <c r="I8" s="32" t="s">
        <v>386</v>
      </c>
      <c r="J8" s="32"/>
      <c r="K8" s="111" t="s">
        <v>2</v>
      </c>
      <c r="L8" t="s">
        <v>385</v>
      </c>
      <c r="N8" s="152" t="s">
        <v>2</v>
      </c>
      <c r="O8" s="32" t="s">
        <v>385</v>
      </c>
      <c r="P8" s="32" t="s">
        <v>386</v>
      </c>
      <c r="Q8" s="8"/>
      <c r="R8" s="152" t="s">
        <v>2</v>
      </c>
      <c r="S8" s="32" t="s">
        <v>386</v>
      </c>
      <c r="T8" s="32" t="s">
        <v>419</v>
      </c>
      <c r="V8" s="152" t="s">
        <v>2</v>
      </c>
      <c r="W8" s="15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9" t="s">
        <v>490</v>
      </c>
      <c r="C4" s="174"/>
      <c r="D4" s="174"/>
      <c r="E4" s="174"/>
      <c r="F4" s="174"/>
      <c r="G4" s="174"/>
      <c r="H4" s="174"/>
      <c r="I4" s="174"/>
      <c r="J4" s="174"/>
      <c r="K4" s="174"/>
      <c r="L4" s="174"/>
      <c r="M4" s="174"/>
      <c r="N4" s="174"/>
      <c r="O4" s="174"/>
      <c r="P4" s="174"/>
      <c r="Q4" s="174"/>
      <c r="R4" s="174"/>
      <c r="S4" s="174"/>
      <c r="T4" s="174"/>
      <c r="U4" s="174"/>
      <c r="V4" s="174"/>
      <c r="W4" s="174"/>
      <c r="X4" s="174"/>
      <c r="Y4" s="174"/>
      <c r="Z4" s="174"/>
      <c r="AA4" s="37"/>
      <c r="AB4" s="37"/>
    </row>
    <row r="5" spans="1:28">
      <c r="A5" s="45"/>
      <c r="B5" s="134" t="s">
        <v>0</v>
      </c>
      <c r="C5" s="135" t="s">
        <v>16</v>
      </c>
      <c r="D5" s="33"/>
      <c r="E5" s="134" t="s">
        <v>0</v>
      </c>
      <c r="F5" s="135" t="s">
        <v>16</v>
      </c>
      <c r="G5" s="33"/>
      <c r="H5" s="134" t="s">
        <v>0</v>
      </c>
      <c r="I5" s="135" t="s">
        <v>16</v>
      </c>
      <c r="K5" s="134" t="s">
        <v>0</v>
      </c>
      <c r="L5" s="135" t="s">
        <v>16</v>
      </c>
      <c r="M5" s="186" t="s">
        <v>552</v>
      </c>
      <c r="N5" s="157"/>
      <c r="S5" s="134" t="s">
        <v>0</v>
      </c>
      <c r="T5" s="135" t="s">
        <v>16</v>
      </c>
      <c r="U5" s="186" t="s">
        <v>553</v>
      </c>
      <c r="V5" s="157"/>
      <c r="W5" s="157"/>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9" t="s">
        <v>301</v>
      </c>
      <c r="C4" s="174"/>
      <c r="D4" s="174"/>
      <c r="E4" s="174"/>
      <c r="F4" s="174"/>
      <c r="G4" s="174"/>
      <c r="H4" s="174"/>
      <c r="I4" s="174"/>
      <c r="J4" s="174"/>
      <c r="K4" s="174"/>
      <c r="L4" s="174"/>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3" customWidth="1"/>
    <col min="2" max="2" width="32.85546875" style="153" customWidth="1"/>
    <col min="3" max="3" width="11.42578125" style="153" customWidth="1"/>
    <col min="4" max="4" width="29.140625" style="153" customWidth="1"/>
    <col min="5" max="5" width="9.140625" style="153"/>
    <col min="6" max="6" width="11.42578125" style="153" customWidth="1"/>
    <col min="7" max="7" width="37.5703125" style="153" customWidth="1"/>
    <col min="8" max="8" width="9.140625" style="153"/>
    <col min="9" max="9" width="11.42578125" style="153" customWidth="1"/>
    <col min="10" max="10" width="37.28515625" style="153" customWidth="1"/>
    <col min="11" max="11" width="9.140625" style="153"/>
    <col min="12" max="12" width="11.42578125" style="153" customWidth="1"/>
    <col min="13" max="13" width="30" style="153"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4.42578125" style="153" customWidth="1"/>
    <col min="30" max="16384" width="9.140625" style="153"/>
  </cols>
  <sheetData>
    <row r="1" spans="1:29" s="31" customFormat="1"/>
    <row r="2" spans="1:29" s="31" customFormat="1">
      <c r="C2" s="179" t="s">
        <v>301</v>
      </c>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row>
    <row r="3" spans="1:29">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c r="V3" s="152" t="s">
        <v>0</v>
      </c>
      <c r="W3" s="153" t="s">
        <v>16</v>
      </c>
      <c r="Y3" s="152" t="s">
        <v>0</v>
      </c>
      <c r="Z3" s="153" t="s">
        <v>16</v>
      </c>
      <c r="AB3" s="152" t="s">
        <v>0</v>
      </c>
      <c r="AC3" s="153" t="s">
        <v>16</v>
      </c>
    </row>
    <row r="4" spans="1:29">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c r="V4" s="152" t="s">
        <v>1</v>
      </c>
      <c r="W4" s="153" t="s">
        <v>16</v>
      </c>
      <c r="Y4" s="152" t="s">
        <v>1</v>
      </c>
      <c r="Z4" s="153" t="s">
        <v>16</v>
      </c>
      <c r="AB4" s="152" t="s">
        <v>1</v>
      </c>
      <c r="AC4" s="153" t="s">
        <v>16</v>
      </c>
    </row>
    <row r="5" spans="1:29">
      <c r="A5" s="30"/>
      <c r="B5" s="30"/>
      <c r="C5" s="152" t="s">
        <v>3</v>
      </c>
      <c r="D5" s="153" t="s">
        <v>658</v>
      </c>
      <c r="F5" s="152" t="s">
        <v>3</v>
      </c>
      <c r="G5" s="153" t="s">
        <v>659</v>
      </c>
      <c r="I5" s="152" t="s">
        <v>3</v>
      </c>
      <c r="J5" s="153" t="s">
        <v>661</v>
      </c>
      <c r="L5" s="152" t="s">
        <v>3</v>
      </c>
      <c r="M5" s="153" t="s">
        <v>660</v>
      </c>
      <c r="O5" s="152" t="s">
        <v>3</v>
      </c>
      <c r="P5" s="153" t="s">
        <v>655</v>
      </c>
      <c r="S5" s="152" t="s">
        <v>3</v>
      </c>
      <c r="T5" s="153" t="s">
        <v>656</v>
      </c>
      <c r="V5" s="152" t="s">
        <v>3</v>
      </c>
      <c r="W5" s="153" t="s">
        <v>666</v>
      </c>
      <c r="Y5" s="152" t="s">
        <v>3</v>
      </c>
      <c r="Z5" s="153" t="s">
        <v>663</v>
      </c>
      <c r="AB5" s="152" t="s">
        <v>3</v>
      </c>
      <c r="AC5" s="153" t="s">
        <v>665</v>
      </c>
    </row>
    <row r="6" spans="1:29">
      <c r="A6" s="30"/>
      <c r="B6" s="30"/>
    </row>
    <row r="7" spans="1:29">
      <c r="A7" s="24" t="s">
        <v>330</v>
      </c>
      <c r="B7" s="24" t="s">
        <v>94</v>
      </c>
      <c r="C7" s="152" t="s">
        <v>2</v>
      </c>
      <c r="D7" t="s">
        <v>295</v>
      </c>
      <c r="F7" s="152" t="s">
        <v>2</v>
      </c>
      <c r="G7" s="104" t="s">
        <v>668</v>
      </c>
      <c r="I7" s="152" t="s">
        <v>2</v>
      </c>
      <c r="J7" s="104" t="s">
        <v>669</v>
      </c>
      <c r="L7" s="152" t="s">
        <v>2</v>
      </c>
      <c r="M7" t="s">
        <v>307</v>
      </c>
      <c r="O7" s="152" t="s">
        <v>2</v>
      </c>
      <c r="P7" s="153" t="s">
        <v>341</v>
      </c>
      <c r="Q7" s="153" t="s">
        <v>415</v>
      </c>
      <c r="S7" s="152" t="s">
        <v>17</v>
      </c>
      <c r="T7" t="s">
        <v>303</v>
      </c>
      <c r="V7" s="152" t="s">
        <v>17</v>
      </c>
      <c r="W7" t="s">
        <v>670</v>
      </c>
      <c r="Y7" s="152" t="s">
        <v>17</v>
      </c>
      <c r="Z7" t="s">
        <v>671</v>
      </c>
      <c r="AB7" s="152"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11"/>
  <sheetViews>
    <sheetView workbookViewId="0">
      <selection activeCell="A2" sqref="A2"/>
    </sheetView>
  </sheetViews>
  <sheetFormatPr defaultRowHeight="15"/>
  <cols>
    <col min="1" max="1" width="10.7109375" style="153" customWidth="1"/>
    <col min="2" max="2" width="11.42578125" style="153" customWidth="1"/>
    <col min="3" max="3" width="29.140625" style="153" customWidth="1"/>
    <col min="4" max="4" width="9.140625" style="153"/>
    <col min="5" max="5" width="11.42578125" style="153" customWidth="1"/>
    <col min="6" max="6" width="37.5703125" style="153" customWidth="1"/>
    <col min="7" max="7" width="9.140625" style="153"/>
    <col min="8" max="8" width="11.42578125" style="153" customWidth="1"/>
    <col min="9" max="9" width="37.28515625" style="153" customWidth="1"/>
    <col min="10" max="10" width="9.140625" style="153"/>
    <col min="11" max="11" width="11.42578125" style="153" customWidth="1"/>
    <col min="12" max="12" width="30" style="153" customWidth="1"/>
    <col min="13" max="13" width="12.5703125" style="155"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0.7109375" style="153" customWidth="1"/>
    <col min="30" max="30" width="24.85546875" style="153" bestFit="1" customWidth="1"/>
    <col min="31" max="16384" width="9.140625" style="153"/>
  </cols>
  <sheetData>
    <row r="1" spans="1:30" s="31" customFormat="1"/>
    <row r="2" spans="1:30" s="31" customFormat="1">
      <c r="B2" s="179" t="s">
        <v>301</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row>
    <row r="3" spans="1:30" s="31" customFormat="1">
      <c r="B3" s="152" t="s">
        <v>0</v>
      </c>
      <c r="C3" s="153" t="s">
        <v>16</v>
      </c>
      <c r="D3" s="151"/>
      <c r="E3" s="152" t="s">
        <v>0</v>
      </c>
      <c r="F3" s="153" t="s">
        <v>16</v>
      </c>
      <c r="G3" s="151"/>
      <c r="H3" s="152" t="s">
        <v>0</v>
      </c>
      <c r="I3" s="153" t="s">
        <v>16</v>
      </c>
      <c r="J3" s="151"/>
      <c r="K3" s="154" t="s">
        <v>0</v>
      </c>
      <c r="L3" s="155" t="s">
        <v>16</v>
      </c>
      <c r="M3" s="155"/>
      <c r="N3" s="151"/>
      <c r="O3" s="152" t="s">
        <v>0</v>
      </c>
      <c r="P3" s="153" t="s">
        <v>16</v>
      </c>
      <c r="Q3" s="151"/>
      <c r="R3" s="151"/>
      <c r="S3" s="152" t="s">
        <v>0</v>
      </c>
      <c r="T3" s="153" t="s">
        <v>16</v>
      </c>
      <c r="U3" s="151"/>
      <c r="V3" s="152" t="s">
        <v>0</v>
      </c>
      <c r="W3" s="153" t="s">
        <v>16</v>
      </c>
      <c r="X3" s="151"/>
      <c r="Y3" s="152" t="s">
        <v>0</v>
      </c>
      <c r="Z3" s="153" t="s">
        <v>16</v>
      </c>
      <c r="AA3" s="151"/>
      <c r="AB3" s="154" t="s">
        <v>0</v>
      </c>
      <c r="AC3" s="155" t="s">
        <v>16</v>
      </c>
    </row>
    <row r="4" spans="1:30">
      <c r="A4" s="30"/>
      <c r="B4" s="152" t="s">
        <v>1</v>
      </c>
      <c r="C4" s="153" t="s">
        <v>16</v>
      </c>
      <c r="E4" s="152" t="s">
        <v>1</v>
      </c>
      <c r="F4" s="153" t="s">
        <v>16</v>
      </c>
      <c r="H4" s="152" t="s">
        <v>1</v>
      </c>
      <c r="I4" s="153" t="s">
        <v>16</v>
      </c>
      <c r="K4" s="154" t="s">
        <v>1</v>
      </c>
      <c r="L4" s="155" t="s">
        <v>16</v>
      </c>
      <c r="O4" s="152" t="s">
        <v>1</v>
      </c>
      <c r="P4" s="153" t="s">
        <v>16</v>
      </c>
      <c r="Q4" s="33"/>
      <c r="R4" s="33"/>
      <c r="S4" s="152" t="s">
        <v>1</v>
      </c>
      <c r="T4" s="153" t="s">
        <v>16</v>
      </c>
      <c r="U4" s="33"/>
      <c r="V4" s="152" t="s">
        <v>1</v>
      </c>
      <c r="W4" s="153" t="s">
        <v>16</v>
      </c>
      <c r="Y4" s="152" t="s">
        <v>1</v>
      </c>
      <c r="Z4" s="153" t="s">
        <v>16</v>
      </c>
      <c r="AB4" s="154" t="s">
        <v>1</v>
      </c>
      <c r="AC4" s="155" t="s">
        <v>16</v>
      </c>
    </row>
    <row r="5" spans="1:30">
      <c r="A5" s="30"/>
      <c r="B5" s="152" t="s">
        <v>2</v>
      </c>
      <c r="C5" s="153" t="s">
        <v>16</v>
      </c>
      <c r="E5" s="152" t="s">
        <v>2</v>
      </c>
      <c r="F5" s="153" t="s">
        <v>16</v>
      </c>
      <c r="H5" s="152" t="s">
        <v>2</v>
      </c>
      <c r="I5" s="153" t="s">
        <v>16</v>
      </c>
      <c r="K5" s="154" t="s">
        <v>2</v>
      </c>
      <c r="L5" s="155" t="s">
        <v>16</v>
      </c>
      <c r="O5" s="152" t="s">
        <v>2</v>
      </c>
      <c r="P5" s="153" t="s">
        <v>16</v>
      </c>
      <c r="Q5" s="33"/>
      <c r="R5" s="33"/>
      <c r="S5" s="152" t="s">
        <v>2</v>
      </c>
      <c r="T5" s="153" t="s">
        <v>16</v>
      </c>
      <c r="U5" s="33"/>
      <c r="V5" s="152" t="s">
        <v>2</v>
      </c>
      <c r="W5" s="153" t="s">
        <v>16</v>
      </c>
      <c r="Y5" s="152" t="s">
        <v>2</v>
      </c>
      <c r="Z5" s="153" t="s">
        <v>16</v>
      </c>
      <c r="AB5" s="154" t="s">
        <v>2</v>
      </c>
      <c r="AC5" s="155" t="s">
        <v>16</v>
      </c>
    </row>
    <row r="6" spans="1:30">
      <c r="A6" s="30"/>
      <c r="B6" s="152" t="s">
        <v>3</v>
      </c>
      <c r="C6" s="153" t="s">
        <v>658</v>
      </c>
      <c r="E6" s="152" t="s">
        <v>3</v>
      </c>
      <c r="F6" s="153" t="s">
        <v>659</v>
      </c>
      <c r="H6" s="152" t="s">
        <v>3</v>
      </c>
      <c r="I6" s="153" t="s">
        <v>153</v>
      </c>
      <c r="K6" s="154" t="s">
        <v>3</v>
      </c>
      <c r="L6" s="155" t="s">
        <v>660</v>
      </c>
      <c r="O6" s="152" t="s">
        <v>3</v>
      </c>
      <c r="P6" s="153" t="s">
        <v>655</v>
      </c>
      <c r="S6" s="152" t="s">
        <v>3</v>
      </c>
      <c r="T6" s="153" t="s">
        <v>656</v>
      </c>
      <c r="V6" s="152" t="s">
        <v>3</v>
      </c>
      <c r="W6" s="153" t="s">
        <v>666</v>
      </c>
      <c r="Y6" s="152" t="s">
        <v>3</v>
      </c>
      <c r="Z6" s="153" t="s">
        <v>663</v>
      </c>
      <c r="AB6" s="154" t="s">
        <v>3</v>
      </c>
      <c r="AC6" s="155" t="s">
        <v>664</v>
      </c>
    </row>
    <row r="7" spans="1:30">
      <c r="A7" s="30"/>
    </row>
    <row r="8" spans="1:30">
      <c r="A8" s="24" t="s">
        <v>122</v>
      </c>
      <c r="B8" s="152" t="s">
        <v>2</v>
      </c>
      <c r="C8" t="s">
        <v>295</v>
      </c>
      <c r="E8" s="152" t="s">
        <v>2</v>
      </c>
      <c r="F8" t="s">
        <v>668</v>
      </c>
      <c r="H8" s="152" t="s">
        <v>2</v>
      </c>
      <c r="I8" t="s">
        <v>669</v>
      </c>
      <c r="K8" s="154" t="s">
        <v>2</v>
      </c>
      <c r="L8" s="155" t="s">
        <v>307</v>
      </c>
      <c r="M8" s="155" t="s">
        <v>537</v>
      </c>
      <c r="O8" s="152" t="s">
        <v>2</v>
      </c>
      <c r="P8" s="153" t="s">
        <v>341</v>
      </c>
      <c r="Q8" s="153" t="s">
        <v>415</v>
      </c>
      <c r="S8" s="152" t="s">
        <v>17</v>
      </c>
      <c r="T8" t="s">
        <v>303</v>
      </c>
      <c r="V8" s="152" t="s">
        <v>17</v>
      </c>
      <c r="W8" t="s">
        <v>670</v>
      </c>
      <c r="Y8" s="152" t="s">
        <v>17</v>
      </c>
      <c r="Z8" t="s">
        <v>671</v>
      </c>
      <c r="AB8" s="154" t="s">
        <v>17</v>
      </c>
      <c r="AC8" s="155" t="s">
        <v>673</v>
      </c>
      <c r="AD8" s="155" t="s">
        <v>674</v>
      </c>
    </row>
    <row r="9" spans="1:30">
      <c r="A9" s="50">
        <f>INDEX('Node Information'!J:$J,MATCH(B9,'Node Information'!$A:$A,0))</f>
        <v>6.5428240740740704E-2</v>
      </c>
      <c r="B9" s="4" t="s">
        <v>49</v>
      </c>
      <c r="C9" s="5">
        <v>12</v>
      </c>
      <c r="E9" s="4" t="s">
        <v>49</v>
      </c>
      <c r="F9" s="104">
        <v>7.89</v>
      </c>
      <c r="H9" s="4" t="s">
        <v>49</v>
      </c>
      <c r="I9" s="104">
        <v>0.191833</v>
      </c>
      <c r="K9" s="4" t="s">
        <v>49</v>
      </c>
      <c r="L9" s="104">
        <v>3.45</v>
      </c>
      <c r="M9" s="104">
        <v>0</v>
      </c>
      <c r="O9" s="4" t="s">
        <v>49</v>
      </c>
      <c r="P9" s="5">
        <v>123</v>
      </c>
      <c r="Q9" s="5">
        <v>0</v>
      </c>
      <c r="S9" s="4" t="s">
        <v>49</v>
      </c>
      <c r="T9" s="5">
        <v>54</v>
      </c>
      <c r="V9" s="4" t="s">
        <v>49</v>
      </c>
      <c r="W9" s="104">
        <v>23.45</v>
      </c>
      <c r="Y9" s="4" t="s">
        <v>49</v>
      </c>
      <c r="Z9" s="104">
        <v>12.43</v>
      </c>
      <c r="AB9" s="4" t="s">
        <v>49</v>
      </c>
      <c r="AC9" s="104">
        <v>5.67</v>
      </c>
      <c r="AD9" s="104">
        <v>0</v>
      </c>
    </row>
    <row r="10" spans="1:30">
      <c r="B10" s="4" t="s">
        <v>18</v>
      </c>
      <c r="C10" s="5">
        <v>12</v>
      </c>
      <c r="E10" s="4" t="s">
        <v>18</v>
      </c>
      <c r="F10" s="104">
        <v>7.89</v>
      </c>
      <c r="H10" s="4" t="s">
        <v>18</v>
      </c>
      <c r="I10" s="104">
        <v>0.191833</v>
      </c>
      <c r="K10" s="4" t="s">
        <v>18</v>
      </c>
      <c r="L10" s="104">
        <v>3.45</v>
      </c>
      <c r="M10" s="104">
        <v>0</v>
      </c>
      <c r="O10" s="4" t="s">
        <v>18</v>
      </c>
      <c r="P10" s="5">
        <v>123</v>
      </c>
      <c r="Q10" s="5">
        <v>0</v>
      </c>
      <c r="S10" s="4" t="s">
        <v>18</v>
      </c>
      <c r="T10" s="5">
        <v>54</v>
      </c>
      <c r="V10" s="4" t="s">
        <v>18</v>
      </c>
      <c r="W10" s="104">
        <v>23.45</v>
      </c>
      <c r="Y10" s="4" t="s">
        <v>18</v>
      </c>
      <c r="Z10" s="104">
        <v>12.43</v>
      </c>
      <c r="AB10" s="4" t="s">
        <v>18</v>
      </c>
      <c r="AC10" s="104">
        <v>5.67</v>
      </c>
      <c r="AD10" s="104">
        <v>0</v>
      </c>
    </row>
    <row r="11" spans="1:30">
      <c r="B11"/>
      <c r="C11"/>
      <c r="E11"/>
      <c r="F11"/>
      <c r="H11"/>
      <c r="I11"/>
      <c r="K11"/>
      <c r="L11"/>
      <c r="O11"/>
      <c r="P11"/>
      <c r="Q11"/>
      <c r="S11"/>
      <c r="T11"/>
      <c r="AB11"/>
      <c r="AC11"/>
    </row>
  </sheetData>
  <mergeCells count="1">
    <mergeCell ref="B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9" t="s">
        <v>301</v>
      </c>
      <c r="D2" s="174"/>
      <c r="E2" s="174"/>
      <c r="F2" s="174"/>
      <c r="G2" s="174"/>
      <c r="H2" s="174"/>
      <c r="I2" s="174"/>
      <c r="J2" s="174"/>
      <c r="K2" s="174"/>
      <c r="L2" s="174"/>
      <c r="M2" s="174"/>
      <c r="N2" s="174"/>
      <c r="O2" s="174"/>
      <c r="P2" s="174"/>
      <c r="Q2" s="174"/>
      <c r="R2" s="174"/>
      <c r="S2" s="174"/>
      <c r="T2" s="174"/>
      <c r="U2" s="174"/>
    </row>
    <row r="3" spans="1:21">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row>
    <row r="4" spans="1:21">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row>
    <row r="5" spans="1:21">
      <c r="A5" s="30"/>
      <c r="B5" s="30"/>
      <c r="C5" s="152" t="s">
        <v>3</v>
      </c>
      <c r="D5" s="153" t="s">
        <v>142</v>
      </c>
      <c r="F5" s="152" t="s">
        <v>3</v>
      </c>
      <c r="G5" s="153" t="s">
        <v>151</v>
      </c>
      <c r="I5" s="152" t="s">
        <v>3</v>
      </c>
      <c r="J5" s="153" t="s">
        <v>153</v>
      </c>
      <c r="L5" s="152" t="s">
        <v>3</v>
      </c>
      <c r="M5" s="153" t="s">
        <v>154</v>
      </c>
      <c r="O5" s="152" t="s">
        <v>3</v>
      </c>
      <c r="P5" s="153" t="s">
        <v>413</v>
      </c>
      <c r="S5" s="152" t="s">
        <v>3</v>
      </c>
      <c r="T5" s="153" t="s">
        <v>414</v>
      </c>
    </row>
    <row r="6" spans="1:21">
      <c r="A6" s="30"/>
      <c r="B6" s="30"/>
    </row>
    <row r="7" spans="1:21">
      <c r="A7" s="24" t="s">
        <v>330</v>
      </c>
      <c r="B7" s="24" t="s">
        <v>94</v>
      </c>
      <c r="C7" s="152" t="s">
        <v>2</v>
      </c>
      <c r="D7" t="s">
        <v>295</v>
      </c>
      <c r="F7" s="152" t="s">
        <v>2</v>
      </c>
      <c r="G7" t="s">
        <v>305</v>
      </c>
      <c r="I7" s="152" t="s">
        <v>2</v>
      </c>
      <c r="J7" t="s">
        <v>306</v>
      </c>
      <c r="L7" s="152" t="s">
        <v>2</v>
      </c>
      <c r="M7" t="s">
        <v>307</v>
      </c>
      <c r="O7" s="152" t="s">
        <v>2</v>
      </c>
      <c r="P7" s="153" t="s">
        <v>341</v>
      </c>
      <c r="Q7" s="153" t="s">
        <v>415</v>
      </c>
      <c r="S7" s="15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9" t="s">
        <v>301</v>
      </c>
      <c r="C2" s="174"/>
      <c r="D2" s="174"/>
      <c r="E2" s="174"/>
      <c r="F2" s="174"/>
      <c r="G2" s="174"/>
      <c r="H2" s="174"/>
      <c r="I2" s="174"/>
      <c r="J2" s="174"/>
      <c r="K2" s="174"/>
      <c r="L2" s="174"/>
      <c r="M2" s="174"/>
      <c r="N2" s="174"/>
      <c r="O2" s="174"/>
      <c r="P2" s="174"/>
      <c r="Q2" s="174"/>
      <c r="R2" s="174"/>
      <c r="S2" s="174"/>
      <c r="T2" s="174"/>
    </row>
    <row r="3" spans="1:20" s="31" customFormat="1">
      <c r="B3" s="152" t="s">
        <v>0</v>
      </c>
      <c r="C3" s="153" t="s">
        <v>16</v>
      </c>
      <c r="E3" s="152" t="s">
        <v>0</v>
      </c>
      <c r="F3" s="153" t="s">
        <v>16</v>
      </c>
      <c r="H3" s="152" t="s">
        <v>0</v>
      </c>
      <c r="I3" s="153" t="s">
        <v>16</v>
      </c>
      <c r="K3" s="152" t="s">
        <v>0</v>
      </c>
      <c r="L3" s="153" t="s">
        <v>16</v>
      </c>
      <c r="N3" s="152" t="s">
        <v>0</v>
      </c>
      <c r="O3" s="153" t="s">
        <v>16</v>
      </c>
      <c r="R3" s="152" t="s">
        <v>0</v>
      </c>
      <c r="S3" s="153" t="s">
        <v>16</v>
      </c>
    </row>
    <row r="4" spans="1:20">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row>
    <row r="5" spans="1:20">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row>
    <row r="6" spans="1:20">
      <c r="A6" s="30"/>
      <c r="B6" s="152" t="s">
        <v>3</v>
      </c>
      <c r="C6" s="153" t="s">
        <v>142</v>
      </c>
      <c r="E6" s="152" t="s">
        <v>3</v>
      </c>
      <c r="F6" s="153" t="s">
        <v>151</v>
      </c>
      <c r="H6" s="152" t="s">
        <v>3</v>
      </c>
      <c r="I6" s="153" t="s">
        <v>153</v>
      </c>
      <c r="K6" s="152" t="s">
        <v>3</v>
      </c>
      <c r="L6" s="153" t="s">
        <v>154</v>
      </c>
      <c r="N6" s="152" t="s">
        <v>3</v>
      </c>
      <c r="O6" s="153" t="s">
        <v>413</v>
      </c>
      <c r="R6" s="152" t="s">
        <v>3</v>
      </c>
      <c r="S6" s="153" t="s">
        <v>414</v>
      </c>
    </row>
    <row r="7" spans="1:20">
      <c r="A7" s="30"/>
    </row>
    <row r="8" spans="1:20">
      <c r="A8" s="24" t="s">
        <v>122</v>
      </c>
      <c r="B8" s="152" t="s">
        <v>2</v>
      </c>
      <c r="C8" t="s">
        <v>295</v>
      </c>
      <c r="E8" s="152" t="s">
        <v>2</v>
      </c>
      <c r="F8" t="s">
        <v>305</v>
      </c>
      <c r="H8" s="152" t="s">
        <v>2</v>
      </c>
      <c r="I8" t="s">
        <v>306</v>
      </c>
      <c r="K8" s="152" t="s">
        <v>2</v>
      </c>
      <c r="L8" t="s">
        <v>307</v>
      </c>
      <c r="N8" s="152" t="s">
        <v>2</v>
      </c>
      <c r="O8" s="153" t="s">
        <v>341</v>
      </c>
      <c r="P8" s="153" t="s">
        <v>421</v>
      </c>
      <c r="R8" s="15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0" customWidth="1"/>
    <col min="2" max="2" width="32.85546875" style="140" customWidth="1"/>
    <col min="3" max="3" width="11.42578125" style="140" customWidth="1"/>
    <col min="4" max="4" width="29.140625" style="140" customWidth="1"/>
    <col min="5" max="5" width="9.140625" style="140"/>
    <col min="6" max="6" width="11.42578125" style="140" customWidth="1"/>
    <col min="7" max="7" width="34.42578125" style="140" customWidth="1"/>
    <col min="8" max="8" width="9.140625" style="140"/>
    <col min="9" max="9" width="11.42578125" style="140" customWidth="1"/>
    <col min="10" max="10" width="34.5703125" style="140" customWidth="1"/>
    <col min="11" max="11" width="7.28515625" style="140" customWidth="1"/>
    <col min="12" max="12" width="9.140625" style="140"/>
    <col min="13" max="13" width="11.42578125" style="140" customWidth="1"/>
    <col min="14" max="14" width="34.140625" style="140" customWidth="1"/>
    <col min="15" max="15" width="9.140625" style="140"/>
    <col min="16" max="16" width="11.42578125" style="140" customWidth="1"/>
    <col min="17" max="17" width="30.85546875" style="140" customWidth="1"/>
    <col min="18" max="18" width="8.28515625" style="140" customWidth="1"/>
    <col min="19" max="19" width="13.7109375" style="140" customWidth="1"/>
    <col min="20" max="20" width="12" style="140" customWidth="1"/>
    <col min="21" max="21" width="27.5703125" style="140" customWidth="1"/>
    <col min="22" max="16384" width="9.140625" style="140"/>
  </cols>
  <sheetData>
    <row r="1" spans="1:22" s="31" customFormat="1"/>
    <row r="2" spans="1:22" s="31" customFormat="1">
      <c r="C2" s="179" t="s">
        <v>301</v>
      </c>
      <c r="D2" s="174"/>
      <c r="E2" s="174"/>
      <c r="F2" s="174"/>
      <c r="G2" s="174"/>
      <c r="H2" s="174"/>
      <c r="I2" s="174"/>
      <c r="J2" s="174"/>
      <c r="K2" s="174"/>
      <c r="L2" s="174"/>
      <c r="M2" s="174"/>
      <c r="N2" s="174"/>
      <c r="O2" s="174"/>
      <c r="P2" s="174"/>
      <c r="Q2" s="174"/>
      <c r="R2" s="174"/>
      <c r="S2" s="174"/>
      <c r="T2" s="174"/>
      <c r="U2" s="174"/>
      <c r="V2" s="174"/>
    </row>
    <row r="3" spans="1:22">
      <c r="A3" s="30"/>
      <c r="B3" s="30"/>
      <c r="C3" s="152" t="s">
        <v>0</v>
      </c>
      <c r="D3" s="153" t="s">
        <v>16</v>
      </c>
      <c r="F3" s="152" t="s">
        <v>0</v>
      </c>
      <c r="G3" s="153" t="s">
        <v>16</v>
      </c>
      <c r="I3" s="152" t="s">
        <v>0</v>
      </c>
      <c r="J3" s="153" t="s">
        <v>16</v>
      </c>
      <c r="M3" s="152" t="s">
        <v>0</v>
      </c>
      <c r="N3" s="153" t="s">
        <v>16</v>
      </c>
      <c r="P3" s="152" t="s">
        <v>0</v>
      </c>
      <c r="Q3" s="153" t="s">
        <v>16</v>
      </c>
      <c r="R3" s="33"/>
      <c r="S3" s="33"/>
      <c r="V3" s="33"/>
    </row>
    <row r="4" spans="1:22">
      <c r="A4" s="30"/>
      <c r="B4" s="30"/>
      <c r="C4" s="152" t="s">
        <v>1</v>
      </c>
      <c r="D4" s="153" t="s">
        <v>16</v>
      </c>
      <c r="F4" s="152" t="s">
        <v>1</v>
      </c>
      <c r="G4" s="153" t="s">
        <v>16</v>
      </c>
      <c r="I4" s="152" t="s">
        <v>1</v>
      </c>
      <c r="J4" s="153" t="s">
        <v>16</v>
      </c>
      <c r="M4" s="152" t="s">
        <v>1</v>
      </c>
      <c r="N4" s="153" t="s">
        <v>16</v>
      </c>
      <c r="P4" s="152" t="s">
        <v>1</v>
      </c>
      <c r="Q4" s="153" t="s">
        <v>16</v>
      </c>
      <c r="R4" s="33"/>
      <c r="S4" s="33"/>
      <c r="V4" s="33"/>
    </row>
    <row r="5" spans="1:22">
      <c r="A5" s="30"/>
      <c r="B5" s="30"/>
      <c r="C5" s="152" t="s">
        <v>3</v>
      </c>
      <c r="D5" s="153" t="s">
        <v>633</v>
      </c>
      <c r="F5" s="152" t="s">
        <v>3</v>
      </c>
      <c r="G5" s="153" t="s">
        <v>630</v>
      </c>
      <c r="I5" s="152" t="s">
        <v>3</v>
      </c>
      <c r="J5" s="153" t="s">
        <v>631</v>
      </c>
      <c r="M5" s="152" t="s">
        <v>3</v>
      </c>
      <c r="N5" s="153" t="s">
        <v>632</v>
      </c>
      <c r="P5" s="152" t="s">
        <v>3</v>
      </c>
      <c r="Q5" s="153" t="s">
        <v>634</v>
      </c>
    </row>
    <row r="6" spans="1:22">
      <c r="A6" s="30"/>
      <c r="B6" s="30"/>
    </row>
    <row r="7" spans="1:22">
      <c r="A7" s="24" t="s">
        <v>330</v>
      </c>
      <c r="B7" s="24" t="s">
        <v>94</v>
      </c>
      <c r="C7" s="152" t="s">
        <v>2</v>
      </c>
      <c r="D7" t="s">
        <v>295</v>
      </c>
      <c r="F7" s="152" t="s">
        <v>2</v>
      </c>
      <c r="G7" t="s">
        <v>635</v>
      </c>
      <c r="I7" s="152" t="s">
        <v>2</v>
      </c>
      <c r="J7" s="153" t="s">
        <v>636</v>
      </c>
      <c r="K7" s="153" t="s">
        <v>537</v>
      </c>
      <c r="M7" s="152" t="s">
        <v>2</v>
      </c>
      <c r="N7" t="s">
        <v>637</v>
      </c>
      <c r="P7" s="152" t="s">
        <v>2</v>
      </c>
      <c r="Q7" s="153" t="s">
        <v>640</v>
      </c>
      <c r="R7" s="153" t="s">
        <v>638</v>
      </c>
      <c r="S7" s="153" t="s">
        <v>639</v>
      </c>
      <c r="T7" s="153"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0" customWidth="1"/>
    <col min="2" max="2" width="11.42578125" style="140" customWidth="1"/>
    <col min="3" max="3" width="29.140625" style="140" customWidth="1"/>
    <col min="4" max="4" width="9.140625" style="140"/>
    <col min="5" max="5" width="11.42578125" style="140" customWidth="1"/>
    <col min="6" max="6" width="46.28515625" style="140" customWidth="1"/>
    <col min="7" max="7" width="7.28515625" style="140" customWidth="1"/>
    <col min="8" max="8" width="9.140625" style="140"/>
    <col min="9" max="9" width="11.42578125" style="140" customWidth="1"/>
    <col min="10" max="10" width="34.140625" style="140" customWidth="1"/>
    <col min="11" max="11" width="9.140625" style="140"/>
    <col min="12" max="12" width="11.42578125" style="140" customWidth="1"/>
    <col min="13" max="13" width="30.42578125" style="140" customWidth="1"/>
    <col min="14" max="14" width="9.140625" style="140"/>
    <col min="15" max="15" width="11.42578125" style="140" customWidth="1"/>
    <col min="16" max="16" width="30.85546875" style="140" customWidth="1"/>
    <col min="17" max="17" width="8.28515625" style="140" customWidth="1"/>
    <col min="18" max="18" width="9.140625" style="140"/>
    <col min="19" max="19" width="13.140625" style="140" customWidth="1"/>
    <col min="20" max="20" width="27.5703125" style="140" customWidth="1"/>
    <col min="21" max="16384" width="9.140625" style="140"/>
  </cols>
  <sheetData>
    <row r="1" spans="1:21" s="31" customFormat="1"/>
    <row r="2" spans="1:21">
      <c r="A2" s="31"/>
      <c r="B2" s="179" t="s">
        <v>301</v>
      </c>
      <c r="C2" s="174"/>
      <c r="D2" s="174"/>
      <c r="E2" s="174"/>
      <c r="F2" s="174"/>
      <c r="G2" s="174"/>
      <c r="H2" s="174"/>
      <c r="I2" s="174"/>
      <c r="J2" s="174"/>
      <c r="K2" s="174"/>
      <c r="L2" s="174"/>
      <c r="M2" s="174"/>
      <c r="N2" s="174"/>
      <c r="O2" s="174"/>
      <c r="P2" s="174"/>
      <c r="Q2" s="174"/>
      <c r="R2" s="174"/>
      <c r="S2" s="174"/>
      <c r="T2" s="174"/>
      <c r="U2" s="174"/>
    </row>
    <row r="3" spans="1:21" s="31" customFormat="1">
      <c r="B3" s="152" t="s">
        <v>0</v>
      </c>
      <c r="C3" s="153" t="s">
        <v>16</v>
      </c>
      <c r="E3" s="152" t="s">
        <v>0</v>
      </c>
      <c r="F3" s="153" t="s">
        <v>16</v>
      </c>
      <c r="G3" s="140"/>
      <c r="I3" s="152" t="s">
        <v>0</v>
      </c>
      <c r="J3" s="153" t="s">
        <v>16</v>
      </c>
      <c r="L3" s="152" t="s">
        <v>0</v>
      </c>
      <c r="M3" s="153" t="s">
        <v>16</v>
      </c>
      <c r="O3" s="152" t="s">
        <v>0</v>
      </c>
      <c r="P3" s="153" t="s">
        <v>16</v>
      </c>
      <c r="S3" s="140"/>
      <c r="T3" s="140"/>
    </row>
    <row r="4" spans="1:21">
      <c r="A4" s="30"/>
      <c r="B4" s="152" t="s">
        <v>1</v>
      </c>
      <c r="C4" s="153" t="s">
        <v>16</v>
      </c>
      <c r="E4" s="152" t="s">
        <v>1</v>
      </c>
      <c r="F4" s="153" t="s">
        <v>16</v>
      </c>
      <c r="I4" s="152" t="s">
        <v>1</v>
      </c>
      <c r="J4" s="153" t="s">
        <v>16</v>
      </c>
      <c r="L4" s="152" t="s">
        <v>1</v>
      </c>
      <c r="M4" s="153" t="s">
        <v>16</v>
      </c>
      <c r="O4" s="152" t="s">
        <v>1</v>
      </c>
      <c r="P4" s="153" t="s">
        <v>16</v>
      </c>
      <c r="Q4" s="33"/>
      <c r="R4" s="33"/>
      <c r="U4" s="33"/>
    </row>
    <row r="5" spans="1:21">
      <c r="A5" s="30"/>
      <c r="B5" s="152" t="s">
        <v>2</v>
      </c>
      <c r="C5" s="153" t="s">
        <v>16</v>
      </c>
      <c r="E5" s="152" t="s">
        <v>2</v>
      </c>
      <c r="F5" s="153" t="s">
        <v>16</v>
      </c>
      <c r="I5" s="152" t="s">
        <v>2</v>
      </c>
      <c r="J5" s="153" t="s">
        <v>16</v>
      </c>
      <c r="L5" s="152" t="s">
        <v>2</v>
      </c>
      <c r="M5" s="153" t="s">
        <v>16</v>
      </c>
      <c r="O5" s="152" t="s">
        <v>2</v>
      </c>
      <c r="P5" s="153" t="s">
        <v>16</v>
      </c>
      <c r="Q5" s="33"/>
      <c r="R5" s="33"/>
      <c r="U5" s="33"/>
    </row>
    <row r="6" spans="1:21">
      <c r="A6" s="30"/>
      <c r="B6" s="152" t="s">
        <v>3</v>
      </c>
      <c r="C6" s="153" t="s">
        <v>633</v>
      </c>
      <c r="E6" s="152" t="s">
        <v>3</v>
      </c>
      <c r="F6" s="153" t="s">
        <v>630</v>
      </c>
      <c r="I6" s="152" t="s">
        <v>3</v>
      </c>
      <c r="J6" s="153" t="s">
        <v>632</v>
      </c>
      <c r="L6" s="152" t="s">
        <v>3</v>
      </c>
      <c r="M6" s="153" t="s">
        <v>631</v>
      </c>
      <c r="O6" s="152" t="s">
        <v>3</v>
      </c>
      <c r="P6" s="153" t="s">
        <v>634</v>
      </c>
    </row>
    <row r="7" spans="1:21">
      <c r="A7" s="30"/>
    </row>
    <row r="8" spans="1:21">
      <c r="A8" s="24" t="s">
        <v>122</v>
      </c>
      <c r="B8" s="152" t="s">
        <v>2</v>
      </c>
      <c r="C8" t="s">
        <v>295</v>
      </c>
      <c r="E8" s="152" t="s">
        <v>2</v>
      </c>
      <c r="F8" s="153" t="s">
        <v>642</v>
      </c>
      <c r="G8" s="153" t="s">
        <v>537</v>
      </c>
      <c r="I8" s="152" t="s">
        <v>2</v>
      </c>
      <c r="J8" t="s">
        <v>637</v>
      </c>
      <c r="L8" s="152" t="s">
        <v>2</v>
      </c>
      <c r="M8" t="s">
        <v>303</v>
      </c>
      <c r="O8" s="152" t="s">
        <v>2</v>
      </c>
      <c r="P8" s="153" t="s">
        <v>643</v>
      </c>
      <c r="Q8" s="153"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3" t="s">
        <v>449</v>
      </c>
      <c r="C4" s="173"/>
      <c r="D4" s="173"/>
      <c r="E4" s="173"/>
      <c r="F4" s="173"/>
      <c r="G4" s="173"/>
      <c r="H4" s="173"/>
      <c r="I4" s="173"/>
      <c r="J4" s="173"/>
      <c r="K4" s="173"/>
      <c r="L4" s="173"/>
      <c r="M4" s="173"/>
      <c r="N4" s="173"/>
      <c r="O4" s="173"/>
      <c r="P4" s="173"/>
      <c r="Q4" s="173"/>
      <c r="R4" s="173"/>
      <c r="T4" s="179" t="s">
        <v>451</v>
      </c>
      <c r="U4" s="183"/>
      <c r="V4" s="183"/>
      <c r="W4" s="183"/>
      <c r="X4" s="183"/>
      <c r="Y4" s="183"/>
      <c r="Z4" s="183"/>
      <c r="AA4" s="183"/>
      <c r="AB4" s="183"/>
      <c r="AC4" s="183"/>
      <c r="AD4" s="183"/>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52" t="s">
        <v>0</v>
      </c>
      <c r="C3" s="153" t="s">
        <v>16</v>
      </c>
      <c r="D3" s="52"/>
      <c r="E3" s="35"/>
      <c r="F3" s="35"/>
      <c r="G3" s="35"/>
      <c r="I3" s="152" t="s">
        <v>0</v>
      </c>
      <c r="J3" s="153" t="s">
        <v>16</v>
      </c>
      <c r="L3" s="35"/>
      <c r="M3" s="35"/>
    </row>
    <row r="4" spans="1:13">
      <c r="A4" s="45"/>
      <c r="B4" s="152" t="s">
        <v>52</v>
      </c>
      <c r="C4" s="153" t="s">
        <v>16</v>
      </c>
      <c r="E4" s="35"/>
      <c r="F4" s="35"/>
      <c r="G4" s="35"/>
      <c r="I4" s="152" t="s">
        <v>1</v>
      </c>
      <c r="J4" s="153" t="s">
        <v>16</v>
      </c>
      <c r="L4" s="35"/>
      <c r="M4" s="35"/>
    </row>
    <row r="5" spans="1:13">
      <c r="A5" s="45"/>
      <c r="B5" s="152" t="s">
        <v>1</v>
      </c>
      <c r="C5" s="153" t="s">
        <v>16</v>
      </c>
      <c r="E5" s="35"/>
      <c r="F5" s="35"/>
      <c r="G5" s="35"/>
      <c r="I5" s="152" t="s">
        <v>3</v>
      </c>
      <c r="J5" s="153" t="s">
        <v>7</v>
      </c>
      <c r="L5" s="35"/>
      <c r="M5" s="35"/>
    </row>
    <row r="6" spans="1:13">
      <c r="A6" s="45"/>
      <c r="B6" s="152" t="s">
        <v>3</v>
      </c>
      <c r="C6" s="153" t="s">
        <v>7</v>
      </c>
      <c r="E6" s="35"/>
      <c r="F6" s="35"/>
      <c r="G6" s="35"/>
      <c r="I6" s="152" t="s">
        <v>2</v>
      </c>
      <c r="J6" s="153" t="s">
        <v>16</v>
      </c>
      <c r="L6" s="35"/>
      <c r="M6" s="35"/>
    </row>
    <row r="7" spans="1:13">
      <c r="E7" s="35"/>
      <c r="F7" s="35"/>
      <c r="G7" s="35"/>
      <c r="L7" s="35"/>
      <c r="M7" s="35"/>
    </row>
    <row r="8" spans="1:13" ht="60">
      <c r="A8" s="24" t="s">
        <v>330</v>
      </c>
      <c r="B8" s="152" t="s">
        <v>17</v>
      </c>
      <c r="C8" s="32" t="s">
        <v>21</v>
      </c>
      <c r="D8" s="32" t="s">
        <v>19</v>
      </c>
      <c r="F8" s="36" t="s">
        <v>148</v>
      </c>
      <c r="G8" s="36" t="s">
        <v>149</v>
      </c>
      <c r="I8" s="15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9" t="s">
        <v>451</v>
      </c>
      <c r="C2" s="174"/>
      <c r="D2" s="174"/>
      <c r="E2" s="174"/>
      <c r="F2" s="174"/>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3" t="s">
        <v>458</v>
      </c>
      <c r="C2" s="180"/>
      <c r="D2" s="180"/>
      <c r="E2" s="180"/>
      <c r="F2" s="180"/>
      <c r="G2" s="180"/>
      <c r="H2" s="180"/>
      <c r="I2" s="184"/>
      <c r="K2" s="183" t="s">
        <v>459</v>
      </c>
      <c r="L2" s="180"/>
      <c r="M2" s="180"/>
      <c r="N2" s="180"/>
      <c r="O2" s="180"/>
      <c r="P2" s="180"/>
      <c r="Q2" s="180"/>
      <c r="R2" s="184"/>
    </row>
    <row r="3" spans="1:18">
      <c r="A3" s="30"/>
      <c r="B3" s="59"/>
      <c r="C3" s="58"/>
      <c r="D3" s="58"/>
      <c r="E3" s="58"/>
      <c r="F3" s="58"/>
      <c r="G3" s="58"/>
      <c r="H3" s="58"/>
      <c r="I3" s="60"/>
      <c r="K3" s="92"/>
      <c r="L3" s="91"/>
      <c r="M3" s="91"/>
      <c r="N3" s="91"/>
      <c r="O3" s="91"/>
      <c r="P3" s="91"/>
      <c r="Q3" s="91"/>
      <c r="R3" s="93"/>
    </row>
    <row r="4" spans="1:18">
      <c r="A4" s="30"/>
      <c r="B4" s="152" t="s">
        <v>0</v>
      </c>
      <c r="C4" s="153" t="s">
        <v>16</v>
      </c>
      <c r="D4" s="33"/>
      <c r="E4" s="152" t="s">
        <v>0</v>
      </c>
      <c r="F4" s="153" t="s">
        <v>16</v>
      </c>
      <c r="G4" s="33"/>
      <c r="H4" s="152" t="s">
        <v>0</v>
      </c>
      <c r="I4" s="153" t="s">
        <v>16</v>
      </c>
      <c r="K4" s="152" t="s">
        <v>0</v>
      </c>
      <c r="L4" s="153" t="s">
        <v>16</v>
      </c>
      <c r="M4" s="33"/>
      <c r="N4" s="152" t="s">
        <v>0</v>
      </c>
      <c r="O4" s="153" t="s">
        <v>16</v>
      </c>
      <c r="P4" s="33"/>
      <c r="Q4" s="152" t="s">
        <v>0</v>
      </c>
      <c r="R4" s="153" t="s">
        <v>16</v>
      </c>
    </row>
    <row r="5" spans="1:18">
      <c r="A5" s="30"/>
      <c r="B5" s="152" t="s">
        <v>1</v>
      </c>
      <c r="C5" s="153" t="s">
        <v>16</v>
      </c>
      <c r="D5" s="33"/>
      <c r="E5" s="152" t="s">
        <v>1</v>
      </c>
      <c r="F5" s="153" t="s">
        <v>16</v>
      </c>
      <c r="G5" s="33"/>
      <c r="H5" s="152" t="s">
        <v>1</v>
      </c>
      <c r="I5" s="153" t="s">
        <v>16</v>
      </c>
      <c r="K5" s="152" t="s">
        <v>1</v>
      </c>
      <c r="L5" s="153" t="s">
        <v>16</v>
      </c>
      <c r="M5" s="33"/>
      <c r="N5" s="152" t="s">
        <v>1</v>
      </c>
      <c r="O5" s="153" t="s">
        <v>16</v>
      </c>
      <c r="P5" s="33"/>
      <c r="Q5" s="152" t="s">
        <v>1</v>
      </c>
      <c r="R5" s="153" t="s">
        <v>16</v>
      </c>
    </row>
    <row r="6" spans="1:18">
      <c r="A6" s="30"/>
      <c r="B6" s="152" t="s">
        <v>3</v>
      </c>
      <c r="C6" s="153" t="s">
        <v>372</v>
      </c>
      <c r="D6" s="33"/>
      <c r="E6" s="152" t="s">
        <v>3</v>
      </c>
      <c r="F6" s="153" t="s">
        <v>369</v>
      </c>
      <c r="G6" s="33"/>
      <c r="H6" s="152" t="s">
        <v>3</v>
      </c>
      <c r="I6" s="153" t="s">
        <v>371</v>
      </c>
      <c r="K6" s="152" t="s">
        <v>3</v>
      </c>
      <c r="L6" s="153" t="s">
        <v>457</v>
      </c>
      <c r="M6" s="33"/>
      <c r="N6" s="152" t="s">
        <v>3</v>
      </c>
      <c r="O6" s="153" t="s">
        <v>453</v>
      </c>
      <c r="P6" s="33"/>
      <c r="Q6" s="152" t="s">
        <v>3</v>
      </c>
      <c r="R6" s="153" t="s">
        <v>455</v>
      </c>
    </row>
    <row r="7" spans="1:18">
      <c r="A7" s="30"/>
      <c r="B7" s="57"/>
      <c r="C7" s="57"/>
      <c r="D7" s="57"/>
      <c r="E7" s="57"/>
      <c r="F7" s="57"/>
      <c r="G7" s="57"/>
      <c r="H7" s="57"/>
      <c r="I7" s="57"/>
      <c r="K7" s="90"/>
      <c r="L7" s="90"/>
      <c r="M7" s="90"/>
      <c r="N7" s="90"/>
      <c r="O7" s="90"/>
      <c r="P7" s="90"/>
      <c r="Q7" s="90"/>
      <c r="R7" s="90"/>
    </row>
    <row r="8" spans="1:18" ht="30">
      <c r="A8" s="24" t="s">
        <v>330</v>
      </c>
      <c r="B8" s="152" t="s">
        <v>2</v>
      </c>
      <c r="C8" t="s">
        <v>295</v>
      </c>
      <c r="D8" s="57"/>
      <c r="E8" s="152" t="s">
        <v>2</v>
      </c>
      <c r="F8" s="32" t="s">
        <v>373</v>
      </c>
      <c r="G8" s="57"/>
      <c r="H8" s="152" t="s">
        <v>2</v>
      </c>
      <c r="I8" s="32" t="s">
        <v>374</v>
      </c>
      <c r="K8" s="152" t="s">
        <v>2</v>
      </c>
      <c r="L8" t="s">
        <v>485</v>
      </c>
      <c r="M8" s="90"/>
      <c r="N8" s="152" t="s">
        <v>2</v>
      </c>
      <c r="O8" s="32" t="s">
        <v>486</v>
      </c>
      <c r="P8" s="90"/>
      <c r="Q8" s="152" t="s">
        <v>2</v>
      </c>
      <c r="R8" s="32" t="s">
        <v>487</v>
      </c>
    </row>
    <row r="9" spans="1:18">
      <c r="A9" s="23" t="str">
        <f>INDEX('DDL Tables'!$B:$B,MATCH(SUBSTITUTE(B9, " (index)",""),'DDL Tables'!$C:$C,0))</f>
        <v>TestKS</v>
      </c>
      <c r="B9" s="4" t="s">
        <v>50</v>
      </c>
      <c r="C9" s="153">
        <v>4</v>
      </c>
      <c r="D9" s="6"/>
      <c r="E9" s="4" t="s">
        <v>50</v>
      </c>
      <c r="F9" s="5">
        <v>2100</v>
      </c>
      <c r="G9" s="6"/>
      <c r="H9" s="4" t="s">
        <v>50</v>
      </c>
      <c r="I9" s="5">
        <v>1200</v>
      </c>
      <c r="K9" s="4" t="s">
        <v>50</v>
      </c>
      <c r="L9" s="153">
        <v>3</v>
      </c>
      <c r="M9" s="6"/>
      <c r="N9" s="4" t="s">
        <v>49</v>
      </c>
      <c r="O9" s="5">
        <v>12</v>
      </c>
      <c r="P9" s="6"/>
      <c r="Q9" s="4" t="s">
        <v>49</v>
      </c>
      <c r="R9" s="5">
        <v>4</v>
      </c>
    </row>
    <row r="10" spans="1:18">
      <c r="A10" s="57"/>
      <c r="B10" s="4" t="s">
        <v>18</v>
      </c>
      <c r="C10" s="153">
        <v>4</v>
      </c>
      <c r="D10" s="6"/>
      <c r="E10" s="4" t="s">
        <v>18</v>
      </c>
      <c r="F10" s="5">
        <v>2100</v>
      </c>
      <c r="G10" s="6"/>
      <c r="H10" s="4" t="s">
        <v>18</v>
      </c>
      <c r="I10" s="5">
        <v>1200</v>
      </c>
      <c r="K10" s="4" t="s">
        <v>18</v>
      </c>
      <c r="L10" s="15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7" t="s">
        <v>409</v>
      </c>
      <c r="D1" s="174"/>
      <c r="E1" s="174"/>
      <c r="F1" s="174"/>
      <c r="G1" s="174"/>
      <c r="H1" s="174"/>
      <c r="I1" s="174"/>
      <c r="J1" s="174"/>
      <c r="K1" s="174"/>
      <c r="L1" s="174"/>
      <c r="M1" s="174"/>
      <c r="N1" s="174"/>
      <c r="O1" s="174"/>
      <c r="P1" s="174"/>
      <c r="Q1" s="174"/>
      <c r="R1" s="174"/>
      <c r="S1" s="174"/>
      <c r="T1" s="174"/>
      <c r="U1" s="174"/>
      <c r="V1" s="30"/>
      <c r="W1" s="187" t="s">
        <v>410</v>
      </c>
      <c r="X1" s="174"/>
      <c r="Y1" s="174"/>
      <c r="Z1" s="174"/>
      <c r="AA1" s="174"/>
      <c r="AB1" s="174"/>
      <c r="AC1" s="174"/>
      <c r="AD1" s="174"/>
      <c r="AE1" s="174"/>
      <c r="AF1" s="174"/>
      <c r="AG1" s="174"/>
      <c r="AH1" s="174"/>
      <c r="AI1" s="174"/>
      <c r="AJ1" s="174"/>
      <c r="AK1" s="174"/>
      <c r="AL1" s="174"/>
      <c r="AM1" s="174"/>
      <c r="AN1" s="174"/>
      <c r="AO1" s="174"/>
    </row>
    <row r="2" spans="1:41" s="57" customFormat="1">
      <c r="A2" s="30"/>
      <c r="B2" s="68"/>
      <c r="C2" s="187"/>
      <c r="D2" s="174"/>
      <c r="E2" s="174"/>
      <c r="F2" s="174"/>
      <c r="G2" s="174"/>
      <c r="H2" s="174"/>
      <c r="I2" s="174"/>
      <c r="J2" s="174"/>
      <c r="K2" s="174"/>
      <c r="L2" s="174"/>
      <c r="M2" s="174"/>
      <c r="N2" s="174"/>
      <c r="O2" s="174"/>
      <c r="P2" s="174"/>
      <c r="Q2" s="174"/>
      <c r="R2" s="174"/>
      <c r="S2" s="174"/>
      <c r="T2" s="174"/>
      <c r="U2" s="174"/>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9" t="s">
        <v>514</v>
      </c>
      <c r="B1" s="174"/>
      <c r="C1" s="174"/>
      <c r="D1" s="174"/>
      <c r="E1" s="174"/>
      <c r="F1" s="174"/>
      <c r="G1" s="174"/>
      <c r="H1" s="174"/>
      <c r="I1" s="174"/>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8" t="s">
        <v>426</v>
      </c>
      <c r="B1" s="189" t="s">
        <v>422</v>
      </c>
      <c r="C1" s="190" t="s">
        <v>422</v>
      </c>
      <c r="D1" s="190" t="s">
        <v>422</v>
      </c>
      <c r="E1" s="190" t="s">
        <v>422</v>
      </c>
      <c r="F1" s="190" t="s">
        <v>422</v>
      </c>
      <c r="G1" s="190" t="s">
        <v>422</v>
      </c>
      <c r="H1" s="190" t="s">
        <v>422</v>
      </c>
      <c r="I1" s="191"/>
      <c r="J1" s="192"/>
      <c r="K1" s="19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1"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3" t="s">
        <v>301</v>
      </c>
      <c r="C2" s="180"/>
      <c r="D2" s="180"/>
      <c r="E2" s="180"/>
      <c r="F2" s="180"/>
      <c r="G2" s="180"/>
      <c r="H2" s="180"/>
      <c r="I2" s="180"/>
      <c r="J2" s="184"/>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c r="B7" s="141"/>
      <c r="C7" s="141"/>
      <c r="E7" s="141"/>
      <c r="F7" s="141"/>
      <c r="G7" s="141"/>
      <c r="H7" s="141"/>
      <c r="I7" s="141"/>
      <c r="J7" s="141"/>
    </row>
    <row r="8" spans="1:11" ht="30">
      <c r="A8" s="24" t="s">
        <v>330</v>
      </c>
      <c r="B8" s="152" t="s">
        <v>2</v>
      </c>
      <c r="C8" s="153" t="s">
        <v>644</v>
      </c>
      <c r="D8" s="153" t="s">
        <v>537</v>
      </c>
      <c r="E8" s="141"/>
      <c r="F8" s="152" t="s">
        <v>2</v>
      </c>
      <c r="G8" s="32" t="s">
        <v>295</v>
      </c>
      <c r="H8" s="141"/>
      <c r="I8" s="152" t="s">
        <v>2</v>
      </c>
      <c r="J8" s="153" t="s">
        <v>645</v>
      </c>
      <c r="K8" s="153"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1"/>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1"/>
    <col min="2" max="2" width="11.42578125" style="141" customWidth="1"/>
    <col min="3" max="3" width="32" style="141" customWidth="1"/>
    <col min="4" max="4" width="7.28515625" style="141" customWidth="1"/>
    <col min="5" max="5" width="9.140625" style="141"/>
    <col min="6" max="6" width="11.42578125" style="141" customWidth="1"/>
    <col min="7" max="7" width="25.42578125" style="141" customWidth="1"/>
    <col min="8" max="8" width="9.140625" style="141"/>
    <col min="9" max="9" width="11.42578125" style="141" customWidth="1"/>
    <col min="10" max="10" width="29.28515625" style="141" customWidth="1"/>
    <col min="11" max="11" width="7.28515625" style="141" customWidth="1"/>
    <col min="12" max="16384" width="9.140625" style="141"/>
  </cols>
  <sheetData>
    <row r="1" spans="1:11">
      <c r="A1" s="30"/>
      <c r="B1" s="30"/>
      <c r="C1" s="30"/>
      <c r="D1" s="30"/>
      <c r="E1" s="30"/>
      <c r="F1" s="30"/>
      <c r="G1" s="30"/>
      <c r="H1" s="30"/>
      <c r="I1" s="30"/>
      <c r="J1" s="30"/>
    </row>
    <row r="2" spans="1:11">
      <c r="A2" s="30"/>
      <c r="B2" s="183" t="s">
        <v>301</v>
      </c>
      <c r="C2" s="180"/>
      <c r="D2" s="180"/>
      <c r="E2" s="180"/>
      <c r="F2" s="180"/>
      <c r="G2" s="180"/>
      <c r="H2" s="180"/>
      <c r="I2" s="180"/>
      <c r="J2" s="184"/>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row>
    <row r="8" spans="1:11">
      <c r="A8" s="24"/>
      <c r="B8" s="152" t="s">
        <v>2</v>
      </c>
      <c r="C8" s="153" t="s">
        <v>644</v>
      </c>
      <c r="D8" s="153" t="s">
        <v>537</v>
      </c>
      <c r="F8" s="152" t="s">
        <v>2</v>
      </c>
      <c r="G8" s="32" t="s">
        <v>295</v>
      </c>
      <c r="I8" s="152" t="s">
        <v>2</v>
      </c>
      <c r="J8" s="153" t="s">
        <v>645</v>
      </c>
      <c r="K8" s="153"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A2"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4" t="s">
        <v>89</v>
      </c>
      <c r="J1" s="193" t="s">
        <v>89</v>
      </c>
      <c r="K1" s="165" t="s">
        <v>89</v>
      </c>
      <c r="L1" s="165" t="s">
        <v>89</v>
      </c>
      <c r="M1" s="194" t="s">
        <v>89</v>
      </c>
      <c r="N1" s="165" t="s">
        <v>89</v>
      </c>
      <c r="O1" s="194" t="s">
        <v>89</v>
      </c>
      <c r="P1" s="194" t="s">
        <v>89</v>
      </c>
      <c r="Q1" s="194" t="s">
        <v>89</v>
      </c>
      <c r="R1" s="194" t="s">
        <v>89</v>
      </c>
      <c r="S1" s="165" t="s">
        <v>89</v>
      </c>
      <c r="T1" s="165" t="s">
        <v>89</v>
      </c>
      <c r="U1" s="168" t="s">
        <v>89</v>
      </c>
      <c r="V1" s="195" t="s">
        <v>263</v>
      </c>
      <c r="W1" s="196" t="s">
        <v>263</v>
      </c>
      <c r="X1" s="196" t="s">
        <v>263</v>
      </c>
      <c r="Y1" s="197" t="s">
        <v>263</v>
      </c>
      <c r="Z1" s="195" t="s">
        <v>574</v>
      </c>
      <c r="AA1" s="196" t="s">
        <v>574</v>
      </c>
      <c r="AB1" s="194" t="s">
        <v>574</v>
      </c>
      <c r="AC1" s="194" t="s">
        <v>574</v>
      </c>
      <c r="AD1" s="198" t="s">
        <v>574</v>
      </c>
      <c r="AE1" s="195" t="s">
        <v>647</v>
      </c>
      <c r="AF1" s="199" t="s">
        <v>647</v>
      </c>
      <c r="AG1" s="194" t="s">
        <v>647</v>
      </c>
      <c r="AH1" s="200" t="s">
        <v>647</v>
      </c>
      <c r="AI1" s="201"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8" t="s">
        <v>596</v>
      </c>
      <c r="AE2" s="124" t="s">
        <v>295</v>
      </c>
      <c r="AF2" s="149" t="s">
        <v>648</v>
      </c>
      <c r="AG2" s="122" t="s">
        <v>649</v>
      </c>
      <c r="AH2" s="122" t="s">
        <v>650</v>
      </c>
      <c r="AI2" s="150"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9"/>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9"/>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9">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9">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9">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0" t="s">
        <v>51</v>
      </c>
      <c r="C84" s="120" t="s">
        <v>49</v>
      </c>
      <c r="D84" s="120" t="s">
        <v>48</v>
      </c>
      <c r="E84" s="10"/>
      <c r="F84" s="10" t="s">
        <v>573</v>
      </c>
      <c r="G84" s="10">
        <v>1</v>
      </c>
      <c r="H84" s="10"/>
      <c r="I84" s="27"/>
      <c r="J84" s="10"/>
      <c r="K84" s="10">
        <v>1</v>
      </c>
      <c r="L84" s="10" t="s">
        <v>572</v>
      </c>
    </row>
    <row r="85" spans="1:12">
      <c r="A85" s="10" t="s">
        <v>155</v>
      </c>
      <c r="B85" s="140" t="s">
        <v>51</v>
      </c>
      <c r="C85" s="120" t="s">
        <v>49</v>
      </c>
      <c r="D85" s="120" t="s">
        <v>48</v>
      </c>
      <c r="E85" s="120" t="s">
        <v>50</v>
      </c>
      <c r="F85" s="10" t="s">
        <v>567</v>
      </c>
      <c r="G85" s="10">
        <v>5819747</v>
      </c>
      <c r="H85" s="10" t="s">
        <v>35</v>
      </c>
      <c r="I85" s="27"/>
      <c r="J85" s="10" t="b">
        <v>1</v>
      </c>
      <c r="K85" s="10">
        <v>5819747</v>
      </c>
      <c r="L85" s="10">
        <v>13</v>
      </c>
    </row>
    <row r="86" spans="1:12">
      <c r="A86" s="10" t="s">
        <v>155</v>
      </c>
      <c r="B86" s="140" t="s">
        <v>51</v>
      </c>
      <c r="C86" s="120" t="s">
        <v>49</v>
      </c>
      <c r="D86" s="120" t="s">
        <v>48</v>
      </c>
      <c r="E86" s="120" t="s">
        <v>50</v>
      </c>
      <c r="F86" s="10" t="s">
        <v>568</v>
      </c>
      <c r="G86" s="10">
        <v>23</v>
      </c>
      <c r="H86" s="10" t="s">
        <v>35</v>
      </c>
      <c r="I86" s="27"/>
      <c r="J86" s="10" t="b">
        <v>1</v>
      </c>
      <c r="K86" s="10">
        <v>23</v>
      </c>
      <c r="L86" s="10">
        <v>13</v>
      </c>
    </row>
    <row r="87" spans="1:12">
      <c r="A87" s="10" t="s">
        <v>155</v>
      </c>
      <c r="B87" s="140" t="s">
        <v>51</v>
      </c>
      <c r="C87" s="120" t="s">
        <v>49</v>
      </c>
      <c r="D87" s="120" t="s">
        <v>48</v>
      </c>
      <c r="E87" s="120" t="s">
        <v>50</v>
      </c>
      <c r="F87" s="10" t="s">
        <v>569</v>
      </c>
      <c r="G87" s="10">
        <v>1455699.25</v>
      </c>
      <c r="H87" s="10" t="s">
        <v>35</v>
      </c>
      <c r="I87" s="27"/>
      <c r="J87" s="10" t="b">
        <v>1</v>
      </c>
      <c r="K87" s="10">
        <v>1455699.25</v>
      </c>
      <c r="L87" s="10">
        <v>13</v>
      </c>
    </row>
    <row r="88" spans="1:12">
      <c r="A88" s="10" t="s">
        <v>155</v>
      </c>
      <c r="B88" s="140"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0" t="s">
        <v>51</v>
      </c>
      <c r="C89" s="120" t="s">
        <v>49</v>
      </c>
      <c r="D89" s="120" t="s">
        <v>48</v>
      </c>
      <c r="E89" s="120" t="s">
        <v>50</v>
      </c>
      <c r="F89" s="10" t="s">
        <v>571</v>
      </c>
      <c r="G89" s="10">
        <v>4</v>
      </c>
      <c r="H89" s="10"/>
      <c r="I89" s="27"/>
      <c r="J89" s="10" t="b">
        <v>1</v>
      </c>
      <c r="K89" s="10">
        <v>4</v>
      </c>
      <c r="L89" s="10">
        <v>13</v>
      </c>
    </row>
    <row r="90" spans="1:12">
      <c r="A90" s="10" t="s">
        <v>155</v>
      </c>
      <c r="B90" s="140" t="s">
        <v>51</v>
      </c>
      <c r="C90" s="140" t="s">
        <v>49</v>
      </c>
      <c r="D90" s="140" t="s">
        <v>48</v>
      </c>
      <c r="E90" s="140" t="s">
        <v>50</v>
      </c>
      <c r="F90" s="10" t="s">
        <v>630</v>
      </c>
      <c r="G90" s="10">
        <v>230</v>
      </c>
      <c r="H90" s="10" t="s">
        <v>35</v>
      </c>
      <c r="I90" s="88"/>
      <c r="J90" s="10" t="b">
        <v>1</v>
      </c>
      <c r="K90" s="10">
        <v>230</v>
      </c>
      <c r="L90" s="10">
        <v>14</v>
      </c>
    </row>
    <row r="91" spans="1:12">
      <c r="A91" s="10" t="s">
        <v>155</v>
      </c>
      <c r="B91" s="140" t="s">
        <v>51</v>
      </c>
      <c r="C91" s="140" t="s">
        <v>49</v>
      </c>
      <c r="D91" s="140" t="s">
        <v>48</v>
      </c>
      <c r="E91" s="140" t="s">
        <v>50</v>
      </c>
      <c r="F91" s="10" t="s">
        <v>631</v>
      </c>
      <c r="G91" s="10">
        <v>124</v>
      </c>
      <c r="H91" s="10" t="s">
        <v>35</v>
      </c>
      <c r="I91" s="88"/>
      <c r="J91" s="10" t="b">
        <v>1</v>
      </c>
      <c r="K91" s="10">
        <v>124</v>
      </c>
      <c r="L91" s="10">
        <v>14</v>
      </c>
    </row>
    <row r="92" spans="1:12">
      <c r="A92" s="10" t="s">
        <v>155</v>
      </c>
      <c r="B92" s="140" t="s">
        <v>51</v>
      </c>
      <c r="C92" s="140" t="s">
        <v>49</v>
      </c>
      <c r="D92" s="140" t="s">
        <v>48</v>
      </c>
      <c r="E92" s="140" t="s">
        <v>50</v>
      </c>
      <c r="F92" s="10" t="s">
        <v>632</v>
      </c>
      <c r="G92" s="10">
        <v>100</v>
      </c>
      <c r="H92" s="10" t="s">
        <v>35</v>
      </c>
      <c r="I92" s="88"/>
      <c r="J92" s="10" t="b">
        <v>1</v>
      </c>
      <c r="K92" s="10">
        <v>100</v>
      </c>
      <c r="L92" s="10">
        <v>14</v>
      </c>
    </row>
    <row r="93" spans="1:12">
      <c r="A93" s="10" t="s">
        <v>155</v>
      </c>
      <c r="B93" s="140" t="s">
        <v>51</v>
      </c>
      <c r="C93" s="140" t="s">
        <v>49</v>
      </c>
      <c r="D93" s="140" t="s">
        <v>48</v>
      </c>
      <c r="E93" s="140" t="s">
        <v>50</v>
      </c>
      <c r="F93" s="10" t="s">
        <v>633</v>
      </c>
      <c r="G93" s="10">
        <v>10</v>
      </c>
      <c r="H93" s="10"/>
      <c r="I93" s="88"/>
      <c r="J93" s="10" t="b">
        <v>1</v>
      </c>
      <c r="K93" s="10">
        <v>10</v>
      </c>
      <c r="L93" s="10">
        <v>14</v>
      </c>
    </row>
    <row r="94" spans="1:12">
      <c r="A94" s="10" t="s">
        <v>155</v>
      </c>
      <c r="B94" s="140" t="s">
        <v>51</v>
      </c>
      <c r="C94" s="140" t="s">
        <v>49</v>
      </c>
      <c r="D94" s="140" t="s">
        <v>48</v>
      </c>
      <c r="E94" s="140" t="s">
        <v>50</v>
      </c>
      <c r="F94" s="10" t="s">
        <v>634</v>
      </c>
      <c r="G94" s="10">
        <v>5</v>
      </c>
      <c r="H94" s="10"/>
      <c r="I94" s="88"/>
      <c r="J94" s="10" t="b">
        <v>1</v>
      </c>
      <c r="K94" s="10">
        <v>5</v>
      </c>
      <c r="L94" s="10">
        <v>14</v>
      </c>
    </row>
    <row r="95" spans="1:12">
      <c r="A95" s="10" t="s">
        <v>155</v>
      </c>
      <c r="B95" s="148" t="s">
        <v>51</v>
      </c>
      <c r="C95" s="148" t="s">
        <v>49</v>
      </c>
      <c r="D95" s="148" t="s">
        <v>48</v>
      </c>
      <c r="E95" s="148" t="s">
        <v>50</v>
      </c>
      <c r="F95" s="10" t="s">
        <v>655</v>
      </c>
      <c r="G95" s="10">
        <v>123</v>
      </c>
      <c r="H95" s="10" t="s">
        <v>35</v>
      </c>
      <c r="I95" s="88"/>
      <c r="J95" s="10" t="b">
        <v>1</v>
      </c>
      <c r="K95" s="10">
        <v>123</v>
      </c>
      <c r="L95" s="10">
        <v>15</v>
      </c>
    </row>
    <row r="96" spans="1:12">
      <c r="A96" s="10" t="s">
        <v>155</v>
      </c>
      <c r="B96" s="148" t="s">
        <v>51</v>
      </c>
      <c r="C96" s="148" t="s">
        <v>49</v>
      </c>
      <c r="D96" s="148" t="s">
        <v>48</v>
      </c>
      <c r="E96" s="148" t="s">
        <v>50</v>
      </c>
      <c r="F96" s="10" t="s">
        <v>656</v>
      </c>
      <c r="G96" s="10">
        <v>54</v>
      </c>
      <c r="H96" s="10" t="s">
        <v>35</v>
      </c>
      <c r="I96" s="88"/>
      <c r="J96" s="10" t="b">
        <v>1</v>
      </c>
      <c r="K96" s="10">
        <v>54</v>
      </c>
      <c r="L96" s="10">
        <v>15</v>
      </c>
    </row>
    <row r="97" spans="1:12">
      <c r="A97" s="10" t="s">
        <v>155</v>
      </c>
      <c r="B97" s="148" t="s">
        <v>51</v>
      </c>
      <c r="C97" s="148" t="s">
        <v>49</v>
      </c>
      <c r="D97" s="148" t="s">
        <v>48</v>
      </c>
      <c r="E97" s="148" t="s">
        <v>50</v>
      </c>
      <c r="F97" s="10" t="s">
        <v>657</v>
      </c>
      <c r="G97" s="10">
        <v>23</v>
      </c>
      <c r="H97" s="10" t="s">
        <v>35</v>
      </c>
      <c r="I97" s="88"/>
      <c r="J97" s="10" t="b">
        <v>1</v>
      </c>
      <c r="K97" s="10">
        <v>23</v>
      </c>
      <c r="L97" s="10">
        <v>15</v>
      </c>
    </row>
    <row r="98" spans="1:12">
      <c r="A98" s="10" t="s">
        <v>155</v>
      </c>
      <c r="B98" s="148" t="s">
        <v>51</v>
      </c>
      <c r="C98" s="148" t="s">
        <v>49</v>
      </c>
      <c r="D98" s="148" t="s">
        <v>48</v>
      </c>
      <c r="E98" s="148" t="s">
        <v>50</v>
      </c>
      <c r="F98" s="10" t="s">
        <v>658</v>
      </c>
      <c r="G98" s="10">
        <v>12</v>
      </c>
      <c r="H98" s="10"/>
      <c r="I98" s="88"/>
      <c r="J98" s="10" t="b">
        <v>1</v>
      </c>
      <c r="K98" s="10">
        <v>12</v>
      </c>
      <c r="L98" s="10">
        <v>15</v>
      </c>
    </row>
    <row r="99" spans="1:12">
      <c r="A99" s="10" t="s">
        <v>155</v>
      </c>
      <c r="B99" s="148" t="s">
        <v>51</v>
      </c>
      <c r="C99" s="148" t="s">
        <v>49</v>
      </c>
      <c r="D99" s="148" t="s">
        <v>48</v>
      </c>
      <c r="E99" s="148" t="s">
        <v>50</v>
      </c>
      <c r="F99" s="10" t="s">
        <v>659</v>
      </c>
      <c r="G99" s="10">
        <v>7.89</v>
      </c>
      <c r="H99" s="10" t="s">
        <v>662</v>
      </c>
      <c r="I99" s="88"/>
      <c r="J99" s="10" t="b">
        <v>1</v>
      </c>
      <c r="K99" s="10">
        <v>7.89</v>
      </c>
      <c r="L99" s="10">
        <v>15</v>
      </c>
    </row>
    <row r="100" spans="1:12">
      <c r="A100" s="10" t="s">
        <v>155</v>
      </c>
      <c r="B100" s="148" t="s">
        <v>51</v>
      </c>
      <c r="C100" s="148" t="s">
        <v>49</v>
      </c>
      <c r="D100" s="148" t="s">
        <v>48</v>
      </c>
      <c r="E100" s="148" t="s">
        <v>50</v>
      </c>
      <c r="F100" s="10" t="s">
        <v>660</v>
      </c>
      <c r="G100" s="10">
        <v>3.45</v>
      </c>
      <c r="H100" s="10" t="s">
        <v>662</v>
      </c>
      <c r="I100" s="88"/>
      <c r="J100" s="10" t="b">
        <v>1</v>
      </c>
      <c r="K100" s="10">
        <v>3.45</v>
      </c>
      <c r="L100" s="10">
        <v>15</v>
      </c>
    </row>
    <row r="101" spans="1:12">
      <c r="A101" s="10" t="s">
        <v>155</v>
      </c>
      <c r="B101" s="148" t="s">
        <v>51</v>
      </c>
      <c r="C101" s="148" t="s">
        <v>49</v>
      </c>
      <c r="D101" s="148" t="s">
        <v>48</v>
      </c>
      <c r="E101" s="148" t="s">
        <v>50</v>
      </c>
      <c r="F101" s="10" t="s">
        <v>661</v>
      </c>
      <c r="G101" s="10">
        <v>1.23</v>
      </c>
      <c r="H101" s="10" t="s">
        <v>662</v>
      </c>
      <c r="I101" s="88"/>
      <c r="J101" s="10" t="b">
        <v>1</v>
      </c>
      <c r="K101" s="10">
        <v>1.23</v>
      </c>
      <c r="L101" s="10">
        <v>15</v>
      </c>
    </row>
    <row r="102" spans="1:12">
      <c r="A102" s="10" t="s">
        <v>155</v>
      </c>
      <c r="B102" s="153" t="s">
        <v>51</v>
      </c>
      <c r="C102" s="153" t="s">
        <v>49</v>
      </c>
      <c r="D102" s="153" t="s">
        <v>48</v>
      </c>
      <c r="E102" s="153" t="s">
        <v>50</v>
      </c>
      <c r="F102" s="10" t="s">
        <v>663</v>
      </c>
      <c r="G102" s="10">
        <v>12.43</v>
      </c>
      <c r="H102" s="10" t="s">
        <v>667</v>
      </c>
      <c r="I102" s="88"/>
      <c r="J102" s="10" t="b">
        <v>1</v>
      </c>
      <c r="K102" s="10">
        <v>12.43</v>
      </c>
      <c r="L102" s="10">
        <v>15</v>
      </c>
    </row>
    <row r="103" spans="1:12">
      <c r="A103" s="10" t="s">
        <v>155</v>
      </c>
      <c r="B103" s="153" t="s">
        <v>51</v>
      </c>
      <c r="C103" s="153" t="s">
        <v>49</v>
      </c>
      <c r="D103" s="153" t="s">
        <v>48</v>
      </c>
      <c r="E103" s="153" t="s">
        <v>50</v>
      </c>
      <c r="F103" s="10" t="s">
        <v>664</v>
      </c>
      <c r="G103" s="10">
        <v>5.67</v>
      </c>
      <c r="H103" s="10" t="s">
        <v>667</v>
      </c>
      <c r="I103" s="88"/>
      <c r="J103" s="10" t="b">
        <v>1</v>
      </c>
      <c r="K103" s="10">
        <v>5.67</v>
      </c>
      <c r="L103" s="10">
        <v>15</v>
      </c>
    </row>
    <row r="104" spans="1:12">
      <c r="A104" s="10" t="s">
        <v>155</v>
      </c>
      <c r="B104" s="153" t="s">
        <v>51</v>
      </c>
      <c r="C104" s="153" t="s">
        <v>49</v>
      </c>
      <c r="D104" s="153" t="s">
        <v>48</v>
      </c>
      <c r="E104" s="153" t="s">
        <v>50</v>
      </c>
      <c r="F104" s="10" t="s">
        <v>665</v>
      </c>
      <c r="G104" s="10">
        <v>2.34</v>
      </c>
      <c r="H104" s="10" t="s">
        <v>667</v>
      </c>
      <c r="I104" s="88"/>
      <c r="J104" s="10" t="b">
        <v>1</v>
      </c>
      <c r="K104" s="10">
        <v>2.34</v>
      </c>
      <c r="L104" s="10">
        <v>15</v>
      </c>
    </row>
    <row r="105" spans="1:12">
      <c r="A105" s="10" t="s">
        <v>155</v>
      </c>
      <c r="B105" s="153" t="s">
        <v>51</v>
      </c>
      <c r="C105" s="153" t="s">
        <v>49</v>
      </c>
      <c r="D105" s="153" t="s">
        <v>48</v>
      </c>
      <c r="E105" s="153"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675</v>
      </c>
      <c r="E154" s="11"/>
      <c r="F154" s="11"/>
      <c r="G154" s="11"/>
      <c r="H154" s="11"/>
      <c r="I154" s="11"/>
      <c r="J154" s="11"/>
      <c r="K154" s="11">
        <v>6104</v>
      </c>
      <c r="L154" s="11">
        <v>2</v>
      </c>
      <c r="M154" s="27"/>
      <c r="Q154" s="27">
        <v>1.9499880000000001</v>
      </c>
    </row>
    <row r="155" spans="1:17">
      <c r="A155" s="10" t="s">
        <v>155</v>
      </c>
      <c r="B155" s="10" t="s">
        <v>51</v>
      </c>
      <c r="C155" s="10" t="s">
        <v>49</v>
      </c>
      <c r="D155" s="10" t="s">
        <v>676</v>
      </c>
      <c r="E155" s="11"/>
      <c r="F155" s="11"/>
      <c r="G155" s="11"/>
      <c r="H155" s="11"/>
      <c r="I155" s="11"/>
      <c r="J155" s="11"/>
      <c r="K155" s="11">
        <v>495</v>
      </c>
      <c r="L155" s="11">
        <v>2</v>
      </c>
      <c r="M155" s="27"/>
      <c r="Q155" s="27">
        <v>1.531164</v>
      </c>
    </row>
    <row r="156" spans="1:17">
      <c r="A156" s="10" t="s">
        <v>155</v>
      </c>
      <c r="B156" s="10" t="s">
        <v>51</v>
      </c>
      <c r="C156" s="10" t="s">
        <v>49</v>
      </c>
      <c r="D156" s="10" t="s">
        <v>677</v>
      </c>
      <c r="E156" s="11"/>
      <c r="F156" s="11"/>
      <c r="G156" s="11"/>
      <c r="H156" s="11"/>
      <c r="I156" s="11"/>
      <c r="J156" s="11"/>
      <c r="K156" s="11">
        <v>3299</v>
      </c>
      <c r="L156" s="11">
        <v>2</v>
      </c>
      <c r="M156" s="27"/>
      <c r="Q156" s="27">
        <v>1.7405759999999999</v>
      </c>
    </row>
    <row r="157" spans="1:17">
      <c r="A157" s="10" t="s">
        <v>155</v>
      </c>
      <c r="B157" s="10" t="s">
        <v>51</v>
      </c>
      <c r="C157" s="10" t="s">
        <v>49</v>
      </c>
      <c r="D157" s="10" t="s">
        <v>678</v>
      </c>
      <c r="E157" s="11"/>
      <c r="F157" s="11"/>
      <c r="G157" s="11"/>
      <c r="H157" s="11"/>
      <c r="I157" s="11"/>
      <c r="J157" s="11"/>
      <c r="K157" s="11">
        <v>2804</v>
      </c>
      <c r="L157" s="11">
        <v>2</v>
      </c>
      <c r="M157" s="27"/>
      <c r="Q157" s="27">
        <v>0.20941199999999999</v>
      </c>
    </row>
    <row r="158" spans="1:17">
      <c r="A158" s="10" t="s">
        <v>155</v>
      </c>
      <c r="B158" s="10" t="s">
        <v>51</v>
      </c>
      <c r="C158" s="10" t="s">
        <v>49</v>
      </c>
      <c r="D158" s="10" t="s">
        <v>679</v>
      </c>
      <c r="E158" s="11"/>
      <c r="F158" s="11"/>
      <c r="G158" s="11"/>
      <c r="H158" s="11"/>
      <c r="I158" s="11"/>
      <c r="J158" s="11"/>
      <c r="K158" s="11">
        <v>6599</v>
      </c>
      <c r="L158" s="11">
        <v>2</v>
      </c>
      <c r="M158" s="27"/>
      <c r="Q158" s="27">
        <v>3.4811519999999998</v>
      </c>
    </row>
    <row r="159" spans="1:17">
      <c r="A159" s="10" t="s">
        <v>155</v>
      </c>
      <c r="B159" s="10" t="s">
        <v>51</v>
      </c>
      <c r="C159" s="10" t="s">
        <v>49</v>
      </c>
      <c r="D159" s="10" t="s">
        <v>680</v>
      </c>
    </row>
    <row r="160" spans="1:17">
      <c r="A160" s="10" t="s">
        <v>155</v>
      </c>
      <c r="B160" s="10" t="s">
        <v>51</v>
      </c>
      <c r="C160" s="10" t="s">
        <v>49</v>
      </c>
      <c r="D160" s="10" t="s">
        <v>681</v>
      </c>
      <c r="E160" s="11"/>
      <c r="F160" s="11"/>
      <c r="G160" s="11"/>
      <c r="H160" s="11"/>
      <c r="I160" s="11"/>
      <c r="J160" s="11"/>
      <c r="K160" s="11">
        <v>1031</v>
      </c>
      <c r="L160" s="11">
        <v>1</v>
      </c>
      <c r="M160" s="27"/>
      <c r="Q160" s="27">
        <v>8.0669253152279339</v>
      </c>
    </row>
    <row r="161" spans="1:17">
      <c r="A161" s="10" t="s">
        <v>155</v>
      </c>
      <c r="B161" s="10" t="s">
        <v>51</v>
      </c>
      <c r="C161" s="10" t="s">
        <v>49</v>
      </c>
      <c r="D161" s="10" t="s">
        <v>682</v>
      </c>
      <c r="E161" s="11"/>
      <c r="F161" s="11"/>
      <c r="G161" s="11"/>
      <c r="H161" s="11"/>
      <c r="I161" s="11"/>
      <c r="J161" s="11"/>
      <c r="K161" s="11">
        <v>1031</v>
      </c>
      <c r="L161" s="11">
        <v>1</v>
      </c>
      <c r="M161" s="27"/>
      <c r="Q161" s="27">
        <v>8.0669253152279339</v>
      </c>
    </row>
    <row r="162" spans="1:17">
      <c r="A162" s="10" t="s">
        <v>155</v>
      </c>
      <c r="B162" s="10" t="s">
        <v>51</v>
      </c>
      <c r="C162" s="10" t="s">
        <v>49</v>
      </c>
      <c r="D162" s="10" t="s">
        <v>683</v>
      </c>
      <c r="E162" s="11"/>
      <c r="F162" s="11"/>
      <c r="G162" s="11"/>
      <c r="H162" s="11"/>
      <c r="I162" s="11"/>
      <c r="J162" s="11"/>
      <c r="K162" s="11">
        <v>1031</v>
      </c>
      <c r="L162" s="11">
        <v>1</v>
      </c>
      <c r="M162" s="27"/>
      <c r="Q162" s="27">
        <v>8.0669253152279339</v>
      </c>
    </row>
    <row r="163" spans="1:17">
      <c r="A163" s="10" t="s">
        <v>155</v>
      </c>
      <c r="B163" s="10" t="s">
        <v>51</v>
      </c>
      <c r="C163" s="10" t="s">
        <v>49</v>
      </c>
      <c r="D163" s="10" t="s">
        <v>684</v>
      </c>
      <c r="E163" s="11"/>
      <c r="F163" s="11"/>
      <c r="G163" s="11"/>
      <c r="H163" s="11"/>
      <c r="I163" s="11"/>
      <c r="J163" s="11"/>
      <c r="K163" s="11">
        <v>0</v>
      </c>
      <c r="L163" s="11">
        <v>1</v>
      </c>
      <c r="M163" s="27"/>
      <c r="Q163" s="27">
        <v>0</v>
      </c>
    </row>
    <row r="164" spans="1:17">
      <c r="A164" s="10" t="s">
        <v>155</v>
      </c>
      <c r="B164" s="10" t="s">
        <v>51</v>
      </c>
      <c r="C164" s="10" t="s">
        <v>49</v>
      </c>
      <c r="D164" s="10" t="s">
        <v>685</v>
      </c>
      <c r="E164" s="11"/>
      <c r="F164" s="11"/>
      <c r="G164" s="11"/>
      <c r="H164" s="11"/>
      <c r="I164" s="11"/>
      <c r="J164" s="11"/>
      <c r="K164" s="11">
        <v>1031</v>
      </c>
      <c r="L164" s="11">
        <v>1</v>
      </c>
      <c r="M164" s="27"/>
      <c r="Q164" s="27">
        <v>8.0669253152279339</v>
      </c>
    </row>
    <row r="165" spans="1:17">
      <c r="A165" s="10" t="s">
        <v>155</v>
      </c>
      <c r="B165" s="10" t="s">
        <v>51</v>
      </c>
      <c r="C165" s="10" t="s">
        <v>49</v>
      </c>
      <c r="D165" s="10" t="s">
        <v>686</v>
      </c>
      <c r="E165" s="11"/>
      <c r="F165" s="11"/>
      <c r="G165" s="11"/>
      <c r="H165" s="11"/>
      <c r="I165" s="11"/>
      <c r="J165" s="11"/>
      <c r="K165" s="11"/>
      <c r="L165" s="11">
        <v>1</v>
      </c>
      <c r="M165" s="27"/>
      <c r="Q165" s="27"/>
    </row>
    <row r="166" spans="1:17">
      <c r="A166" s="10" t="s">
        <v>155</v>
      </c>
      <c r="B166" s="10" t="s">
        <v>51</v>
      </c>
      <c r="C166" s="10" t="s">
        <v>49</v>
      </c>
      <c r="D166" s="10" t="s">
        <v>687</v>
      </c>
      <c r="E166" s="11"/>
      <c r="F166" s="11"/>
      <c r="G166" s="11"/>
      <c r="H166" s="11"/>
      <c r="I166" s="11"/>
      <c r="J166" s="11"/>
      <c r="K166" s="11">
        <v>6104</v>
      </c>
      <c r="L166" s="11">
        <v>3</v>
      </c>
      <c r="M166" s="27"/>
      <c r="Q166" s="27">
        <v>1.9499880000000001</v>
      </c>
    </row>
    <row r="167" spans="1:17">
      <c r="A167" s="10" t="s">
        <v>155</v>
      </c>
      <c r="B167" s="10" t="s">
        <v>51</v>
      </c>
      <c r="C167" s="10" t="s">
        <v>49</v>
      </c>
      <c r="D167" s="10" t="s">
        <v>688</v>
      </c>
      <c r="E167" s="11"/>
      <c r="F167" s="11"/>
      <c r="G167" s="11"/>
      <c r="H167" s="11"/>
      <c r="I167" s="11"/>
      <c r="J167" s="11"/>
      <c r="K167" s="11">
        <v>495</v>
      </c>
      <c r="L167" s="11">
        <v>3</v>
      </c>
      <c r="M167" s="27"/>
      <c r="Q167" s="27">
        <v>1.0016050000000001</v>
      </c>
    </row>
    <row r="168" spans="1:17">
      <c r="A168" s="10" t="s">
        <v>155</v>
      </c>
      <c r="B168" s="10" t="s">
        <v>51</v>
      </c>
      <c r="C168" s="10" t="s">
        <v>49</v>
      </c>
      <c r="D168" s="10" t="s">
        <v>689</v>
      </c>
      <c r="E168" s="11"/>
      <c r="F168" s="11"/>
      <c r="G168" s="11"/>
      <c r="H168" s="11"/>
      <c r="I168" s="11"/>
      <c r="J168" s="11"/>
      <c r="K168" s="11">
        <v>2452</v>
      </c>
      <c r="L168" s="11">
        <v>3</v>
      </c>
      <c r="M168" s="27"/>
      <c r="Q168" s="27">
        <v>1.4942523333333335</v>
      </c>
    </row>
    <row r="169" spans="1:17">
      <c r="A169" s="10" t="s">
        <v>155</v>
      </c>
      <c r="B169" s="10" t="s">
        <v>51</v>
      </c>
      <c r="C169" s="10" t="s">
        <v>49</v>
      </c>
      <c r="D169" s="10" t="s">
        <v>690</v>
      </c>
      <c r="E169" s="11"/>
      <c r="F169" s="11"/>
      <c r="G169" s="11"/>
      <c r="H169" s="11"/>
      <c r="I169" s="11"/>
      <c r="J169" s="11"/>
      <c r="K169" s="11">
        <v>2584</v>
      </c>
      <c r="L169" s="11">
        <v>3</v>
      </c>
      <c r="M169" s="27"/>
      <c r="Q169" s="27">
        <v>0.38805449103988199</v>
      </c>
    </row>
    <row r="170" spans="1:17">
      <c r="A170" s="10" t="s">
        <v>155</v>
      </c>
      <c r="B170" s="10" t="s">
        <v>51</v>
      </c>
      <c r="C170" s="10" t="s">
        <v>49</v>
      </c>
      <c r="D170" s="10" t="s">
        <v>691</v>
      </c>
      <c r="E170" s="11"/>
      <c r="F170" s="11"/>
      <c r="G170" s="11"/>
      <c r="H170" s="11"/>
      <c r="I170" s="11"/>
      <c r="J170" s="11"/>
      <c r="K170" s="11">
        <v>7356</v>
      </c>
      <c r="L170" s="11">
        <v>3</v>
      </c>
      <c r="M170" s="27"/>
      <c r="Q170" s="27">
        <v>4.4827570000000003</v>
      </c>
    </row>
  </sheetData>
  <autoFilter ref="A1:M130"/>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2017-01-16T03:06:05Z</dcterms:modified>
</cp:coreProperties>
</file>