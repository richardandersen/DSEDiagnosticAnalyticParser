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42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SSTables" sheetId="61" r:id="rId10"/>
    <sheet name="Write" sheetId="11" r:id="rId11"/>
    <sheet name="Write by Node" sheetId="35" r:id="rId12"/>
    <sheet name="TombStones" sheetId="22" r:id="rId13"/>
    <sheet name="TombStones by Node" sheetId="28" r:id="rId14"/>
    <sheet name="Query" sheetId="24" r:id="rId15"/>
    <sheet name="Repair" sheetId="56" r:id="rId16"/>
    <sheet name="Read-Repair by Node" sheetId="25" r:id="rId17"/>
    <sheet name="Partitions" sheetId="12" r:id="rId18"/>
    <sheet name="Partitions by Node" sheetId="29" r:id="rId19"/>
    <sheet name="GC" sheetId="23" r:id="rId20"/>
    <sheet name="Pauses-JVM" sheetId="31" r:id="rId21"/>
    <sheet name="memtable Flush" sheetId="57" r:id="rId22"/>
    <sheet name="memtable Flush by Node" sheetId="59" r:id="rId23"/>
    <sheet name="Compaction" sheetId="19" r:id="rId24"/>
    <sheet name="Compaction by Node" sheetId="30" r:id="rId25"/>
    <sheet name="AntiCompaction" sheetId="51" r:id="rId26"/>
    <sheet name="AntiCompaction by Node" sheetId="53" r:id="rId27"/>
    <sheet name="Concurrent CompactionFlushes" sheetId="60" r:id="rId28"/>
    <sheet name="Droppable" sheetId="26" r:id="rId29"/>
    <sheet name="Storage-Size" sheetId="15" r:id="rId30"/>
    <sheet name="Hints" sheetId="50" r:id="rId31"/>
    <sheet name="Batches" sheetId="33" r:id="rId32"/>
    <sheet name="Histogram - Read" sheetId="36" r:id="rId33"/>
    <sheet name="Histogram - SSTables" sheetId="45" r:id="rId34"/>
    <sheet name="Histogram - Write" sheetId="37" r:id="rId35"/>
    <sheet name="Histogram - Cell Counts" sheetId="38" r:id="rId36"/>
    <sheet name="Histogram - Partition" sheetId="44" r:id="rId37"/>
    <sheet name="Cassandra Log Exceptions" sheetId="47" r:id="rId38"/>
    <sheet name="Cassandra Summary Logs" sheetId="39" r:id="rId39"/>
    <sheet name="Solr" sheetId="54" r:id="rId40"/>
    <sheet name="Solr by Node" sheetId="55" r:id="rId41"/>
    <sheet name="Application" sheetId="27" r:id="rId42"/>
    <sheet name="--Marker--" sheetId="42" r:id="rId43"/>
    <sheet name="Read Repair History" sheetId="49" r:id="rId44"/>
    <sheet name="CFStats" sheetId="4" r:id="rId45"/>
    <sheet name="NodeStats" sheetId="16" r:id="rId46"/>
    <sheet name="TableHistogram" sheetId="32" r:id="rId47"/>
  </sheets>
  <definedNames>
    <definedName name="_xlnm._FilterDatabase" localSheetId="38" hidden="1">'Cassandra Summary Logs'!$A$2:$H$2</definedName>
    <definedName name="_xlnm._FilterDatabase" localSheetId="44" hidden="1">CFStats!$A$1:$K$68</definedName>
    <definedName name="_xlnm._FilterDatabase" localSheetId="5" hidden="1">'DDL Keyspaces'!$A$1:$E$1</definedName>
    <definedName name="_xlnm._FilterDatabase" localSheetId="45" hidden="1">NodeStats!$A$1:$M$170</definedName>
    <definedName name="_xlnm._FilterDatabase" localSheetId="4" hidden="1">'Settings-Yamls'!$A$1:$E$1</definedName>
    <definedName name="_xlnm._FilterDatabase" localSheetId="4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48"/>
    <pivotCache cacheId="1" r:id="rId49"/>
    <pivotCache cacheId="2" r:id="rId50"/>
    <pivotCache cacheId="3" r:id="rId51"/>
    <pivotCache cacheId="4" r:id="rId52"/>
    <pivotCache cacheId="5" r:id="rId53"/>
    <pivotCache cacheId="6" r:id="rId54"/>
  </pivotCaches>
  <extLst>
    <ext xmlns:x14="http://schemas.microsoft.com/office/spreadsheetml/2009/9/main" uri="{BBE1A952-AA13-448e-AADC-164F8A28A991}">
      <x14:slicerCaches>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8" i="61" l="1"/>
  <c r="A8" i="61"/>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<sst xmlns="http://schemas.openxmlformats.org/spreadsheetml/2006/main" count="4648" uniqueCount="736">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</sst>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19">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177" fontId="0" fillId="2" borderId="3"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xf numFmtId="177" fontId="0" fillId="2" borderId="3" xfId="0" applyNumberFormat="1" applyFont="1" applyFill="1" applyBorder="1" applyAlignment="1">
      <alignment horizontal="center" wrapText="1"/>
    </xf>
    <xf numFmtId="0" fontId="0" fillId="0" borderId="4" xfId="0" applyNumberFormat="1" applyFont="1" applyBorder="1" applyAlignment="1">
      <alignment horizontal="center" wrapText="1"/>
    </xf>
  </cellXfs>
  <cellStyles count="2">
    <cellStyle name="Normal" xfId="0" builtinId="0"/>
    <cellStyle name="Normal 2" xfId="1"/>
  </cellStyles>
  <dxfs count="400">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9.xml"/><Relationship Id="rId68" Type="http://schemas.microsoft.com/office/2007/relationships/slicerCache" Target="slicerCaches/slicerCache1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6.xml"/><Relationship Id="rId58" Type="http://schemas.microsoft.com/office/2007/relationships/slicerCache" Target="slicerCaches/slicerCache4.xml"/><Relationship Id="rId74" Type="http://schemas.microsoft.com/office/2007/relationships/slicerCache" Target="slicerCaches/slicerCache20.xml"/><Relationship Id="rId79"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7.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7/relationships/slicerCache" Target="slicerCaches/slicerCache2.xml"/><Relationship Id="rId64" Type="http://schemas.microsoft.com/office/2007/relationships/slicerCache" Target="slicerCaches/slicerCache10.xml"/><Relationship Id="rId69" Type="http://schemas.microsoft.com/office/2007/relationships/slicerCache" Target="slicerCaches/slicerCache15.xml"/><Relationship Id="rId77" Type="http://schemas.microsoft.com/office/2007/relationships/slicerCache" Target="slicerCaches/slicerCache23.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7/relationships/slicerCache" Target="slicerCaches/slicerCache1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5.xml"/><Relationship Id="rId67" Type="http://schemas.microsoft.com/office/2007/relationships/slicerCache" Target="slicerCaches/slicerCache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07/relationships/slicerCache" Target="slicerCaches/slicerCache8.xml"/><Relationship Id="rId70" Type="http://schemas.microsoft.com/office/2007/relationships/slicerCache" Target="slicerCaches/slicerCache16.xml"/><Relationship Id="rId75" Type="http://schemas.microsoft.com/office/2007/relationships/slicerCache" Target="slicerCaches/slicerCache2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5.xml"/><Relationship Id="rId60" Type="http://schemas.microsoft.com/office/2007/relationships/slicerCache" Target="slicerCaches/slicerCache6.xml"/><Relationship Id="rId65" Type="http://schemas.microsoft.com/office/2007/relationships/slicerCache" Target="slicerCaches/slicerCache11.xml"/><Relationship Id="rId73" Type="http://schemas.microsoft.com/office/2007/relationships/slicerCache" Target="slicerCaches/slicerCache19.xml"/><Relationship Id="rId78" Type="http://schemas.microsoft.com/office/2007/relationships/slicerCache" Target="slicerCaches/slicerCache2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microsoft.com/office/2007/relationships/slicerCache" Target="slicerCaches/slicerCache1.xml"/><Relationship Id="rId76" Type="http://schemas.microsoft.com/office/2007/relationships/slicerCache" Target="slicerCaches/slicerCache22.xml"/><Relationship Id="rId7" Type="http://schemas.openxmlformats.org/officeDocument/2006/relationships/worksheet" Target="worksheets/sheet7.xml"/><Relationship Id="rId71" Type="http://schemas.microsoft.com/office/2007/relationships/slicerCache" Target="slicerCaches/slicerCache1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984587384257" createdVersion="5" refreshedVersion="6" minRefreshableVersion="3" recordCount="9">
  <cacheSource type="worksheet">
    <worksheetSource ref="A2:AM999999" sheet="Read Repair History"/>
  </cacheSource>
  <cacheFields count="39">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Perf Warnings" numFmtId="0">
      <sharedItems containsString="0" containsBlank="1" containsNumber="1" containsInteger="1" minValue="4" maxValue="6"/>
    </cacheField>
    <cacheField name="Perf Average Latency" numFmtId="0">
      <sharedItems containsString="0" containsBlank="1" containsNumber="1" containsInteger="1" minValue="678" maxValue="890"/>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15.451339004627"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3">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n v="2"/>
    <n v="108.86038303375244"/>
    <n v="104"/>
    <n v="52319"/>
    <n v="1.983803"/>
    <m/>
    <n v="15"/>
    <m/>
    <m/>
    <m/>
    <m/>
    <m/>
    <m/>
    <m/>
  </r>
  <r>
    <x v="3"/>
    <s v="66e8f380-94ab-11e6-bd93-e9761d4b6077"/>
    <x v="0"/>
    <x v="0"/>
    <s v="Compaction"/>
    <x v="0"/>
    <s v="TestTbl"/>
    <d v="2016-10-17T15:52:09"/>
    <x v="1"/>
    <m/>
    <m/>
    <m/>
    <m/>
    <m/>
    <m/>
    <m/>
    <m/>
    <m/>
    <m/>
    <m/>
    <m/>
    <m/>
    <m/>
    <m/>
    <m/>
    <n v="2"/>
    <n v="133.73400020599365"/>
    <n v="129"/>
    <n v="69156"/>
    <n v="1.8655379999999999"/>
    <m/>
    <n v="15"/>
    <m/>
    <m/>
    <m/>
    <m/>
    <m/>
    <m/>
    <m/>
  </r>
  <r>
    <x v="4"/>
    <s v="66e8f380-94ab-11e6-bd93-e9761d4b6077"/>
    <x v="0"/>
    <x v="0"/>
    <s v="Compaction"/>
    <x v="0"/>
    <s v="TestTbl"/>
    <d v="2016-10-17T15:52:10"/>
    <x v="1"/>
    <m/>
    <m/>
    <m/>
    <m/>
    <m/>
    <m/>
    <m/>
    <m/>
    <m/>
    <m/>
    <m/>
    <m/>
    <m/>
    <m/>
    <m/>
    <m/>
    <n v="2"/>
    <n v="130.4456787109375"/>
    <n v="122"/>
    <n v="64274"/>
    <n v="1.903929"/>
    <m/>
    <n v="15"/>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Tables" fieldListSortAscending="1">
  <location ref="L7:N16" firstHeaderRow="1" firstDataRow="2"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Col"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axis="axisRow" dataField="1" showAll="0">
      <items count="17">
        <item sd="0" x="12"/>
        <item sd="0" x="14"/>
        <item sd="0" x="13"/>
        <item sd="0" x="11"/>
        <item sd="0" x="9"/>
        <item sd="0" x="10"/>
        <item sd="0" x="15"/>
        <item x="4"/>
        <item x="8"/>
        <item x="5"/>
        <item x="2"/>
        <item x="1"/>
        <item x="3"/>
        <item x="6"/>
        <item x="7"/>
        <item x="0"/>
        <item t="default"/>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1">
    <field x="4"/>
  </colFields>
  <colItems count="2">
    <i>
      <x v="1"/>
    </i>
    <i t="grand">
      <x/>
    </i>
  </colItems>
  <pageFields count="4">
    <pageField fld="1" hier="-1"/>
    <pageField fld="3" hier="-1"/>
    <pageField fld="9" hier="-1"/>
    <pageField fld="5" item="102" hier="-1"/>
  </pageFields>
  <dataFields count="1">
    <dataField name="SSTable Level" fld="7" subtotal="count" baseField="0" baseItem="0"/>
  </dataFields>
  <formats count="2">
    <format dxfId="399">
      <pivotArea dataOnly="0" labelOnly="1" outline="0" axis="axisValues" fieldPosition="0"/>
    </format>
    <format dxfId="3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F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7">
      <pivotArea collapsedLevelsAreSubtotals="1" fieldPosition="0">
        <references count="2">
          <reference field="4294967294" count="1" selected="0">
            <x v="0"/>
          </reference>
          <reference field="2" count="1">
            <x v="0"/>
          </reference>
        </references>
      </pivotArea>
    </format>
    <format dxfId="39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Nbr Perf Warnings" fld="35" baseField="5" baseItem="0" numFmtId="3"/>
    <dataField name="Perf Avg Latency" fld="36" subtotal="average" baseField="5" baseItem="0" numFmtId="3"/>
    <dataField name="Total Nbr Exceptions" fld="17" baseField="3" baseItem="0" numFmtId="3"/>
    <dataField name="Total Aborted Read Repair" fld="20" baseField="3" baseItem="0" numFmtId="3"/>
  </dataFields>
  <formats count="11">
    <format dxfId="393">
      <pivotArea field="3" type="button" dataOnly="0" labelOnly="1" outline="0" axis="axisRow" fieldPosition="1"/>
    </format>
    <format dxfId="392">
      <pivotArea dataOnly="0" labelOnly="1" outline="0" fieldPosition="0">
        <references count="1">
          <reference field="4294967294" count="9">
            <x v="0"/>
            <x v="1"/>
            <x v="2"/>
            <x v="3"/>
            <x v="5"/>
            <x v="6"/>
            <x v="11"/>
            <x v="14"/>
            <x v="15"/>
          </reference>
        </references>
      </pivotArea>
    </format>
    <format dxfId="391">
      <pivotArea outline="0" fieldPosition="0">
        <references count="1">
          <reference field="4294967294" count="1">
            <x v="7"/>
          </reference>
        </references>
      </pivotArea>
    </format>
    <format dxfId="390">
      <pivotArea dataOnly="0" labelOnly="1" outline="0" fieldPosition="0">
        <references count="1">
          <reference field="4294967294" count="1">
            <x v="7"/>
          </reference>
        </references>
      </pivotArea>
    </format>
    <format dxfId="389">
      <pivotArea collapsedLevelsAreSubtotals="1" fieldPosition="0">
        <references count="2">
          <reference field="4294967294" count="1" selected="0">
            <x v="3"/>
          </reference>
          <reference field="3" count="1">
            <x v="0"/>
          </reference>
        </references>
      </pivotArea>
    </format>
    <format dxfId="388">
      <pivotArea outline="0" fieldPosition="0">
        <references count="1">
          <reference field="4294967294" count="1">
            <x v="4"/>
          </reference>
        </references>
      </pivotArea>
    </format>
    <format dxfId="387">
      <pivotArea outline="0" fieldPosition="0">
        <references count="1">
          <reference field="4294967294" count="1">
            <x v="8"/>
          </reference>
        </references>
      </pivotArea>
    </format>
    <format dxfId="386">
      <pivotArea outline="0" fieldPosition="0">
        <references count="1">
          <reference field="4294967294" count="1">
            <x v="9"/>
          </reference>
        </references>
      </pivotArea>
    </format>
    <format dxfId="385">
      <pivotArea outline="0" fieldPosition="0">
        <references count="1">
          <reference field="4294967294" count="1">
            <x v="10"/>
          </reference>
        </references>
      </pivotArea>
    </format>
    <format dxfId="384">
      <pivotArea outline="0" fieldPosition="0">
        <references count="1">
          <reference field="4294967294" count="1">
            <x v="12"/>
          </reference>
        </references>
      </pivotArea>
    </format>
    <format dxfId="383">
      <pivotArea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N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Nbr Perf Warnings" fld="35" baseField="3" baseItem="0" numFmtId="3"/>
    <dataField name="Perf Avg Latency" fld="36" subtotal="average" baseField="3" baseItem="0" numFmtId="3"/>
    <dataField name="Total Nbr Exceptions" fld="17" baseField="3" baseItem="0" numFmtId="3"/>
    <dataField name="Total Aborted Read Repair" fld="20" baseField="3" baseItem="0" numFmtId="3"/>
  </dataFields>
  <formats count="11">
    <format dxfId="382">
      <pivotArea field="3" type="button" dataOnly="0" labelOnly="1" outline="0" axis="axisRow" fieldPosition="0"/>
    </format>
    <format dxfId="381">
      <pivotArea dataOnly="0" labelOnly="1" outline="0" fieldPosition="0">
        <references count="1">
          <reference field="4294967294" count="9">
            <x v="0"/>
            <x v="1"/>
            <x v="2"/>
            <x v="3"/>
            <x v="5"/>
            <x v="7"/>
            <x v="10"/>
            <x v="13"/>
            <x v="14"/>
          </reference>
        </references>
      </pivotArea>
    </format>
    <format dxfId="380">
      <pivotArea outline="0" fieldPosition="0">
        <references count="1">
          <reference field="4294967294" count="1">
            <x v="6"/>
          </reference>
        </references>
      </pivotArea>
    </format>
    <format dxfId="379">
      <pivotArea outline="0" fieldPosition="0">
        <references count="1">
          <reference field="4294967294" count="1">
            <x v="8"/>
          </reference>
        </references>
      </pivotArea>
    </format>
    <format dxfId="378">
      <pivotArea dataOnly="0" labelOnly="1" outline="0" fieldPosition="0">
        <references count="1">
          <reference field="4294967294" count="1">
            <x v="8"/>
          </reference>
        </references>
      </pivotArea>
    </format>
    <format dxfId="377">
      <pivotArea dataOnly="0" labelOnly="1" outline="0" fieldPosition="0">
        <references count="1">
          <reference field="4294967294" count="1">
            <x v="6"/>
          </reference>
        </references>
      </pivotArea>
    </format>
    <format dxfId="376">
      <pivotArea collapsedLevelsAreSubtotals="1" fieldPosition="0">
        <references count="2">
          <reference field="4294967294" count="1" selected="0">
            <x v="3"/>
          </reference>
          <reference field="3" count="1">
            <x v="0"/>
          </reference>
        </references>
      </pivotArea>
    </format>
    <format dxfId="375">
      <pivotArea outline="0" fieldPosition="0">
        <references count="1">
          <reference field="4294967294" count="1">
            <x v="4"/>
          </reference>
        </references>
      </pivotArea>
    </format>
    <format dxfId="374">
      <pivotArea outline="0" fieldPosition="0">
        <references count="1">
          <reference field="4294967294" count="1">
            <x v="9"/>
          </reference>
        </references>
      </pivotArea>
    </format>
    <format dxfId="373">
      <pivotArea outline="0" fieldPosition="0">
        <references count="1">
          <reference field="4294967294" count="1">
            <x v="11"/>
          </reference>
        </references>
      </pivotArea>
    </format>
    <format dxfId="37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2">
      <pivotArea dataOnly="0" labelOnly="1" outline="0" axis="axisValues" fieldPosition="0"/>
    </format>
    <format dxfId="361">
      <pivotArea dataOnly="0" outline="0" axis="axisValues" fieldPosition="0"/>
    </format>
    <format dxfId="36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6">
      <pivotArea dataOnly="0" labelOnly="1" outline="0" fieldPosition="0">
        <references count="1">
          <reference field="4294967294" count="1">
            <x v="0"/>
          </reference>
        </references>
      </pivotArea>
    </format>
    <format dxfId="3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8">
      <pivotArea dataOnly="0" labelOnly="1" outline="0" fieldPosition="0">
        <references count="1">
          <reference field="4294967294" count="1">
            <x v="1"/>
          </reference>
        </references>
      </pivotArea>
    </format>
    <format dxfId="36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6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71">
      <pivotArea dataOnly="0" labelOnly="1" outline="0" fieldPosition="0">
        <references count="1">
          <reference field="4294967294" count="1">
            <x v="0"/>
          </reference>
        </references>
      </pivotArea>
    </format>
    <format dxfId="37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48">
      <pivotArea dataOnly="0" labelOnly="1" outline="0" fieldPosition="0">
        <references count="1">
          <reference field="4294967294" count="1">
            <x v="0"/>
          </reference>
        </references>
      </pivotArea>
    </format>
    <format dxfId="3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2">
      <pivotArea dataOnly="0" labelOnly="1" outline="0" fieldPosition="0">
        <references count="1">
          <reference field="4294967294" count="1">
            <x v="1"/>
          </reference>
        </references>
      </pivotArea>
    </format>
    <format dxfId="35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6">
      <pivotArea dataOnly="0" labelOnly="1" outline="0" fieldPosition="0">
        <references count="1">
          <reference field="4294967294" count="1">
            <x v="0"/>
          </reference>
        </references>
      </pivotArea>
    </format>
    <format dxfId="3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9">
      <pivotArea dataOnly="0" labelOnly="1" outline="0" axis="axisValues" fieldPosition="0"/>
    </format>
    <format dxfId="358">
      <pivotArea dataOnly="0" outline="0" axis="axisValues" fieldPosition="0"/>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Page" fieldPosition="2"/>
    </format>
    <format dxfId="299">
      <pivotArea dataOnly="0" labelOnly="1" fieldPosition="0">
        <references count="1">
          <reference field="4" count="1">
            <x v="0"/>
          </reference>
        </references>
      </pivotArea>
    </format>
    <format dxfId="298">
      <pivotArea dataOnly="0" labelOnly="1" outline="0" fieldPosition="0">
        <references count="1">
          <reference field="4294967294" count="1">
            <x v="0"/>
          </reference>
        </references>
      </pivotArea>
    </format>
    <format dxfId="297">
      <pivotArea field="4" type="button" dataOnly="0" labelOnly="1" outline="0" axis="axisPage" fieldPosition="2"/>
    </format>
    <format dxfId="296">
      <pivotArea field="2" type="button" dataOnly="0" labelOnly="1" outline="0" axis="axisRow" fieldPosition="0"/>
    </format>
    <format dxfId="295">
      <pivotArea dataOnly="0" labelOnly="1" fieldPosition="0">
        <references count="1">
          <reference field="2" count="1">
            <x v="0"/>
          </reference>
        </references>
      </pivotArea>
    </format>
    <format dxfId="294">
      <pivotArea dataOnly="0" labelOnly="1" grandRow="1" outline="0" fieldPosition="0"/>
    </format>
    <format dxfId="293">
      <pivotArea outline="0" collapsedLevelsAreSubtotals="1" fieldPosition="0">
        <references count="1">
          <reference field="4294967294" count="1" selected="0">
            <x v="3"/>
          </reference>
        </references>
      </pivotArea>
    </format>
    <format dxfId="292">
      <pivotArea dataOnly="0" labelOnly="1" outline="0" fieldPosition="0">
        <references count="1">
          <reference field="4294967294" count="1">
            <x v="3"/>
          </reference>
        </references>
      </pivotArea>
    </format>
    <format dxfId="291">
      <pivotArea outline="0" collapsedLevelsAreSubtotals="1" fieldPosition="0">
        <references count="1">
          <reference field="4294967294" count="1" selected="0">
            <x v="6"/>
          </reference>
        </references>
      </pivotArea>
    </format>
    <format dxfId="290">
      <pivotArea dataOnly="0" labelOnly="1" outline="0" fieldPosition="0">
        <references count="1">
          <reference field="4294967294" count="1">
            <x v="6"/>
          </reference>
        </references>
      </pivotArea>
    </format>
    <format dxfId="289">
      <pivotArea outline="0" collapsedLevelsAreSubtotals="1" fieldPosition="0">
        <references count="1">
          <reference field="4294967294" count="1" selected="0">
            <x v="9"/>
          </reference>
        </references>
      </pivotArea>
    </format>
    <format dxfId="288">
      <pivotArea dataOnly="0" labelOnly="1" outline="0" fieldPosition="0">
        <references count="1">
          <reference field="4294967294" count="1">
            <x v="9"/>
          </reference>
        </references>
      </pivotArea>
    </format>
    <format dxfId="287">
      <pivotArea outline="0" collapsedLevelsAreSubtotals="1" fieldPosition="0">
        <references count="1">
          <reference field="4294967294" count="1" selected="0">
            <x v="12"/>
          </reference>
        </references>
      </pivotArea>
    </format>
    <format dxfId="286">
      <pivotArea dataOnly="0" labelOnly="1" outline="0" fieldPosition="0">
        <references count="1">
          <reference field="4294967294" count="1">
            <x v="12"/>
          </reference>
        </references>
      </pivotArea>
    </format>
    <format dxfId="285">
      <pivotArea outline="0" collapsedLevelsAreSubtotals="1" fieldPosition="0">
        <references count="1">
          <reference field="4294967294" count="1" selected="0">
            <x v="15"/>
          </reference>
        </references>
      </pivotArea>
    </format>
    <format dxfId="284">
      <pivotArea dataOnly="0" labelOnly="1" outline="0" fieldPosition="0">
        <references count="1">
          <reference field="4294967294" count="1">
            <x v="15"/>
          </reference>
        </references>
      </pivotArea>
    </format>
    <format dxfId="283">
      <pivotArea outline="0" collapsedLevelsAreSubtotals="1" fieldPosition="0">
        <references count="1">
          <reference field="4294967294" count="1" selected="0">
            <x v="17"/>
          </reference>
        </references>
      </pivotArea>
    </format>
    <format dxfId="28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0"/>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Page" fieldPosition="2"/>
    </format>
    <format dxfId="183">
      <pivotArea dataOnly="0" labelOnly="1" fieldPosition="0">
        <references count="1">
          <reference field="4" count="1">
            <x v="0"/>
          </reference>
        </references>
      </pivotArea>
    </format>
    <format dxfId="182">
      <pivotArea dataOnly="0" labelOnly="1" outline="0" fieldPosition="0">
        <references count="1">
          <reference field="4294967294" count="1">
            <x v="0"/>
          </reference>
        </references>
      </pivotArea>
    </format>
    <format dxfId="181">
      <pivotArea field="4" type="button" dataOnly="0" labelOnly="1" outline="0" axis="axisPage" fieldPosition="2"/>
    </format>
    <format dxfId="180">
      <pivotArea field="2" type="button" dataOnly="0" labelOnly="1" outline="0" axis="axisRow" fieldPosition="0"/>
    </format>
    <format dxfId="179">
      <pivotArea dataOnly="0" labelOnly="1" fieldPosition="0">
        <references count="1">
          <reference field="2" count="1">
            <x v="0"/>
          </reference>
        </references>
      </pivotArea>
    </format>
    <format dxfId="178">
      <pivotArea dataOnly="0" labelOnly="1" grandRow="1" outline="0" fieldPosition="0"/>
    </format>
    <format dxfId="177">
      <pivotArea outline="0" collapsedLevelsAreSubtotals="1" fieldPosition="0">
        <references count="1">
          <reference field="4294967294" count="1" selected="0">
            <x v="3"/>
          </reference>
        </references>
      </pivotArea>
    </format>
    <format dxfId="176">
      <pivotArea dataOnly="0" labelOnly="1" outline="0" fieldPosition="0">
        <references count="1">
          <reference field="4294967294" count="1">
            <x v="3"/>
          </reference>
        </references>
      </pivotArea>
    </format>
    <format dxfId="175">
      <pivotArea outline="0" collapsedLevelsAreSubtotals="1" fieldPosition="0">
        <references count="1">
          <reference field="4294967294" count="1" selected="0">
            <x v="6"/>
          </reference>
        </references>
      </pivotArea>
    </format>
    <format dxfId="174">
      <pivotArea dataOnly="0" labelOnly="1" outline="0" fieldPosition="0">
        <references count="1">
          <reference field="4294967294" count="1">
            <x v="6"/>
          </reference>
        </references>
      </pivotArea>
    </format>
    <format dxfId="173">
      <pivotArea outline="0" collapsedLevelsAreSubtotals="1" fieldPosition="0">
        <references count="1">
          <reference field="4294967294" count="1" selected="0">
            <x v="9"/>
          </reference>
        </references>
      </pivotArea>
    </format>
    <format dxfId="172">
      <pivotArea dataOnly="0" labelOnly="1" outline="0" fieldPosition="0">
        <references count="1">
          <reference field="4294967294" count="1">
            <x v="9"/>
          </reference>
        </references>
      </pivotArea>
    </format>
    <format dxfId="171">
      <pivotArea outline="0" collapsedLevelsAreSubtotals="1" fieldPosition="0">
        <references count="1">
          <reference field="4294967294" count="1" selected="0">
            <x v="12"/>
          </reference>
        </references>
      </pivotArea>
    </format>
    <format dxfId="170">
      <pivotArea dataOnly="0" labelOnly="1" outline="0" fieldPosition="0">
        <references count="1">
          <reference field="4294967294" count="1">
            <x v="12"/>
          </reference>
        </references>
      </pivotArea>
    </format>
    <format dxfId="169">
      <pivotArea outline="0" collapsedLevelsAreSubtotals="1" fieldPosition="0">
        <references count="1">
          <reference field="4294967294" count="1" selected="0">
            <x v="15"/>
          </reference>
        </references>
      </pivotArea>
    </format>
    <format dxfId="168">
      <pivotArea dataOnly="0" labelOnly="1" outline="0" fieldPosition="0">
        <references count="1">
          <reference field="4294967294" count="1">
            <x v="15"/>
          </reference>
        </references>
      </pivotArea>
    </format>
    <format dxfId="167">
      <pivotArea outline="0" collapsedLevelsAreSubtotals="1" fieldPosition="0">
        <references count="1">
          <reference field="4294967294" count="1" selected="0">
            <x v="17"/>
          </reference>
        </references>
      </pivotArea>
    </format>
    <format dxfId="166">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5">
      <pivotArea outline="0" collapsedLevelsAreSubtotals="1" fieldPosition="0">
        <references count="1">
          <reference field="4294967294" count="1" selected="0">
            <x v="3"/>
          </reference>
        </references>
      </pivotArea>
    </format>
    <format dxfId="204">
      <pivotArea dataOnly="0" labelOnly="1" outline="0" fieldPosition="0">
        <references count="1">
          <reference field="4294967294" count="1">
            <x v="3"/>
          </reference>
        </references>
      </pivotArea>
    </format>
    <format dxfId="203">
      <pivotArea outline="0" collapsedLevelsAreSubtotals="1" fieldPosition="0">
        <references count="1">
          <reference field="4294967294" count="1" selected="0">
            <x v="6"/>
          </reference>
        </references>
      </pivotArea>
    </format>
    <format dxfId="202">
      <pivotArea dataOnly="0" labelOnly="1" outline="0" fieldPosition="0">
        <references count="1">
          <reference field="4294967294" count="1">
            <x v="6"/>
          </reference>
        </references>
      </pivotArea>
    </format>
    <format dxfId="201">
      <pivotArea outline="0" collapsedLevelsAreSubtotals="1" fieldPosition="0">
        <references count="1">
          <reference field="4294967294" count="1" selected="0">
            <x v="9"/>
          </reference>
        </references>
      </pivotArea>
    </format>
    <format dxfId="200">
      <pivotArea dataOnly="0" labelOnly="1" outline="0" fieldPosition="0">
        <references count="1">
          <reference field="4294967294" count="1">
            <x v="9"/>
          </reference>
        </references>
      </pivotArea>
    </format>
    <format dxfId="199">
      <pivotArea outline="0" collapsedLevelsAreSubtotals="1" fieldPosition="0">
        <references count="1">
          <reference field="4294967294" count="1" selected="0">
            <x v="12"/>
          </reference>
        </references>
      </pivotArea>
    </format>
    <format dxfId="198">
      <pivotArea dataOnly="0" labelOnly="1" outline="0" fieldPosition="0">
        <references count="1">
          <reference field="4294967294" count="1">
            <x v="12"/>
          </reference>
        </references>
      </pivotArea>
    </format>
    <format dxfId="197">
      <pivotArea outline="0" collapsedLevelsAreSubtotals="1" fieldPosition="0">
        <references count="1">
          <reference field="4294967294" count="1" selected="0">
            <x v="15"/>
          </reference>
        </references>
      </pivotArea>
    </format>
    <format dxfId="196">
      <pivotArea dataOnly="0" labelOnly="1" outline="0" fieldPosition="0">
        <references count="1">
          <reference field="4294967294" count="1">
            <x v="15"/>
          </reference>
        </references>
      </pivotArea>
    </format>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Row" fieldPosition="0"/>
    </format>
    <format dxfId="191">
      <pivotArea dataOnly="0" labelOnly="1" fieldPosition="0">
        <references count="1">
          <reference field="4" count="1">
            <x v="0"/>
          </reference>
        </references>
      </pivotArea>
    </format>
    <format dxfId="190">
      <pivotArea dataOnly="0" labelOnly="1" grandRow="1" outline="0" fieldPosition="0"/>
    </format>
    <format dxfId="189">
      <pivotArea dataOnly="0" labelOnly="1" outline="0" fieldPosition="0">
        <references count="1">
          <reference field="4294967294" count="1">
            <x v="0"/>
          </reference>
        </references>
      </pivotArea>
    </format>
    <format dxfId="188">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Row" fieldPosition="0"/>
    </format>
    <format dxfId="151">
      <pivotArea dataOnly="0" labelOnly="1" fieldPosition="0">
        <references count="1">
          <reference field="4" count="1">
            <x v="0"/>
          </reference>
        </references>
      </pivotArea>
    </format>
    <format dxfId="150">
      <pivotArea dataOnly="0" labelOnly="1" grandRow="1" outline="0" fieldPosition="0"/>
    </format>
    <format dxfId="149">
      <pivotArea dataOnly="0" labelOnly="1" outline="0" fieldPosition="0">
        <references count="1">
          <reference field="4294967294" count="1">
            <x v="0"/>
          </reference>
        </references>
      </pivotArea>
    </format>
    <format dxfId="148">
      <pivotArea field="4" type="button" dataOnly="0" labelOnly="1" outline="0" axis="axisRow" fieldPosition="0"/>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printerSettings" Target="../printerSettings/printerSettings4.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7.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printerSettings" Target="../printerSettings/printerSettings8.bin"/><Relationship Id="rId5" Type="http://schemas.openxmlformats.org/officeDocument/2006/relationships/pivotTable" Target="../pivotTables/pivotTable26.xml"/><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rinterSettings" Target="../printerSettings/printerSettings9.bin"/><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rinterSettings" Target="../printerSettings/printerSettings10.bin"/><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0.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rinterSettings" Target="../printerSettings/printerSettings12.bin"/><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5.xml"/><Relationship Id="rId7" Type="http://schemas.openxmlformats.org/officeDocument/2006/relationships/pivotTable" Target="../pivotTables/pivotTable49.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ivotTable" Target="../pivotTables/pivotTable48.xml"/><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ivotTable" Target="../pivotTables/pivotTable52.xml"/><Relationship Id="rId7" Type="http://schemas.openxmlformats.org/officeDocument/2006/relationships/pivotTable" Target="../pivotTables/pivotTable56.xml"/><Relationship Id="rId2" Type="http://schemas.openxmlformats.org/officeDocument/2006/relationships/pivotTable" Target="../pivotTables/pivotTable51.xml"/><Relationship Id="rId1" Type="http://schemas.openxmlformats.org/officeDocument/2006/relationships/pivotTable" Target="../pivotTables/pivotTable50.xml"/><Relationship Id="rId6" Type="http://schemas.openxmlformats.org/officeDocument/2006/relationships/pivotTable" Target="../pivotTables/pivotTable55.xml"/><Relationship Id="rId5" Type="http://schemas.openxmlformats.org/officeDocument/2006/relationships/pivotTable" Target="../pivotTables/pivotTable54.xml"/><Relationship Id="rId4" Type="http://schemas.openxmlformats.org/officeDocument/2006/relationships/pivotTable" Target="../pivotTables/pivotTable53.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6" Type="http://schemas.openxmlformats.org/officeDocument/2006/relationships/printerSettings" Target="../printerSettings/printerSettings15.bin"/><Relationship Id="rId5" Type="http://schemas.openxmlformats.org/officeDocument/2006/relationships/pivotTable" Target="../pivotTables/pivotTable61.xml"/><Relationship Id="rId4" Type="http://schemas.openxmlformats.org/officeDocument/2006/relationships/pivotTable" Target="../pivotTables/pivotTable60.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5" Type="http://schemas.openxmlformats.org/officeDocument/2006/relationships/printerSettings" Target="../printerSettings/printerSettings16.bin"/><Relationship Id="rId4" Type="http://schemas.openxmlformats.org/officeDocument/2006/relationships/pivotTable" Target="../pivotTables/pivotTable65.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3.xml"/><Relationship Id="rId3" Type="http://schemas.openxmlformats.org/officeDocument/2006/relationships/pivotTable" Target="../pivotTables/pivotTable68.xml"/><Relationship Id="rId7" Type="http://schemas.openxmlformats.org/officeDocument/2006/relationships/pivotTable" Target="../pivotTables/pivotTable72.xml"/><Relationship Id="rId2" Type="http://schemas.openxmlformats.org/officeDocument/2006/relationships/pivotTable" Target="../pivotTables/pivotTable67.xml"/><Relationship Id="rId1" Type="http://schemas.openxmlformats.org/officeDocument/2006/relationships/pivotTable" Target="../pivotTables/pivotTable66.xml"/><Relationship Id="rId6" Type="http://schemas.openxmlformats.org/officeDocument/2006/relationships/pivotTable" Target="../pivotTables/pivotTable71.xml"/><Relationship Id="rId5" Type="http://schemas.openxmlformats.org/officeDocument/2006/relationships/pivotTable" Target="../pivotTables/pivotTable70.xml"/><Relationship Id="rId10" Type="http://schemas.openxmlformats.org/officeDocument/2006/relationships/printerSettings" Target="../printerSettings/printerSettings17.bin"/><Relationship Id="rId4" Type="http://schemas.openxmlformats.org/officeDocument/2006/relationships/pivotTable" Target="../pivotTables/pivotTable69.xml"/><Relationship Id="rId9" Type="http://schemas.openxmlformats.org/officeDocument/2006/relationships/pivotTable" Target="../pivotTables/pivotTable74.xml"/></Relationships>
</file>

<file path=xl/worksheets/_rels/sheet23.xml.rels><?xml version="1.0" encoding="UTF-8" standalone="yes"?>
<Relationships xmlns="http://schemas.openxmlformats.org/package/2006/relationships"><Relationship Id="rId8" Type="http://schemas.openxmlformats.org/officeDocument/2006/relationships/pivotTable" Target="../pivotTables/pivotTable82.xml"/><Relationship Id="rId3" Type="http://schemas.openxmlformats.org/officeDocument/2006/relationships/pivotTable" Target="../pivotTables/pivotTable77.xml"/><Relationship Id="rId7" Type="http://schemas.openxmlformats.org/officeDocument/2006/relationships/pivotTable" Target="../pivotTables/pivotTable81.xml"/><Relationship Id="rId2" Type="http://schemas.openxmlformats.org/officeDocument/2006/relationships/pivotTable" Target="../pivotTables/pivotTable76.xml"/><Relationship Id="rId1" Type="http://schemas.openxmlformats.org/officeDocument/2006/relationships/pivotTable" Target="../pivotTables/pivotTable75.xml"/><Relationship Id="rId6" Type="http://schemas.openxmlformats.org/officeDocument/2006/relationships/pivotTable" Target="../pivotTables/pivotTable80.xml"/><Relationship Id="rId5" Type="http://schemas.openxmlformats.org/officeDocument/2006/relationships/pivotTable" Target="../pivotTables/pivotTable79.xml"/><Relationship Id="rId10" Type="http://schemas.openxmlformats.org/officeDocument/2006/relationships/printerSettings" Target="../printerSettings/printerSettings18.bin"/><Relationship Id="rId4" Type="http://schemas.openxmlformats.org/officeDocument/2006/relationships/pivotTable" Target="../pivotTables/pivotTable78.xml"/><Relationship Id="rId9"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6.xml"/><Relationship Id="rId7" Type="http://schemas.openxmlformats.org/officeDocument/2006/relationships/printerSettings" Target="../printerSettings/printerSettings19.bin"/><Relationship Id="rId2" Type="http://schemas.openxmlformats.org/officeDocument/2006/relationships/pivotTable" Target="../pivotTables/pivotTable85.xml"/><Relationship Id="rId1" Type="http://schemas.openxmlformats.org/officeDocument/2006/relationships/pivotTable" Target="../pivotTables/pivotTable84.xml"/><Relationship Id="rId6" Type="http://schemas.openxmlformats.org/officeDocument/2006/relationships/pivotTable" Target="../pivotTables/pivotTable89.xml"/><Relationship Id="rId5" Type="http://schemas.openxmlformats.org/officeDocument/2006/relationships/pivotTable" Target="../pivotTables/pivotTable88.xml"/><Relationship Id="rId4" Type="http://schemas.openxmlformats.org/officeDocument/2006/relationships/pivotTable" Target="../pivotTables/pivotTable8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2.xml"/><Relationship Id="rId7" Type="http://schemas.openxmlformats.org/officeDocument/2006/relationships/printerSettings" Target="../printerSettings/printerSettings20.bin"/><Relationship Id="rId2" Type="http://schemas.openxmlformats.org/officeDocument/2006/relationships/pivotTable" Target="../pivotTables/pivotTable91.xml"/><Relationship Id="rId1" Type="http://schemas.openxmlformats.org/officeDocument/2006/relationships/pivotTable" Target="../pivotTables/pivotTable90.xml"/><Relationship Id="rId6" Type="http://schemas.openxmlformats.org/officeDocument/2006/relationships/pivotTable" Target="../pivotTables/pivotTable95.xml"/><Relationship Id="rId5" Type="http://schemas.openxmlformats.org/officeDocument/2006/relationships/pivotTable" Target="../pivotTables/pivotTable94.xml"/><Relationship Id="rId4" Type="http://schemas.openxmlformats.org/officeDocument/2006/relationships/pivotTable" Target="../pivotTables/pivotTable93.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rinterSettings" Target="../printerSettings/printerSettings21.bin"/><Relationship Id="rId5" Type="http://schemas.openxmlformats.org/officeDocument/2006/relationships/pivotTable" Target="../pivotTables/pivotTable100.xml"/><Relationship Id="rId4" Type="http://schemas.openxmlformats.org/officeDocument/2006/relationships/pivotTable" Target="../pivotTables/pivotTable9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3.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rinterSettings" Target="../printerSettings/printerSettings22.bin"/><Relationship Id="rId5" Type="http://schemas.openxmlformats.org/officeDocument/2006/relationships/pivotTable" Target="../pivotTables/pivotTable105.xml"/><Relationship Id="rId4" Type="http://schemas.openxmlformats.org/officeDocument/2006/relationships/pivotTable" Target="../pivotTables/pivotTable104.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5" Type="http://schemas.openxmlformats.org/officeDocument/2006/relationships/pivotTable" Target="../pivotTables/pivotTable110.xml"/><Relationship Id="rId4" Type="http://schemas.openxmlformats.org/officeDocument/2006/relationships/pivotTable" Target="../pivotTables/pivotTable109.xml"/><Relationship Id="rId9"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21.xml"/><Relationship Id="rId3" Type="http://schemas.openxmlformats.org/officeDocument/2006/relationships/pivotTable" Target="../pivotTables/pivotTable116.xml"/><Relationship Id="rId7" Type="http://schemas.openxmlformats.org/officeDocument/2006/relationships/pivotTable" Target="../pivotTables/pivotTable120.xml"/><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11" Type="http://schemas.openxmlformats.org/officeDocument/2006/relationships/printerSettings" Target="../printerSettings/printerSettings24.bin"/><Relationship Id="rId5" Type="http://schemas.openxmlformats.org/officeDocument/2006/relationships/pivotTable" Target="../pivotTables/pivotTable118.xml"/><Relationship Id="rId10" Type="http://schemas.openxmlformats.org/officeDocument/2006/relationships/pivotTable" Target="../pivotTables/pivotTable123.xml"/><Relationship Id="rId4" Type="http://schemas.openxmlformats.org/officeDocument/2006/relationships/pivotTable" Target="../pivotTables/pivotTable117.xml"/><Relationship Id="rId9" Type="http://schemas.openxmlformats.org/officeDocument/2006/relationships/pivotTable" Target="../pivotTables/pivotTable122.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8.xml"/><Relationship Id="rId7" Type="http://schemas.openxmlformats.org/officeDocument/2006/relationships/printerSettings" Target="../printerSettings/printerSettings26.bin"/><Relationship Id="rId2" Type="http://schemas.openxmlformats.org/officeDocument/2006/relationships/pivotTable" Target="../pivotTables/pivotTable127.xml"/><Relationship Id="rId1" Type="http://schemas.openxmlformats.org/officeDocument/2006/relationships/pivotTable" Target="../pivotTables/pivotTable126.xml"/><Relationship Id="rId6" Type="http://schemas.openxmlformats.org/officeDocument/2006/relationships/pivotTable" Target="../pivotTables/pivotTable131.xml"/><Relationship Id="rId5" Type="http://schemas.openxmlformats.org/officeDocument/2006/relationships/pivotTable" Target="../pivotTables/pivotTable130.xml"/><Relationship Id="rId4" Type="http://schemas.openxmlformats.org/officeDocument/2006/relationships/pivotTable" Target="../pivotTables/pivotTable129.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4.xml"/><Relationship Id="rId7" Type="http://schemas.openxmlformats.org/officeDocument/2006/relationships/printerSettings" Target="../printerSettings/printerSettings27.bin"/><Relationship Id="rId2" Type="http://schemas.openxmlformats.org/officeDocument/2006/relationships/pivotTable" Target="../pivotTables/pivotTable133.xml"/><Relationship Id="rId1" Type="http://schemas.openxmlformats.org/officeDocument/2006/relationships/pivotTable" Target="../pivotTables/pivotTable132.xml"/><Relationship Id="rId6" Type="http://schemas.openxmlformats.org/officeDocument/2006/relationships/pivotTable" Target="../pivotTables/pivotTable137.xml"/><Relationship Id="rId5" Type="http://schemas.openxmlformats.org/officeDocument/2006/relationships/pivotTable" Target="../pivotTables/pivotTable136.xml"/><Relationship Id="rId4" Type="http://schemas.openxmlformats.org/officeDocument/2006/relationships/pivotTable" Target="../pivotTables/pivotTable135.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5.xml"/><Relationship Id="rId1" Type="http://schemas.openxmlformats.org/officeDocument/2006/relationships/pivotTable" Target="../pivotTables/pivotTable144.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7.xml"/><Relationship Id="rId1" Type="http://schemas.openxmlformats.org/officeDocument/2006/relationships/pivotTable" Target="../pivotTables/pivotTable146.xml"/></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50.xml"/><Relationship Id="rId2" Type="http://schemas.openxmlformats.org/officeDocument/2006/relationships/pivotTable" Target="../pivotTables/pivotTable149.xml"/><Relationship Id="rId1" Type="http://schemas.openxmlformats.org/officeDocument/2006/relationships/pivotTable" Target="../pivotTables/pivotTable148.xml"/><Relationship Id="rId4"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3.xml"/><Relationship Id="rId2" Type="http://schemas.openxmlformats.org/officeDocument/2006/relationships/pivotTable" Target="../pivotTables/pivotTable152.xml"/><Relationship Id="rId1" Type="http://schemas.openxmlformats.org/officeDocument/2006/relationships/pivotTable" Target="../pivotTables/pivotTable151.xml"/><Relationship Id="rId4"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3" Type="http://schemas.openxmlformats.org/officeDocument/2006/relationships/pivotTable" Target="../pivotTables/pivotTable156.xml"/><Relationship Id="rId2" Type="http://schemas.openxmlformats.org/officeDocument/2006/relationships/pivotTable" Target="../pivotTables/pivotTable155.xml"/><Relationship Id="rId1" Type="http://schemas.openxmlformats.org/officeDocument/2006/relationships/pivotTable" Target="../pivotTables/pivotTable154.xml"/><Relationship Id="rId4"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4.4"/>
  <sheetData>
    <row r="5" spans="2:26" ht="18">
      <c r="B5" s="171" t="s">
        <v>521</v>
      </c>
      <c r="C5" s="171"/>
      <c r="D5" s="171"/>
      <c r="F5" s="171" t="s">
        <v>522</v>
      </c>
      <c r="G5" s="171"/>
      <c r="H5" s="171"/>
      <c r="J5" s="171" t="s">
        <v>365</v>
      </c>
      <c r="K5" s="171"/>
      <c r="L5" s="171"/>
      <c r="N5" s="171" t="s">
        <v>515</v>
      </c>
      <c r="O5" s="171"/>
      <c r="P5" s="171"/>
      <c r="Q5" s="172"/>
      <c r="R5" s="172"/>
      <c r="S5" s="172"/>
      <c r="T5" s="172"/>
      <c r="U5" s="172"/>
      <c r="V5" s="172"/>
      <c r="W5" s="172"/>
      <c r="X5" s="172"/>
      <c r="Y5" s="172"/>
      <c r="Z5" s="172"/>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77" t="s">
        <v>236</v>
      </c>
      <c r="K1" s="175" t="s">
        <v>236</v>
      </c>
      <c r="L1" s="175" t="s">
        <v>236</v>
      </c>
      <c r="M1" s="176" t="s">
        <v>236</v>
      </c>
      <c r="N1" s="173" t="s">
        <v>237</v>
      </c>
      <c r="O1" s="174" t="s">
        <v>237</v>
      </c>
      <c r="P1" s="174" t="s">
        <v>237</v>
      </c>
      <c r="Q1" s="174" t="s">
        <v>237</v>
      </c>
      <c r="R1" s="174" t="s">
        <v>237</v>
      </c>
      <c r="S1" s="178" t="s">
        <v>237</v>
      </c>
      <c r="T1" s="179" t="s">
        <v>238</v>
      </c>
      <c r="U1" s="180" t="s">
        <v>238</v>
      </c>
      <c r="V1" s="180" t="s">
        <v>238</v>
      </c>
      <c r="W1" s="180" t="s">
        <v>238</v>
      </c>
      <c r="X1" s="181" t="s">
        <v>238</v>
      </c>
      <c r="Y1" s="182" t="s">
        <v>239</v>
      </c>
      <c r="Z1" s="180" t="s">
        <v>239</v>
      </c>
      <c r="AA1" s="175" t="s">
        <v>239</v>
      </c>
      <c r="AB1" s="181" t="s">
        <v>239</v>
      </c>
      <c r="AC1" s="182" t="s">
        <v>240</v>
      </c>
      <c r="AD1" s="175" t="s">
        <v>240</v>
      </c>
      <c r="AE1" s="175" t="s">
        <v>240</v>
      </c>
      <c r="AF1" s="176" t="s">
        <v>240</v>
      </c>
      <c r="AG1" s="179" t="s">
        <v>241</v>
      </c>
      <c r="AH1" s="180" t="s">
        <v>241</v>
      </c>
      <c r="AI1" s="180" t="s">
        <v>241</v>
      </c>
      <c r="AJ1" s="180" t="s">
        <v>241</v>
      </c>
      <c r="AK1" s="183" t="s">
        <v>241</v>
      </c>
      <c r="AL1" s="173" t="s">
        <v>242</v>
      </c>
      <c r="AM1" s="174" t="s">
        <v>242</v>
      </c>
      <c r="AN1" s="174" t="s">
        <v>242</v>
      </c>
      <c r="AO1" s="174" t="s">
        <v>242</v>
      </c>
      <c r="AP1" s="174" t="s">
        <v>242</v>
      </c>
      <c r="AQ1" s="175" t="s">
        <v>242</v>
      </c>
      <c r="AR1" s="175" t="s">
        <v>242</v>
      </c>
      <c r="AS1" s="176"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79" t="s">
        <v>89</v>
      </c>
      <c r="H1" s="184" t="s">
        <v>89</v>
      </c>
      <c r="I1" s="184" t="s">
        <v>89</v>
      </c>
      <c r="J1" s="183" t="s">
        <v>89</v>
      </c>
      <c r="K1" s="14"/>
      <c r="L1" s="185" t="s">
        <v>431</v>
      </c>
      <c r="M1" s="186" t="s">
        <v>431</v>
      </c>
      <c r="N1" s="186" t="s">
        <v>431</v>
      </c>
      <c r="O1" s="186"/>
      <c r="P1" s="186"/>
      <c r="Q1" s="187"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2" sqref="A2"/>
    </sheetView>
  </sheetViews>
  <sheetFormatPr defaultRowHeight="14.4"/>
  <cols>
    <col min="1" max="1" width="14" customWidth="1"/>
    <col min="2" max="2" width="32.109375" customWidth="1"/>
    <col min="3" max="3" width="10.77734375" customWidth="1"/>
    <col min="4" max="4" width="18.109375" customWidth="1"/>
    <col min="5" max="5" width="23.109375" customWidth="1"/>
    <col min="7" max="7" width="10.77734375" customWidth="1"/>
    <col min="8" max="8" width="16.88671875" customWidth="1"/>
    <col min="9" max="9" width="25.5546875" customWidth="1"/>
    <col min="10" max="10" width="22.77734375" style="57" customWidth="1"/>
    <col min="11" max="11" width="6.5546875" style="57" customWidth="1"/>
    <col min="12" max="12" width="11.44140625" style="57" customWidth="1"/>
    <col min="13" max="14" width="24.33203125" style="57" customWidth="1"/>
    <col min="15" max="15" width="4.44140625" style="57" customWidth="1"/>
    <col min="16" max="16" width="11.44140625" style="57" customWidth="1"/>
    <col min="17" max="17" width="24.33203125" style="57" customWidth="1"/>
    <col min="18" max="18" width="24.33203125" customWidth="1"/>
    <col min="19" max="19" width="8.5546875" style="57" customWidth="1"/>
    <col min="20" max="20" width="11.44140625" customWidth="1"/>
    <col min="21" max="21" width="26" customWidth="1"/>
    <col min="22" max="22" width="20.44140625" customWidth="1"/>
    <col min="23" max="23" width="19.88671875" bestFit="1" customWidth="1"/>
  </cols>
  <sheetData>
    <row r="1" spans="1:23" s="52" customFormat="1">
      <c r="A1" s="30"/>
      <c r="B1" s="31"/>
      <c r="C1" s="188" t="s">
        <v>377</v>
      </c>
      <c r="D1" s="189"/>
      <c r="E1" s="189"/>
      <c r="F1" s="189"/>
      <c r="G1" s="189"/>
      <c r="H1" s="189"/>
      <c r="I1" s="189"/>
      <c r="J1" s="189"/>
      <c r="L1" s="188" t="s">
        <v>365</v>
      </c>
      <c r="M1" s="189"/>
      <c r="N1" s="189"/>
      <c r="O1" s="189"/>
      <c r="P1" s="189"/>
      <c r="Q1" s="189"/>
      <c r="R1" s="189"/>
      <c r="S1" s="61"/>
      <c r="T1" s="188"/>
      <c r="U1" s="189"/>
      <c r="V1" s="189"/>
      <c r="W1" s="189"/>
    </row>
    <row r="2" spans="1:23">
      <c r="A2" s="30"/>
      <c r="B2" s="31"/>
      <c r="C2" s="167" t="s">
        <v>0</v>
      </c>
      <c r="D2" s="168" t="s">
        <v>16</v>
      </c>
      <c r="E2" s="53"/>
      <c r="F2" s="53"/>
      <c r="G2" s="167" t="s">
        <v>0</v>
      </c>
      <c r="H2" s="168" t="s">
        <v>16</v>
      </c>
      <c r="I2" s="53"/>
      <c r="J2" s="61"/>
      <c r="K2" s="61"/>
      <c r="L2" s="156" t="s">
        <v>0</v>
      </c>
      <c r="M2" s="157" t="s">
        <v>16</v>
      </c>
      <c r="N2" s="61"/>
      <c r="O2" s="61"/>
      <c r="P2" s="156" t="s">
        <v>0</v>
      </c>
      <c r="Q2" s="157" t="s">
        <v>16</v>
      </c>
      <c r="R2" s="61"/>
      <c r="S2" s="61"/>
      <c r="T2" s="168"/>
      <c r="U2" s="157"/>
      <c r="V2" s="133"/>
    </row>
    <row r="3" spans="1:23">
      <c r="A3" s="30"/>
      <c r="B3" s="30"/>
      <c r="C3" s="167" t="s">
        <v>1</v>
      </c>
      <c r="D3" s="168" t="s">
        <v>16</v>
      </c>
      <c r="G3" s="167" t="s">
        <v>1</v>
      </c>
      <c r="H3" s="168" t="s">
        <v>16</v>
      </c>
      <c r="L3" s="156" t="s">
        <v>1</v>
      </c>
      <c r="M3" s="157" t="s">
        <v>16</v>
      </c>
      <c r="P3" s="156" t="s">
        <v>1</v>
      </c>
      <c r="Q3" s="157" t="s">
        <v>16</v>
      </c>
      <c r="R3" s="57"/>
      <c r="T3" s="168"/>
      <c r="U3" s="157"/>
      <c r="V3" s="134"/>
    </row>
    <row r="4" spans="1:23">
      <c r="A4" s="30"/>
      <c r="B4" s="30"/>
      <c r="C4" s="167" t="s">
        <v>52</v>
      </c>
      <c r="D4" s="168" t="s">
        <v>16</v>
      </c>
      <c r="G4" s="167" t="s">
        <v>52</v>
      </c>
      <c r="H4" s="168" t="s">
        <v>16</v>
      </c>
      <c r="L4" s="156" t="s">
        <v>52</v>
      </c>
      <c r="M4" s="157" t="s">
        <v>16</v>
      </c>
      <c r="P4" s="156" t="s">
        <v>52</v>
      </c>
      <c r="Q4" s="157" t="s">
        <v>16</v>
      </c>
      <c r="R4" s="57"/>
      <c r="T4" s="168"/>
      <c r="U4" s="157"/>
      <c r="V4" s="134"/>
    </row>
    <row r="5" spans="1:23">
      <c r="A5" s="30"/>
      <c r="B5" s="30"/>
      <c r="C5" s="167" t="s">
        <v>3</v>
      </c>
      <c r="D5" s="168" t="s">
        <v>10</v>
      </c>
      <c r="G5" s="167" t="s">
        <v>3</v>
      </c>
      <c r="H5" s="168" t="s">
        <v>9</v>
      </c>
      <c r="L5" s="156" t="s">
        <v>3</v>
      </c>
      <c r="M5" s="157" t="s">
        <v>441</v>
      </c>
      <c r="P5" s="156" t="s">
        <v>3</v>
      </c>
      <c r="Q5" s="157" t="s">
        <v>367</v>
      </c>
      <c r="R5" s="57"/>
      <c r="T5" s="168"/>
      <c r="U5" s="157"/>
      <c r="V5" s="134"/>
    </row>
    <row r="6" spans="1:23">
      <c r="A6" s="30"/>
      <c r="B6" s="30"/>
      <c r="R6" s="57"/>
      <c r="T6" s="134"/>
      <c r="U6" s="134"/>
      <c r="V6" s="134"/>
    </row>
    <row r="7" spans="1:23">
      <c r="A7" s="24" t="s">
        <v>330</v>
      </c>
      <c r="B7" s="24" t="s">
        <v>94</v>
      </c>
      <c r="C7" s="167" t="s">
        <v>2</v>
      </c>
      <c r="D7" s="168" t="s">
        <v>302</v>
      </c>
      <c r="E7" s="168" t="s">
        <v>415</v>
      </c>
      <c r="G7" s="167" t="s">
        <v>2</v>
      </c>
      <c r="H7" s="168" t="s">
        <v>380</v>
      </c>
      <c r="I7" s="168" t="s">
        <v>376</v>
      </c>
      <c r="J7" s="168" t="s">
        <v>381</v>
      </c>
      <c r="L7" s="156" t="s">
        <v>2</v>
      </c>
      <c r="M7" s="157" t="s">
        <v>375</v>
      </c>
      <c r="N7" s="157" t="s">
        <v>415</v>
      </c>
      <c r="P7" s="156" t="s">
        <v>2</v>
      </c>
      <c r="Q7" s="157" t="s">
        <v>302</v>
      </c>
      <c r="R7" s="157" t="s">
        <v>415</v>
      </c>
      <c r="T7" s="168"/>
      <c r="U7" s="157"/>
      <c r="V7" s="157"/>
      <c r="W7" s="157"/>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68">
        <v>23</v>
      </c>
      <c r="K8" s="5"/>
      <c r="L8" s="4" t="s">
        <v>50</v>
      </c>
      <c r="M8" s="5">
        <v>35</v>
      </c>
      <c r="N8" s="5">
        <v>0</v>
      </c>
      <c r="O8" s="5"/>
      <c r="P8" s="4" t="s">
        <v>50</v>
      </c>
      <c r="Q8" s="9">
        <v>10</v>
      </c>
      <c r="R8" s="9">
        <v>0</v>
      </c>
      <c r="S8" s="5"/>
      <c r="T8" s="4"/>
      <c r="U8" s="5"/>
      <c r="V8" s="5"/>
      <c r="W8" s="5"/>
    </row>
    <row r="9" spans="1:23">
      <c r="C9" s="4" t="s">
        <v>18</v>
      </c>
      <c r="D9" s="9">
        <v>2.5000000000000001E-2</v>
      </c>
      <c r="E9" s="9">
        <v>0</v>
      </c>
      <c r="G9" s="4" t="s">
        <v>18</v>
      </c>
      <c r="H9" s="5">
        <v>23</v>
      </c>
      <c r="I9" s="5">
        <v>23</v>
      </c>
      <c r="J9" s="168">
        <v>23</v>
      </c>
      <c r="K9" s="5"/>
      <c r="L9" s="4" t="s">
        <v>18</v>
      </c>
      <c r="M9" s="5">
        <v>35</v>
      </c>
      <c r="N9" s="5">
        <v>0</v>
      </c>
      <c r="O9" s="5"/>
      <c r="P9" s="4" t="s">
        <v>18</v>
      </c>
      <c r="Q9" s="9">
        <v>10</v>
      </c>
      <c r="R9" s="9">
        <v>0</v>
      </c>
      <c r="S9" s="5"/>
      <c r="T9" s="4"/>
      <c r="U9" s="5"/>
      <c r="V9" s="5"/>
      <c r="W9" s="5"/>
    </row>
  </sheetData>
  <mergeCells count="3">
    <mergeCell ref="L1:R1"/>
    <mergeCell ref="C1:J1"/>
    <mergeCell ref="T1:W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ColWidth="9.109375" defaultRowHeight="14.4"/>
  <cols>
    <col min="1" max="1" width="12.109375" style="155" customWidth="1"/>
    <col min="2" max="2" width="9.109375" style="57"/>
    <col min="3" max="3" width="10.77734375" style="57" customWidth="1"/>
    <col min="4" max="4" width="18.109375" style="57" customWidth="1"/>
    <col min="5" max="5" width="23.109375" style="57" customWidth="1"/>
    <col min="6" max="6" width="9.109375" style="57"/>
    <col min="7" max="7" width="10.77734375" style="57" customWidth="1"/>
    <col min="8" max="8" width="16.88671875" style="57" customWidth="1"/>
    <col min="9" max="9" width="8" style="57" customWidth="1"/>
    <col min="10" max="10" width="11.44140625" style="57" customWidth="1"/>
    <col min="11" max="12" width="24.33203125" style="57" customWidth="1"/>
    <col min="13" max="13" width="8.5546875" style="134" customWidth="1"/>
    <col min="14" max="14" width="10.77734375" style="134" customWidth="1"/>
    <col min="15" max="15" width="24.5546875" style="134" customWidth="1"/>
    <col min="16" max="16" width="19.44140625" style="134" customWidth="1"/>
    <col min="17" max="17" width="19" style="57" customWidth="1"/>
    <col min="18" max="18" width="9.109375" style="134"/>
    <col min="19" max="19" width="11.44140625" style="57" customWidth="1"/>
    <col min="20" max="20" width="17.88671875" style="57" customWidth="1"/>
    <col min="21" max="21" width="11.5546875" style="57" customWidth="1"/>
    <col min="22" max="22" width="17.5546875" style="57" customWidth="1"/>
    <col min="23" max="23" width="19.5546875" style="57" customWidth="1"/>
    <col min="24" max="24" width="6.88671875" style="57" customWidth="1"/>
    <col min="25" max="25" width="11.44140625" style="57" customWidth="1"/>
    <col min="26" max="26" width="19.5546875" style="57" customWidth="1"/>
    <col min="27" max="27" width="16.5546875" style="57" customWidth="1"/>
    <col min="28" max="28" width="24.33203125" style="57" customWidth="1"/>
    <col min="29" max="16384" width="9.109375" style="57"/>
  </cols>
  <sheetData>
    <row r="1" spans="1:30">
      <c r="A1" s="31"/>
      <c r="B1" s="31"/>
      <c r="C1" s="188" t="s">
        <v>377</v>
      </c>
      <c r="D1" s="189"/>
      <c r="E1" s="189"/>
      <c r="F1" s="189"/>
      <c r="G1" s="189"/>
      <c r="H1" s="189"/>
      <c r="I1" s="61"/>
      <c r="J1" s="188" t="s">
        <v>365</v>
      </c>
      <c r="K1" s="189"/>
      <c r="L1" s="189"/>
      <c r="M1" s="133"/>
      <c r="N1" s="188" t="s">
        <v>627</v>
      </c>
      <c r="O1" s="189"/>
      <c r="P1" s="189"/>
      <c r="Q1" s="189"/>
      <c r="R1" s="133"/>
      <c r="S1" s="192" t="s">
        <v>488</v>
      </c>
      <c r="T1" s="193"/>
      <c r="U1" s="189"/>
      <c r="V1" s="189"/>
      <c r="W1" s="189"/>
      <c r="X1" s="189"/>
      <c r="Y1" s="189"/>
      <c r="Z1" s="189"/>
      <c r="AA1" s="189"/>
      <c r="AB1" s="189"/>
      <c r="AC1" s="189"/>
      <c r="AD1" s="189"/>
    </row>
    <row r="2" spans="1:30">
      <c r="A2" s="31"/>
      <c r="B2" s="31"/>
      <c r="C2" s="167" t="s">
        <v>0</v>
      </c>
      <c r="D2" s="168" t="s">
        <v>16</v>
      </c>
      <c r="E2" s="31"/>
      <c r="F2" s="31"/>
      <c r="G2" s="190" t="s">
        <v>0</v>
      </c>
      <c r="H2" s="191" t="s">
        <v>16</v>
      </c>
      <c r="J2" s="156" t="s">
        <v>0</v>
      </c>
      <c r="K2" s="157" t="s">
        <v>16</v>
      </c>
      <c r="L2" s="61"/>
      <c r="M2" s="133"/>
      <c r="N2" s="167" t="s">
        <v>0</v>
      </c>
      <c r="O2" s="168" t="s">
        <v>16</v>
      </c>
      <c r="S2" s="62"/>
      <c r="T2" s="62"/>
      <c r="U2" s="62"/>
      <c r="V2" s="62"/>
      <c r="W2" s="62"/>
      <c r="X2" s="62"/>
      <c r="Y2" s="62"/>
      <c r="Z2" s="62"/>
      <c r="AA2" s="62"/>
      <c r="AB2" s="62"/>
      <c r="AC2" s="62"/>
      <c r="AD2" s="62"/>
    </row>
    <row r="3" spans="1:30">
      <c r="A3" s="31"/>
      <c r="B3" s="31"/>
      <c r="C3" s="167" t="s">
        <v>1</v>
      </c>
      <c r="D3" s="168" t="s">
        <v>16</v>
      </c>
      <c r="E3" s="31"/>
      <c r="F3" s="31"/>
      <c r="G3" s="190" t="s">
        <v>1</v>
      </c>
      <c r="H3" s="191" t="s">
        <v>16</v>
      </c>
      <c r="J3" s="156" t="s">
        <v>1</v>
      </c>
      <c r="K3" s="157" t="s">
        <v>16</v>
      </c>
      <c r="L3" s="61"/>
      <c r="M3" s="133"/>
      <c r="N3" s="167" t="s">
        <v>1</v>
      </c>
      <c r="O3" s="168" t="s">
        <v>16</v>
      </c>
      <c r="P3" s="133"/>
      <c r="Q3" s="134"/>
      <c r="S3" s="62"/>
      <c r="T3" s="63"/>
      <c r="U3" s="63"/>
      <c r="V3" s="63"/>
      <c r="W3" s="63"/>
      <c r="X3" s="63"/>
      <c r="Y3" s="63"/>
      <c r="Z3" s="63"/>
      <c r="AA3" s="63"/>
      <c r="AB3" s="63"/>
      <c r="AC3" s="63"/>
      <c r="AD3" s="63"/>
    </row>
    <row r="4" spans="1:30">
      <c r="A4" s="31"/>
      <c r="B4" s="31"/>
      <c r="C4" s="167" t="s">
        <v>2</v>
      </c>
      <c r="D4" s="168" t="s">
        <v>16</v>
      </c>
      <c r="G4" s="167" t="s">
        <v>2</v>
      </c>
      <c r="H4" s="168" t="s">
        <v>16</v>
      </c>
      <c r="J4" s="156" t="s">
        <v>2</v>
      </c>
      <c r="K4" s="157" t="s">
        <v>16</v>
      </c>
      <c r="N4" s="167" t="s">
        <v>2</v>
      </c>
      <c r="O4" s="168" t="s">
        <v>16</v>
      </c>
      <c r="Q4" s="134"/>
      <c r="S4" s="31"/>
      <c r="T4" s="31"/>
      <c r="Y4" s="31"/>
      <c r="Z4" s="31"/>
    </row>
    <row r="5" spans="1:30">
      <c r="A5" s="31"/>
      <c r="B5" s="31"/>
      <c r="C5" s="167" t="s">
        <v>52</v>
      </c>
      <c r="D5" s="168" t="s">
        <v>16</v>
      </c>
      <c r="G5" s="167" t="s">
        <v>52</v>
      </c>
      <c r="H5" s="168" t="s">
        <v>16</v>
      </c>
      <c r="J5" s="156" t="s">
        <v>52</v>
      </c>
      <c r="K5" s="157" t="s">
        <v>16</v>
      </c>
      <c r="N5" s="167" t="s">
        <v>52</v>
      </c>
      <c r="O5" s="168" t="s">
        <v>16</v>
      </c>
      <c r="Q5" s="134"/>
      <c r="S5" s="160" t="s">
        <v>0</v>
      </c>
      <c r="T5" s="161" t="s">
        <v>16</v>
      </c>
      <c r="Y5" s="160" t="s">
        <v>0</v>
      </c>
      <c r="Z5" s="161" t="s">
        <v>16</v>
      </c>
    </row>
    <row r="6" spans="1:30">
      <c r="A6" s="31"/>
      <c r="B6" s="31"/>
      <c r="C6" s="167" t="s">
        <v>3</v>
      </c>
      <c r="D6" s="168" t="s">
        <v>10</v>
      </c>
      <c r="G6" s="167" t="s">
        <v>3</v>
      </c>
      <c r="H6" s="168" t="s">
        <v>9</v>
      </c>
      <c r="J6" s="156" t="s">
        <v>3</v>
      </c>
      <c r="K6" s="157" t="s">
        <v>367</v>
      </c>
      <c r="N6" s="167" t="s">
        <v>3</v>
      </c>
      <c r="O6" s="168" t="s">
        <v>26</v>
      </c>
      <c r="Q6" s="134"/>
      <c r="S6" s="160" t="s">
        <v>3</v>
      </c>
      <c r="T6" s="161" t="s">
        <v>310</v>
      </c>
      <c r="Y6" s="160" t="s">
        <v>3</v>
      </c>
      <c r="Z6" s="161" t="s">
        <v>310</v>
      </c>
    </row>
    <row r="7" spans="1:30">
      <c r="A7" s="31"/>
      <c r="B7" s="31"/>
      <c r="Q7" s="134"/>
    </row>
    <row r="8" spans="1:30">
      <c r="A8" s="24" t="s">
        <v>702</v>
      </c>
      <c r="B8" s="24" t="s">
        <v>122</v>
      </c>
      <c r="C8" s="167" t="s">
        <v>296</v>
      </c>
      <c r="D8" s="168" t="s">
        <v>302</v>
      </c>
      <c r="E8" s="168" t="s">
        <v>415</v>
      </c>
      <c r="G8" s="167" t="s">
        <v>296</v>
      </c>
      <c r="H8" t="s">
        <v>382</v>
      </c>
      <c r="J8" s="156" t="s">
        <v>2</v>
      </c>
      <c r="K8" s="157" t="s">
        <v>302</v>
      </c>
      <c r="L8" s="157" t="s">
        <v>415</v>
      </c>
      <c r="N8" s="167" t="s">
        <v>2</v>
      </c>
      <c r="O8" s="168" t="s">
        <v>628</v>
      </c>
      <c r="P8" s="168" t="s">
        <v>625</v>
      </c>
      <c r="Q8" s="168" t="s">
        <v>626</v>
      </c>
      <c r="R8" s="5"/>
      <c r="S8" s="160" t="s">
        <v>296</v>
      </c>
      <c r="T8" s="161" t="s">
        <v>312</v>
      </c>
      <c r="U8" s="161" t="s">
        <v>408</v>
      </c>
      <c r="V8" s="161" t="s">
        <v>311</v>
      </c>
      <c r="W8" s="161" t="s">
        <v>416</v>
      </c>
      <c r="Y8" s="160" t="s">
        <v>296</v>
      </c>
      <c r="Z8" s="161" t="s">
        <v>313</v>
      </c>
      <c r="AA8" s="161" t="s">
        <v>314</v>
      </c>
      <c r="AB8" s="161"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6"/>
  <sheetViews>
    <sheetView workbookViewId="0"/>
  </sheetViews>
  <sheetFormatPr defaultRowHeight="14.4"/>
  <cols>
    <col min="1" max="1" width="25.33203125" customWidth="1"/>
    <col min="2" max="2" width="26.77734375" customWidth="1"/>
    <col min="3" max="3" width="10.77734375" customWidth="1"/>
    <col min="4" max="4" width="24.5546875" customWidth="1"/>
    <col min="5" max="5" width="19.44140625" customWidth="1"/>
    <col min="6" max="6" width="19" customWidth="1"/>
    <col min="8" max="8" width="10.77734375" customWidth="1"/>
    <col min="9" max="9" width="25.77734375" customWidth="1"/>
    <col min="10" max="10" width="20.5546875" bestFit="1" customWidth="1"/>
    <col min="11" max="11" width="6.5546875" customWidth="1"/>
    <col min="12" max="12" width="26.5546875" customWidth="1"/>
    <col min="13" max="13" width="20.88671875" customWidth="1"/>
    <col min="14" max="14" width="10.77734375" customWidth="1"/>
    <col min="15" max="15" width="21.6640625" customWidth="1"/>
    <col min="16" max="16" width="20.5546875" bestFit="1" customWidth="1"/>
    <col min="17" max="17" width="20.5546875" customWidth="1"/>
    <col min="18" max="18" width="24.5546875" bestFit="1" customWidth="1"/>
    <col min="19" max="19" width="20.5546875" customWidth="1"/>
    <col min="20" max="20" width="10.77734375" customWidth="1"/>
    <col min="21" max="21" width="32.44140625" bestFit="1" customWidth="1"/>
    <col min="22" max="22" width="40.77734375" bestFit="1" customWidth="1"/>
    <col min="23" max="23" width="34.21875" bestFit="1" customWidth="1"/>
    <col min="24" max="24" width="15" bestFit="1" customWidth="1"/>
    <col min="25" max="25" width="16.21875" bestFit="1" customWidth="1"/>
    <col min="26" max="26" width="15.44140625" bestFit="1" customWidth="1"/>
    <col min="27" max="27" width="16.6640625" bestFit="1" customWidth="1"/>
    <col min="28" max="28" width="40.33203125" bestFit="1" customWidth="1"/>
    <col min="29" max="29" width="43.5546875" bestFit="1" customWidth="1"/>
    <col min="30" max="30" width="18.44140625" bestFit="1" customWidth="1"/>
    <col min="31" max="31" width="17.5546875" bestFit="1" customWidth="1"/>
    <col min="32" max="32" width="29.77734375" bestFit="1" customWidth="1"/>
    <col min="33" max="33" width="21" bestFit="1" customWidth="1"/>
    <col min="34" max="34" width="23.6640625" bestFit="1" customWidth="1"/>
    <col min="35" max="35" width="26.44140625" bestFit="1" customWidth="1"/>
    <col min="36" max="36" width="14.5546875" bestFit="1" customWidth="1"/>
    <col min="37" max="37" width="10.77734375" bestFit="1" customWidth="1"/>
    <col min="38" max="38" width="11.77734375" bestFit="1" customWidth="1"/>
    <col min="39" max="39" width="15.21875" bestFit="1" customWidth="1"/>
    <col min="40" max="40" width="16.21875" bestFit="1" customWidth="1"/>
    <col min="41" max="41" width="28" bestFit="1" customWidth="1"/>
    <col min="42" max="42" width="24" bestFit="1" customWidth="1"/>
    <col min="43" max="43" width="12.88671875" bestFit="1" customWidth="1"/>
    <col min="44" max="44" width="11.109375" bestFit="1" customWidth="1"/>
    <col min="45" max="45" width="12.109375" bestFit="1" customWidth="1"/>
    <col min="46" max="46" width="7" customWidth="1"/>
    <col min="47" max="47" width="22" bestFit="1" customWidth="1"/>
    <col min="48" max="48" width="21.6640625" bestFit="1" customWidth="1"/>
    <col min="49" max="49" width="18.21875" bestFit="1" customWidth="1"/>
    <col min="50" max="50" width="27.88671875" bestFit="1" customWidth="1"/>
    <col min="51" max="51" width="27.5546875" bestFit="1" customWidth="1"/>
    <col min="52" max="52" width="24.109375" bestFit="1" customWidth="1"/>
    <col min="53" max="53" width="22.109375" bestFit="1" customWidth="1"/>
    <col min="54" max="54" width="23.6640625" bestFit="1" customWidth="1"/>
    <col min="55" max="55" width="29.6640625" bestFit="1" customWidth="1"/>
    <col min="56" max="56" width="24.21875" bestFit="1" customWidth="1"/>
    <col min="57" max="57" width="23.88671875" bestFit="1" customWidth="1"/>
    <col min="58" max="58" width="20.44140625" bestFit="1" customWidth="1"/>
    <col min="59" max="59" width="23.109375" bestFit="1" customWidth="1"/>
    <col min="60" max="60" width="22.77734375" bestFit="1" customWidth="1"/>
    <col min="61" max="61" width="19.33203125" bestFit="1" customWidth="1"/>
    <col min="62" max="62" width="20.77734375" bestFit="1" customWidth="1"/>
    <col min="63" max="63" width="22.88671875" bestFit="1" customWidth="1"/>
    <col min="64" max="64" width="22.5546875" bestFit="1" customWidth="1"/>
    <col min="65" max="65" width="19.109375" bestFit="1" customWidth="1"/>
    <col min="66" max="66" width="27.109375" bestFit="1" customWidth="1"/>
    <col min="67" max="67" width="26.77734375" bestFit="1" customWidth="1"/>
    <col min="68" max="68" width="23.33203125" bestFit="1" customWidth="1"/>
    <col min="69" max="69" width="21.33203125" bestFit="1" customWidth="1"/>
    <col min="70" max="70" width="20.88671875" bestFit="1" customWidth="1"/>
    <col min="71" max="71" width="18.33203125" bestFit="1" customWidth="1"/>
    <col min="72" max="72" width="18" bestFit="1" customWidth="1"/>
    <col min="73" max="73" width="14.5546875" bestFit="1" customWidth="1"/>
    <col min="74" max="74" width="20" bestFit="1" customWidth="1"/>
    <col min="75" max="75" width="20.88671875" bestFit="1" customWidth="1"/>
    <col min="76" max="76" width="33.6640625" bestFit="1" customWidth="1"/>
    <col min="77" max="77" width="38" bestFit="1" customWidth="1"/>
    <col min="78" max="78" width="34.21875" bestFit="1" customWidth="1"/>
    <col min="79" max="79" width="37.5546875" bestFit="1" customWidth="1"/>
    <col min="80" max="80" width="39.6640625" bestFit="1" customWidth="1"/>
    <col min="81" max="81" width="28.88671875" bestFit="1" customWidth="1"/>
    <col min="82" max="82" width="33.21875" bestFit="1" customWidth="1"/>
    <col min="83" max="83" width="29.5546875" bestFit="1" customWidth="1"/>
    <col min="84" max="84" width="32.88671875" bestFit="1" customWidth="1"/>
    <col min="85" max="85" width="34.33203125" bestFit="1" customWidth="1"/>
    <col min="86" max="86" width="23.5546875" bestFit="1" customWidth="1"/>
    <col min="87" max="87" width="26.88671875" bestFit="1" customWidth="1"/>
    <col min="88" max="88" width="26.5546875" bestFit="1" customWidth="1"/>
    <col min="89" max="89" width="23.109375" bestFit="1" customWidth="1"/>
    <col min="90" max="90" width="21.88671875" bestFit="1" customWidth="1"/>
    <col min="91" max="91" width="29.33203125" bestFit="1" customWidth="1"/>
    <col min="92" max="92" width="27.88671875" bestFit="1" customWidth="1"/>
    <col min="93" max="93" width="27.5546875" bestFit="1" customWidth="1"/>
    <col min="94" max="94" width="24.109375" bestFit="1" customWidth="1"/>
    <col min="95" max="95" width="23.88671875" bestFit="1" customWidth="1"/>
    <col min="96" max="96" width="21.77734375" bestFit="1" customWidth="1"/>
    <col min="97" max="97" width="30.6640625" bestFit="1" customWidth="1"/>
    <col min="98" max="98" width="26.88671875" bestFit="1" customWidth="1"/>
    <col min="99" max="99" width="30.33203125" bestFit="1" customWidth="1"/>
    <col min="100" max="100" width="25.6640625" bestFit="1" customWidth="1"/>
    <col min="101" max="101" width="27.44140625" bestFit="1" customWidth="1"/>
    <col min="102" max="102" width="30.44140625" bestFit="1" customWidth="1"/>
    <col min="103" max="103" width="26.6640625" bestFit="1" customWidth="1"/>
    <col min="104" max="104" width="30.109375" bestFit="1" customWidth="1"/>
    <col min="105" max="105" width="25.44140625" bestFit="1" customWidth="1"/>
    <col min="106" max="106" width="30" bestFit="1" customWidth="1"/>
    <col min="107" max="107" width="26.21875" bestFit="1" customWidth="1"/>
    <col min="108" max="108" width="29.6640625" bestFit="1" customWidth="1"/>
    <col min="109" max="109" width="30.77734375" bestFit="1" customWidth="1"/>
    <col min="110" max="110" width="27" bestFit="1" customWidth="1"/>
    <col min="111" max="111" width="30.44140625" bestFit="1" customWidth="1"/>
    <col min="112" max="112" width="26.109375" bestFit="1" customWidth="1"/>
    <col min="113" max="113" width="19.33203125" bestFit="1" customWidth="1"/>
    <col min="114" max="114" width="10.77734375" bestFit="1" customWidth="1"/>
  </cols>
  <sheetData>
    <row r="1" spans="1:15">
      <c r="A1" s="30"/>
      <c r="B1" s="31"/>
      <c r="C1" s="188" t="s">
        <v>627</v>
      </c>
      <c r="D1" s="189"/>
      <c r="E1" s="189"/>
      <c r="F1" s="189"/>
      <c r="G1" s="189"/>
      <c r="H1" s="189"/>
      <c r="I1" s="189"/>
      <c r="J1" s="189"/>
      <c r="K1" s="189"/>
      <c r="L1" s="189"/>
      <c r="M1" s="189"/>
      <c r="N1" s="170"/>
      <c r="O1" s="170"/>
    </row>
    <row r="2" spans="1:15">
      <c r="A2" s="30"/>
      <c r="B2" s="31"/>
      <c r="C2" s="167" t="s">
        <v>0</v>
      </c>
      <c r="D2" s="168" t="s">
        <v>16</v>
      </c>
      <c r="E2" s="169"/>
      <c r="F2" s="168"/>
      <c r="H2" s="167" t="s">
        <v>0</v>
      </c>
      <c r="I2" s="168" t="s">
        <v>16</v>
      </c>
      <c r="J2" s="169"/>
      <c r="K2" s="168"/>
      <c r="L2" s="167" t="s">
        <v>0</v>
      </c>
      <c r="M2" s="168" t="s">
        <v>16</v>
      </c>
      <c r="N2" s="169"/>
    </row>
    <row r="3" spans="1:15">
      <c r="A3" s="30"/>
      <c r="B3" s="30"/>
      <c r="C3" s="167" t="s">
        <v>1</v>
      </c>
      <c r="D3" s="168" t="s">
        <v>16</v>
      </c>
      <c r="E3" s="168"/>
      <c r="F3" s="168"/>
      <c r="H3" s="167" t="s">
        <v>1</v>
      </c>
      <c r="I3" s="168" t="s">
        <v>16</v>
      </c>
      <c r="J3" s="168"/>
      <c r="K3" s="168"/>
      <c r="L3" s="167" t="s">
        <v>1</v>
      </c>
      <c r="M3" s="168" t="s">
        <v>16</v>
      </c>
      <c r="N3" s="168"/>
    </row>
    <row r="4" spans="1:15">
      <c r="A4" s="30"/>
      <c r="B4" s="30"/>
      <c r="C4" s="167" t="s">
        <v>52</v>
      </c>
      <c r="D4" s="168" t="s">
        <v>16</v>
      </c>
      <c r="E4" s="168"/>
      <c r="F4" s="168"/>
      <c r="H4" s="167" t="s">
        <v>52</v>
      </c>
      <c r="I4" s="168" t="s">
        <v>16</v>
      </c>
      <c r="J4" s="168"/>
      <c r="K4" s="168"/>
      <c r="L4" s="167" t="s">
        <v>52</v>
      </c>
      <c r="M4" s="168" t="s">
        <v>16</v>
      </c>
      <c r="N4" s="168"/>
    </row>
    <row r="5" spans="1:15">
      <c r="A5" s="30"/>
      <c r="B5" s="30"/>
      <c r="C5" s="167" t="s">
        <v>3</v>
      </c>
      <c r="D5" s="168" t="s">
        <v>26</v>
      </c>
      <c r="E5" s="168"/>
      <c r="F5" s="168"/>
      <c r="H5" s="167" t="s">
        <v>3</v>
      </c>
      <c r="I5" s="168" t="s">
        <v>441</v>
      </c>
      <c r="J5" s="168"/>
      <c r="K5" s="168"/>
      <c r="L5" s="167" t="s">
        <v>3</v>
      </c>
      <c r="M5" s="168" t="s">
        <v>726</v>
      </c>
      <c r="N5" s="168"/>
    </row>
    <row r="6" spans="1:15">
      <c r="A6" s="30"/>
      <c r="B6" s="30"/>
      <c r="C6" s="168"/>
      <c r="D6" s="168"/>
      <c r="E6" s="168"/>
      <c r="F6" s="168"/>
      <c r="H6" s="168"/>
      <c r="I6" s="168"/>
      <c r="J6" s="168"/>
      <c r="K6" s="168"/>
      <c r="L6" s="168"/>
      <c r="M6" s="168"/>
      <c r="N6" s="168"/>
    </row>
    <row r="7" spans="1:15">
      <c r="A7" s="24" t="s">
        <v>330</v>
      </c>
      <c r="B7" s="24" t="s">
        <v>94</v>
      </c>
      <c r="C7" s="167" t="s">
        <v>2</v>
      </c>
      <c r="D7" s="168" t="s">
        <v>624</v>
      </c>
      <c r="E7" s="168" t="s">
        <v>625</v>
      </c>
      <c r="F7" s="168" t="s">
        <v>626</v>
      </c>
      <c r="H7" s="167" t="s">
        <v>2</v>
      </c>
      <c r="I7" s="168" t="s">
        <v>724</v>
      </c>
      <c r="J7" s="168" t="s">
        <v>725</v>
      </c>
      <c r="L7" s="167" t="s">
        <v>734</v>
      </c>
      <c r="M7" s="167" t="s">
        <v>735</v>
      </c>
    </row>
    <row r="8" spans="1:15">
      <c r="A8" s="23" t="str">
        <f>INDEX('DDL Tables'!$B:$B,MATCH(SUBSTITUTE(C8, " (index)",""),'DDL Tables'!$C:$C,0))</f>
        <v>TestKS</v>
      </c>
      <c r="B8" s="23" t="str">
        <f>INDEX('DDL Tables'!$F:$F,MATCH(SUBSTITUTE(C8," (index)", ""),'DDL Tables'!$C:$C,0))</f>
        <v>SizeTieredCompactionStrategy</v>
      </c>
      <c r="C8" s="4" t="s">
        <v>50</v>
      </c>
      <c r="D8" s="5">
        <v>0</v>
      </c>
      <c r="E8" s="5">
        <v>0</v>
      </c>
      <c r="F8" s="5">
        <v>0</v>
      </c>
      <c r="H8" s="4" t="s">
        <v>50</v>
      </c>
      <c r="I8" s="104">
        <v>35</v>
      </c>
      <c r="J8" s="104">
        <v>35</v>
      </c>
      <c r="L8" s="167" t="s">
        <v>2</v>
      </c>
      <c r="M8" s="168" t="s">
        <v>50</v>
      </c>
      <c r="N8" s="168" t="s">
        <v>18</v>
      </c>
    </row>
    <row r="9" spans="1:15">
      <c r="C9" s="4" t="s">
        <v>18</v>
      </c>
      <c r="D9" s="5">
        <v>0</v>
      </c>
      <c r="E9" s="5">
        <v>0</v>
      </c>
      <c r="F9" s="5">
        <v>0</v>
      </c>
      <c r="H9" s="4" t="s">
        <v>18</v>
      </c>
      <c r="I9" s="104">
        <v>35</v>
      </c>
      <c r="J9" s="104">
        <v>35</v>
      </c>
      <c r="L9" s="4" t="s">
        <v>730</v>
      </c>
      <c r="M9" s="168">
        <v>1</v>
      </c>
      <c r="N9" s="168">
        <v>1</v>
      </c>
    </row>
    <row r="10" spans="1:15">
      <c r="L10" s="4" t="s">
        <v>732</v>
      </c>
      <c r="M10" s="168">
        <v>1</v>
      </c>
      <c r="N10" s="168">
        <v>1</v>
      </c>
    </row>
    <row r="11" spans="1:15">
      <c r="L11" s="4" t="s">
        <v>731</v>
      </c>
      <c r="M11" s="168">
        <v>1</v>
      </c>
      <c r="N11" s="168">
        <v>1</v>
      </c>
    </row>
    <row r="12" spans="1:15">
      <c r="L12" s="4" t="s">
        <v>729</v>
      </c>
      <c r="M12" s="168">
        <v>1</v>
      </c>
      <c r="N12" s="168">
        <v>1</v>
      </c>
    </row>
    <row r="13" spans="1:15">
      <c r="L13" s="4" t="s">
        <v>727</v>
      </c>
      <c r="M13" s="168">
        <v>3</v>
      </c>
      <c r="N13" s="168">
        <v>3</v>
      </c>
    </row>
    <row r="14" spans="1:15">
      <c r="L14" s="4" t="s">
        <v>728</v>
      </c>
      <c r="M14" s="168">
        <v>1</v>
      </c>
      <c r="N14" s="168">
        <v>1</v>
      </c>
    </row>
    <row r="15" spans="1:15">
      <c r="L15" s="4" t="s">
        <v>733</v>
      </c>
      <c r="M15" s="168">
        <v>1</v>
      </c>
      <c r="N15" s="168">
        <v>1</v>
      </c>
    </row>
    <row r="16" spans="1:15">
      <c r="L16" s="4" t="s">
        <v>18</v>
      </c>
      <c r="M16" s="168">
        <v>9</v>
      </c>
      <c r="N16" s="168">
        <v>9</v>
      </c>
    </row>
  </sheetData>
  <mergeCells count="1">
    <mergeCell ref="C1:M1"/>
  </mergeCells>
  <pageMargins left="0.7" right="0.7" top="0.75" bottom="0.75" header="0.3" footer="0.3"/>
  <pageSetup orientation="portrait" horizontalDpi="0" verticalDpi="0"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4.4"/>
  <cols>
    <col min="1" max="1" width="11.88671875" customWidth="1"/>
    <col min="2" max="2" width="31.44140625" style="23" customWidth="1"/>
    <col min="3" max="3" width="10.77734375" customWidth="1"/>
    <col min="4" max="4" width="18.6640625" customWidth="1"/>
    <col min="5" max="5" width="23.109375" customWidth="1"/>
    <col min="7" max="7" width="10.77734375" customWidth="1"/>
    <col min="8" max="8" width="17.44140625" customWidth="1"/>
    <col min="9" max="9" width="26.77734375" customWidth="1"/>
    <col min="10" max="10" width="24.88671875" style="57" customWidth="1"/>
    <col min="11" max="11" width="6.88671875" style="57" customWidth="1"/>
    <col min="12" max="12" width="11.44140625" style="57" customWidth="1"/>
    <col min="13" max="13" width="24.88671875" style="57" customWidth="1"/>
    <col min="14" max="14" width="24.33203125" style="57" customWidth="1"/>
    <col min="15" max="15" width="9.33203125" customWidth="1"/>
  </cols>
  <sheetData>
    <row r="1" spans="1:40" s="31" customFormat="1">
      <c r="B1" s="30"/>
      <c r="C1" s="188" t="s">
        <v>377</v>
      </c>
      <c r="D1" s="189"/>
      <c r="E1" s="189"/>
      <c r="F1" s="189"/>
      <c r="G1" s="189"/>
      <c r="H1" s="189"/>
      <c r="I1" s="189"/>
      <c r="J1" s="189"/>
      <c r="K1" s="61"/>
      <c r="L1" s="188" t="s">
        <v>365</v>
      </c>
      <c r="M1" s="189"/>
      <c r="N1" s="189"/>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67" t="s">
        <v>0</v>
      </c>
      <c r="D2" s="168" t="s">
        <v>16</v>
      </c>
      <c r="E2" s="53"/>
      <c r="F2" s="53"/>
      <c r="G2" s="167" t="s">
        <v>0</v>
      </c>
      <c r="H2" s="168"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67" t="s">
        <v>1</v>
      </c>
      <c r="D3" s="168" t="s">
        <v>16</v>
      </c>
      <c r="G3" s="167" t="s">
        <v>1</v>
      </c>
      <c r="H3" s="168" t="s">
        <v>16</v>
      </c>
      <c r="L3" s="156" t="s">
        <v>1</v>
      </c>
      <c r="M3" s="157" t="s">
        <v>16</v>
      </c>
    </row>
    <row r="4" spans="1:40">
      <c r="A4" s="30"/>
      <c r="B4" s="30"/>
      <c r="C4" s="167" t="s">
        <v>52</v>
      </c>
      <c r="D4" s="168" t="s">
        <v>16</v>
      </c>
      <c r="G4" s="167" t="s">
        <v>52</v>
      </c>
      <c r="H4" s="168" t="s">
        <v>16</v>
      </c>
      <c r="L4" s="156" t="s">
        <v>52</v>
      </c>
      <c r="M4" s="157" t="s">
        <v>16</v>
      </c>
    </row>
    <row r="5" spans="1:40">
      <c r="A5" s="30"/>
      <c r="B5" s="30"/>
      <c r="C5" s="167" t="s">
        <v>3</v>
      </c>
      <c r="D5" s="168" t="s">
        <v>12</v>
      </c>
      <c r="G5" s="167" t="s">
        <v>3</v>
      </c>
      <c r="H5" s="168" t="s">
        <v>11</v>
      </c>
      <c r="L5" s="156" t="s">
        <v>3</v>
      </c>
      <c r="M5" s="157" t="s">
        <v>366</v>
      </c>
    </row>
    <row r="6" spans="1:40">
      <c r="A6" s="30"/>
      <c r="B6" s="30"/>
    </row>
    <row r="7" spans="1:40">
      <c r="A7" s="24" t="s">
        <v>330</v>
      </c>
      <c r="B7" s="24" t="s">
        <v>94</v>
      </c>
      <c r="C7" s="167" t="s">
        <v>2</v>
      </c>
      <c r="D7" s="168" t="s">
        <v>302</v>
      </c>
      <c r="E7" s="168" t="s">
        <v>415</v>
      </c>
      <c r="G7" s="167" t="s">
        <v>2</v>
      </c>
      <c r="H7" s="168" t="s">
        <v>378</v>
      </c>
      <c r="I7" s="168" t="s">
        <v>379</v>
      </c>
      <c r="J7" s="168"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68">
        <v>2</v>
      </c>
      <c r="K8" s="5"/>
      <c r="L8" s="4" t="s">
        <v>50</v>
      </c>
      <c r="M8" s="9">
        <v>4.4999999999999998E-2</v>
      </c>
      <c r="N8" s="9">
        <v>0</v>
      </c>
      <c r="O8" s="5"/>
    </row>
    <row r="9" spans="1:40">
      <c r="C9" s="4" t="s">
        <v>18</v>
      </c>
      <c r="D9" s="9">
        <v>0.03</v>
      </c>
      <c r="E9" s="9">
        <v>0</v>
      </c>
      <c r="G9" s="4" t="s">
        <v>18</v>
      </c>
      <c r="H9" s="5">
        <v>2</v>
      </c>
      <c r="I9" s="5">
        <v>2</v>
      </c>
      <c r="J9" s="168">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ColWidth="9.109375" defaultRowHeight="14.4"/>
  <cols>
    <col min="1" max="1" width="12.109375" style="155" customWidth="1"/>
    <col min="2" max="2" width="11.109375" style="57" customWidth="1"/>
    <col min="3" max="3" width="10.77734375" style="57" customWidth="1"/>
    <col min="4" max="4" width="18.6640625" style="57" customWidth="1"/>
    <col min="5" max="5" width="23.109375" style="57" customWidth="1"/>
    <col min="6" max="6" width="9.109375" style="57"/>
    <col min="7" max="7" width="10.77734375" style="57" customWidth="1"/>
    <col min="8" max="8" width="17.44140625" style="57" customWidth="1"/>
    <col min="9" max="9" width="7.44140625" style="57" customWidth="1"/>
    <col min="10" max="10" width="11.44140625" style="57" customWidth="1"/>
    <col min="11" max="11" width="24.88671875" style="57" customWidth="1"/>
    <col min="12" max="12" width="24.33203125" style="57" customWidth="1"/>
    <col min="13" max="13" width="9.109375" style="57"/>
    <col min="14" max="14" width="11.44140625" style="57" customWidth="1"/>
    <col min="15" max="16" width="17.88671875" style="57" customWidth="1"/>
    <col min="17" max="17" width="17.5546875" style="57" customWidth="1"/>
    <col min="18" max="18" width="19.5546875" style="57" customWidth="1"/>
    <col min="19" max="19" width="7.44140625" style="57" customWidth="1"/>
    <col min="20" max="20" width="11.44140625" style="57" customWidth="1"/>
    <col min="21" max="21" width="19.5546875" style="57" customWidth="1"/>
    <col min="22" max="22" width="16.5546875" style="57" customWidth="1"/>
    <col min="23" max="23" width="24.33203125" style="57" customWidth="1"/>
    <col min="24" max="16384" width="9.109375" style="57"/>
  </cols>
  <sheetData>
    <row r="1" spans="1:23">
      <c r="A1" s="31"/>
      <c r="B1" s="31"/>
      <c r="C1" s="188" t="s">
        <v>377</v>
      </c>
      <c r="D1" s="189"/>
      <c r="E1" s="189"/>
      <c r="F1" s="189"/>
      <c r="G1" s="189"/>
      <c r="H1" s="189"/>
      <c r="I1" s="61"/>
      <c r="J1" s="188" t="s">
        <v>365</v>
      </c>
      <c r="K1" s="189"/>
      <c r="L1" s="189"/>
      <c r="M1" s="61"/>
      <c r="N1" s="192" t="s">
        <v>489</v>
      </c>
      <c r="O1" s="193"/>
      <c r="P1" s="189"/>
      <c r="Q1" s="189"/>
      <c r="R1" s="189"/>
      <c r="S1" s="189"/>
      <c r="T1" s="189"/>
      <c r="U1" s="189"/>
      <c r="V1" s="189"/>
      <c r="W1" s="189"/>
    </row>
    <row r="2" spans="1:23" s="31" customFormat="1">
      <c r="C2" s="167" t="s">
        <v>0</v>
      </c>
      <c r="D2" s="168" t="s">
        <v>16</v>
      </c>
      <c r="G2" s="190" t="s">
        <v>0</v>
      </c>
      <c r="H2" s="191" t="s">
        <v>16</v>
      </c>
      <c r="I2" s="57"/>
      <c r="J2" s="156" t="s">
        <v>0</v>
      </c>
      <c r="K2" s="157" t="s">
        <v>16</v>
      </c>
      <c r="M2" s="57"/>
      <c r="N2" s="62"/>
      <c r="O2" s="62"/>
      <c r="P2" s="62"/>
      <c r="Q2" s="62"/>
      <c r="R2" s="62"/>
      <c r="S2" s="62"/>
      <c r="T2" s="62"/>
      <c r="U2" s="62"/>
      <c r="V2" s="62"/>
      <c r="W2" s="62"/>
    </row>
    <row r="3" spans="1:23" s="31" customFormat="1">
      <c r="C3" s="167" t="s">
        <v>1</v>
      </c>
      <c r="D3" s="168" t="s">
        <v>16</v>
      </c>
      <c r="G3" s="190" t="s">
        <v>1</v>
      </c>
      <c r="H3" s="191" t="s">
        <v>16</v>
      </c>
      <c r="I3" s="57"/>
      <c r="J3" s="156" t="s">
        <v>1</v>
      </c>
      <c r="K3" s="157" t="s">
        <v>16</v>
      </c>
      <c r="L3" s="61"/>
      <c r="M3" s="57"/>
      <c r="N3" s="62"/>
      <c r="O3" s="63"/>
      <c r="P3" s="63"/>
      <c r="Q3" s="63"/>
      <c r="R3" s="63"/>
      <c r="S3" s="63"/>
      <c r="T3" s="63"/>
      <c r="U3" s="63"/>
      <c r="V3" s="63"/>
      <c r="W3" s="63"/>
    </row>
    <row r="4" spans="1:23">
      <c r="A4" s="31"/>
      <c r="B4" s="31"/>
      <c r="C4" s="167" t="s">
        <v>2</v>
      </c>
      <c r="D4" s="168" t="s">
        <v>16</v>
      </c>
      <c r="G4" s="167" t="s">
        <v>2</v>
      </c>
      <c r="H4" s="168" t="s">
        <v>16</v>
      </c>
      <c r="J4" s="156" t="s">
        <v>2</v>
      </c>
      <c r="K4" s="157" t="s">
        <v>16</v>
      </c>
      <c r="N4" s="31"/>
      <c r="O4" s="31"/>
    </row>
    <row r="5" spans="1:23">
      <c r="A5" s="31"/>
      <c r="B5" s="31"/>
      <c r="C5" s="167" t="s">
        <v>52</v>
      </c>
      <c r="D5" s="168" t="s">
        <v>16</v>
      </c>
      <c r="G5" s="167" t="s">
        <v>52</v>
      </c>
      <c r="H5" s="168" t="s">
        <v>16</v>
      </c>
      <c r="J5" s="156" t="s">
        <v>52</v>
      </c>
      <c r="K5" s="157" t="s">
        <v>16</v>
      </c>
      <c r="N5" s="160" t="s">
        <v>0</v>
      </c>
      <c r="O5" s="161" t="s">
        <v>16</v>
      </c>
      <c r="T5" s="156" t="s">
        <v>0</v>
      </c>
      <c r="U5" s="157" t="s">
        <v>16</v>
      </c>
    </row>
    <row r="6" spans="1:23">
      <c r="A6" s="31"/>
      <c r="B6" s="31"/>
      <c r="C6" s="167" t="s">
        <v>3</v>
      </c>
      <c r="D6" s="168" t="s">
        <v>12</v>
      </c>
      <c r="G6" s="167" t="s">
        <v>3</v>
      </c>
      <c r="H6" s="168" t="s">
        <v>11</v>
      </c>
      <c r="J6" s="156" t="s">
        <v>3</v>
      </c>
      <c r="K6" s="157" t="s">
        <v>366</v>
      </c>
      <c r="N6" s="160" t="s">
        <v>3</v>
      </c>
      <c r="O6" s="161" t="s">
        <v>310</v>
      </c>
      <c r="T6" s="156" t="s">
        <v>3</v>
      </c>
      <c r="U6" s="157" t="s">
        <v>310</v>
      </c>
    </row>
    <row r="7" spans="1:23">
      <c r="A7" s="31"/>
      <c r="B7" s="31"/>
    </row>
    <row r="8" spans="1:23">
      <c r="A8" s="24" t="s">
        <v>702</v>
      </c>
      <c r="B8" s="24" t="s">
        <v>122</v>
      </c>
      <c r="C8" s="167" t="s">
        <v>2</v>
      </c>
      <c r="D8" s="168" t="s">
        <v>302</v>
      </c>
      <c r="E8" s="168" t="s">
        <v>415</v>
      </c>
      <c r="G8" s="167" t="s">
        <v>296</v>
      </c>
      <c r="H8" t="s">
        <v>384</v>
      </c>
      <c r="J8" s="156" t="s">
        <v>2</v>
      </c>
      <c r="K8" s="157" t="s">
        <v>302</v>
      </c>
      <c r="L8" s="157" t="s">
        <v>415</v>
      </c>
      <c r="N8" s="160" t="s">
        <v>296</v>
      </c>
      <c r="O8" s="161" t="s">
        <v>312</v>
      </c>
      <c r="P8" s="161" t="s">
        <v>417</v>
      </c>
      <c r="Q8" s="161" t="s">
        <v>311</v>
      </c>
      <c r="R8" s="161"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0"/>
  <sheetViews>
    <sheetView workbookViewId="0"/>
  </sheetViews>
  <sheetFormatPr defaultRowHeight="14.4"/>
  <cols>
    <col min="1" max="1" width="12.88671875" customWidth="1"/>
    <col min="2" max="2" width="10.77734375" customWidth="1"/>
    <col min="3" max="3" width="29.33203125" customWidth="1"/>
    <col min="4" max="4" width="23.5546875" customWidth="1"/>
    <col min="5" max="5" width="6.5546875" customWidth="1"/>
    <col min="6" max="6" width="10.77734375" customWidth="1"/>
    <col min="7" max="7" width="36.33203125" customWidth="1"/>
    <col min="9" max="9" width="10.77734375" customWidth="1"/>
    <col min="10" max="10" width="30.88671875" customWidth="1"/>
    <col min="12" max="12" width="10.77734375" customWidth="1"/>
    <col min="13" max="13" width="47.6640625" customWidth="1"/>
    <col min="14" max="14" width="23.109375" customWidth="1"/>
    <col min="15" max="15" width="8" customWidth="1"/>
    <col min="16" max="16" width="10.77734375" customWidth="1"/>
    <col min="17" max="17" width="44.5546875" customWidth="1"/>
    <col min="18" max="18" width="23.109375" customWidth="1"/>
  </cols>
  <sheetData>
    <row r="1" spans="1:18" s="30" customFormat="1"/>
    <row r="2" spans="1:18" s="52" customFormat="1">
      <c r="A2" s="30"/>
      <c r="B2" s="194" t="s">
        <v>146</v>
      </c>
      <c r="C2" s="195"/>
      <c r="D2" s="195"/>
      <c r="E2" s="195"/>
      <c r="F2" s="195"/>
      <c r="G2" s="195"/>
      <c r="H2" s="195"/>
      <c r="I2" s="195"/>
      <c r="J2" s="195"/>
      <c r="K2" s="195"/>
      <c r="L2" s="188" t="s">
        <v>377</v>
      </c>
      <c r="M2" s="189"/>
      <c r="N2" s="189"/>
      <c r="O2" s="189"/>
      <c r="P2" s="189"/>
      <c r="Q2" s="189"/>
      <c r="R2" s="189"/>
    </row>
    <row r="3" spans="1:18">
      <c r="A3" s="30"/>
      <c r="B3" s="54"/>
      <c r="C3" s="55"/>
      <c r="D3" s="55"/>
      <c r="E3" s="55"/>
      <c r="F3" s="55"/>
      <c r="G3" s="55"/>
      <c r="H3" s="55"/>
      <c r="I3" s="55"/>
      <c r="J3" s="55"/>
      <c r="K3" s="55"/>
      <c r="L3" s="167" t="s">
        <v>0</v>
      </c>
      <c r="M3" s="168" t="s">
        <v>16</v>
      </c>
      <c r="N3" s="53"/>
      <c r="O3" s="49"/>
      <c r="P3" s="167" t="s">
        <v>0</v>
      </c>
      <c r="Q3" s="168" t="s">
        <v>16</v>
      </c>
      <c r="R3" s="166"/>
    </row>
    <row r="4" spans="1:18">
      <c r="A4" s="30"/>
      <c r="B4" s="167" t="s">
        <v>0</v>
      </c>
      <c r="C4" s="168" t="s">
        <v>16</v>
      </c>
      <c r="D4" s="33"/>
      <c r="E4" s="33"/>
      <c r="F4" s="167" t="s">
        <v>0</v>
      </c>
      <c r="G4" s="168" t="s">
        <v>16</v>
      </c>
      <c r="I4" s="167" t="s">
        <v>0</v>
      </c>
      <c r="J4" s="168" t="s">
        <v>16</v>
      </c>
      <c r="K4" s="33"/>
      <c r="L4" s="167" t="s">
        <v>1</v>
      </c>
      <c r="M4" s="168" t="s">
        <v>16</v>
      </c>
      <c r="P4" s="167" t="s">
        <v>1</v>
      </c>
      <c r="Q4" s="168" t="s">
        <v>16</v>
      </c>
      <c r="R4" s="168"/>
    </row>
    <row r="5" spans="1:18">
      <c r="A5" s="30"/>
      <c r="B5" s="167" t="s">
        <v>1</v>
      </c>
      <c r="C5" s="168" t="s">
        <v>16</v>
      </c>
      <c r="D5" s="33"/>
      <c r="E5" s="33"/>
      <c r="F5" s="167" t="s">
        <v>1</v>
      </c>
      <c r="G5" s="168" t="s">
        <v>16</v>
      </c>
      <c r="I5" s="167" t="s">
        <v>1</v>
      </c>
      <c r="J5" s="168" t="s">
        <v>16</v>
      </c>
      <c r="K5" s="33"/>
      <c r="L5" s="167" t="s">
        <v>52</v>
      </c>
      <c r="M5" s="168" t="s">
        <v>16</v>
      </c>
      <c r="P5" s="167" t="s">
        <v>52</v>
      </c>
      <c r="Q5" s="168" t="s">
        <v>16</v>
      </c>
      <c r="R5" s="168"/>
    </row>
    <row r="6" spans="1:18">
      <c r="A6" s="30"/>
      <c r="B6" s="167" t="s">
        <v>3</v>
      </c>
      <c r="C6" s="168" t="s">
        <v>113</v>
      </c>
      <c r="D6" s="33"/>
      <c r="E6" s="33"/>
      <c r="F6" s="167" t="s">
        <v>3</v>
      </c>
      <c r="G6" s="168" t="s">
        <v>115</v>
      </c>
      <c r="I6" s="167" t="s">
        <v>3</v>
      </c>
      <c r="J6" s="168" t="s">
        <v>144</v>
      </c>
      <c r="K6" s="33"/>
      <c r="L6" s="167" t="s">
        <v>3</v>
      </c>
      <c r="M6" s="168" t="s">
        <v>15</v>
      </c>
      <c r="P6" s="167" t="s">
        <v>3</v>
      </c>
      <c r="Q6" s="168" t="s">
        <v>46</v>
      </c>
      <c r="R6" s="168"/>
    </row>
    <row r="7" spans="1:18">
      <c r="A7" s="30"/>
      <c r="P7" s="168"/>
      <c r="Q7" s="168"/>
      <c r="R7" s="168"/>
    </row>
    <row r="8" spans="1:18">
      <c r="A8" s="24" t="s">
        <v>330</v>
      </c>
      <c r="B8" s="167" t="s">
        <v>2</v>
      </c>
      <c r="C8" s="168" t="s">
        <v>299</v>
      </c>
      <c r="D8" s="168" t="s">
        <v>418</v>
      </c>
      <c r="F8" s="167" t="s">
        <v>2</v>
      </c>
      <c r="G8" t="s">
        <v>298</v>
      </c>
      <c r="I8" s="167" t="s">
        <v>2</v>
      </c>
      <c r="J8" t="s">
        <v>297</v>
      </c>
      <c r="L8" s="167" t="s">
        <v>2</v>
      </c>
      <c r="M8" s="168" t="s">
        <v>300</v>
      </c>
      <c r="N8" s="168" t="s">
        <v>415</v>
      </c>
      <c r="P8" s="167" t="s">
        <v>2</v>
      </c>
      <c r="Q8" s="168" t="s">
        <v>723</v>
      </c>
      <c r="R8" s="168" t="s">
        <v>415</v>
      </c>
    </row>
    <row r="9" spans="1:18">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c r="P9" s="4" t="s">
        <v>50</v>
      </c>
      <c r="Q9" s="5">
        <v>0</v>
      </c>
      <c r="R9" s="5">
        <v>0</v>
      </c>
    </row>
    <row r="10" spans="1:18">
      <c r="B10" s="4" t="s">
        <v>18</v>
      </c>
      <c r="C10" s="5">
        <v>7475</v>
      </c>
      <c r="D10" s="5">
        <v>0</v>
      </c>
      <c r="E10" s="5"/>
      <c r="F10" s="4" t="s">
        <v>18</v>
      </c>
      <c r="G10" s="5">
        <v>2422</v>
      </c>
      <c r="H10" s="5"/>
      <c r="I10" s="4" t="s">
        <v>18</v>
      </c>
      <c r="J10" s="5">
        <v>17942</v>
      </c>
      <c r="K10" s="5"/>
      <c r="L10" s="4" t="s">
        <v>18</v>
      </c>
      <c r="M10" s="5">
        <v>0</v>
      </c>
      <c r="N10" s="5">
        <v>0</v>
      </c>
      <c r="O10" s="5"/>
      <c r="P10" s="4" t="s">
        <v>18</v>
      </c>
      <c r="Q10" s="5">
        <v>0</v>
      </c>
      <c r="R10" s="5">
        <v>0</v>
      </c>
    </row>
  </sheetData>
  <mergeCells count="2">
    <mergeCell ref="B2:K2"/>
    <mergeCell ref="L2:R2"/>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5" customWidth="1"/>
    <col min="2" max="2" width="11.109375" customWidth="1"/>
    <col min="3" max="3" width="10.77734375" customWidth="1"/>
    <col min="4" max="4" width="29.33203125" customWidth="1"/>
    <col min="5" max="5" width="23.109375" customWidth="1"/>
    <col min="6" max="6" width="4" customWidth="1"/>
    <col min="7" max="7" width="10.77734375" customWidth="1"/>
    <col min="8" max="8" width="36.33203125" customWidth="1"/>
    <col min="9" max="9" width="6.88671875" customWidth="1"/>
    <col min="10" max="10" width="10.77734375" customWidth="1"/>
    <col min="11" max="11" width="30.88671875" customWidth="1"/>
    <col min="12" max="12" width="5.6640625" customWidth="1"/>
    <col min="13" max="13" width="10.77734375" customWidth="1"/>
    <col min="14" max="14" width="47.6640625" customWidth="1"/>
    <col min="15" max="15" width="23.109375" customWidth="1"/>
    <col min="16" max="16" width="5.6640625" customWidth="1"/>
    <col min="17" max="17" width="10.77734375" bestFit="1" customWidth="1"/>
    <col min="18" max="18" width="44.5546875" customWidth="1"/>
    <col min="19" max="19" width="23.109375" customWidth="1"/>
  </cols>
  <sheetData>
    <row r="1" spans="1:19" s="52" customFormat="1">
      <c r="A1" s="31"/>
      <c r="B1" s="31"/>
      <c r="C1" s="194" t="s">
        <v>146</v>
      </c>
      <c r="D1" s="195"/>
      <c r="E1" s="195"/>
      <c r="F1" s="195"/>
      <c r="G1" s="195"/>
      <c r="H1" s="195"/>
      <c r="I1" s="195"/>
      <c r="J1" s="195"/>
      <c r="K1" s="195"/>
      <c r="L1" s="195"/>
      <c r="M1" s="188" t="s">
        <v>377</v>
      </c>
      <c r="N1" s="189"/>
      <c r="O1" s="189"/>
      <c r="P1" s="189"/>
      <c r="Q1" s="189"/>
      <c r="R1" s="189"/>
      <c r="S1" s="189"/>
    </row>
    <row r="2" spans="1:19">
      <c r="A2" s="31"/>
      <c r="B2" s="31"/>
      <c r="C2" s="54"/>
      <c r="D2" s="55"/>
      <c r="E2" s="55"/>
      <c r="F2" s="55"/>
      <c r="G2" s="55"/>
      <c r="H2" s="55"/>
      <c r="I2" s="55"/>
      <c r="J2" s="55"/>
      <c r="K2" s="55"/>
      <c r="L2" s="55"/>
      <c r="M2" s="167" t="s">
        <v>0</v>
      </c>
      <c r="N2" s="168" t="s">
        <v>16</v>
      </c>
      <c r="O2" s="53"/>
      <c r="Q2" s="167" t="s">
        <v>0</v>
      </c>
      <c r="R2" s="168" t="s">
        <v>16</v>
      </c>
      <c r="S2" s="166"/>
    </row>
    <row r="3" spans="1:19">
      <c r="A3" s="31"/>
      <c r="B3" s="31"/>
      <c r="C3" s="167" t="s">
        <v>0</v>
      </c>
      <c r="D3" s="168" t="s">
        <v>16</v>
      </c>
      <c r="G3" s="167" t="s">
        <v>0</v>
      </c>
      <c r="H3" s="168" t="s">
        <v>16</v>
      </c>
      <c r="J3" s="167" t="s">
        <v>0</v>
      </c>
      <c r="K3" s="168" t="s">
        <v>16</v>
      </c>
      <c r="M3" s="167" t="s">
        <v>1</v>
      </c>
      <c r="N3" s="168" t="s">
        <v>16</v>
      </c>
      <c r="Q3" s="167" t="s">
        <v>1</v>
      </c>
      <c r="R3" s="168" t="s">
        <v>16</v>
      </c>
      <c r="S3" s="168"/>
    </row>
    <row r="4" spans="1:19">
      <c r="A4" s="31"/>
      <c r="B4" s="31"/>
      <c r="C4" s="167" t="s">
        <v>1</v>
      </c>
      <c r="D4" s="168" t="s">
        <v>16</v>
      </c>
      <c r="E4" s="33"/>
      <c r="F4" s="33"/>
      <c r="G4" s="167" t="s">
        <v>1</v>
      </c>
      <c r="H4" s="168" t="s">
        <v>16</v>
      </c>
      <c r="J4" s="167" t="s">
        <v>1</v>
      </c>
      <c r="K4" s="168" t="s">
        <v>16</v>
      </c>
      <c r="L4" s="33"/>
      <c r="M4" s="167" t="s">
        <v>2</v>
      </c>
      <c r="N4" s="168" t="s">
        <v>16</v>
      </c>
      <c r="Q4" s="167" t="s">
        <v>2</v>
      </c>
      <c r="R4" s="168" t="s">
        <v>16</v>
      </c>
      <c r="S4" s="168"/>
    </row>
    <row r="5" spans="1:19">
      <c r="A5" s="31"/>
      <c r="B5" s="31"/>
      <c r="C5" s="167" t="s">
        <v>2</v>
      </c>
      <c r="D5" s="168" t="s">
        <v>16</v>
      </c>
      <c r="E5" s="33"/>
      <c r="F5" s="33"/>
      <c r="G5" s="167" t="s">
        <v>2</v>
      </c>
      <c r="H5" s="168" t="s">
        <v>16</v>
      </c>
      <c r="J5" s="167" t="s">
        <v>2</v>
      </c>
      <c r="K5" s="168" t="s">
        <v>16</v>
      </c>
      <c r="L5" s="33"/>
      <c r="M5" s="167" t="s">
        <v>52</v>
      </c>
      <c r="N5" s="168" t="s">
        <v>16</v>
      </c>
      <c r="Q5" s="167" t="s">
        <v>52</v>
      </c>
      <c r="R5" s="168" t="s">
        <v>16</v>
      </c>
      <c r="S5" s="168"/>
    </row>
    <row r="6" spans="1:19">
      <c r="A6" s="31"/>
      <c r="B6" s="31"/>
      <c r="C6" s="167" t="s">
        <v>3</v>
      </c>
      <c r="D6" s="168" t="s">
        <v>113</v>
      </c>
      <c r="E6" s="33"/>
      <c r="F6" s="33"/>
      <c r="G6" s="167" t="s">
        <v>3</v>
      </c>
      <c r="H6" s="168" t="s">
        <v>115</v>
      </c>
      <c r="J6" s="167" t="s">
        <v>3</v>
      </c>
      <c r="K6" s="168" t="s">
        <v>144</v>
      </c>
      <c r="L6" s="33"/>
      <c r="M6" s="167" t="s">
        <v>3</v>
      </c>
      <c r="N6" s="168" t="s">
        <v>15</v>
      </c>
      <c r="Q6" s="167" t="s">
        <v>3</v>
      </c>
      <c r="R6" s="168" t="s">
        <v>46</v>
      </c>
      <c r="S6" s="168"/>
    </row>
    <row r="7" spans="1:19">
      <c r="A7" s="31"/>
      <c r="B7" s="31"/>
      <c r="Q7" s="168"/>
      <c r="R7" s="168"/>
      <c r="S7" s="168"/>
    </row>
    <row r="8" spans="1:19">
      <c r="A8" s="24" t="s">
        <v>702</v>
      </c>
      <c r="B8" s="24" t="s">
        <v>122</v>
      </c>
      <c r="C8" s="167" t="s">
        <v>296</v>
      </c>
      <c r="D8" s="168" t="s">
        <v>299</v>
      </c>
      <c r="E8" s="168" t="s">
        <v>415</v>
      </c>
      <c r="G8" s="167" t="s">
        <v>296</v>
      </c>
      <c r="H8" t="s">
        <v>298</v>
      </c>
      <c r="J8" s="167" t="s">
        <v>296</v>
      </c>
      <c r="K8" t="s">
        <v>297</v>
      </c>
      <c r="M8" s="167" t="s">
        <v>296</v>
      </c>
      <c r="N8" s="168" t="s">
        <v>300</v>
      </c>
      <c r="O8" s="168" t="s">
        <v>415</v>
      </c>
      <c r="Q8" s="167" t="s">
        <v>296</v>
      </c>
      <c r="R8" s="168" t="s">
        <v>723</v>
      </c>
      <c r="S8" s="168" t="s">
        <v>415</v>
      </c>
    </row>
    <row r="9" spans="1:19">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c r="Q9" s="4" t="s">
        <v>49</v>
      </c>
      <c r="R9" s="5">
        <v>0</v>
      </c>
      <c r="S9" s="5">
        <v>0</v>
      </c>
    </row>
    <row r="10" spans="1:19">
      <c r="C10" s="4" t="s">
        <v>18</v>
      </c>
      <c r="D10" s="5">
        <v>7475</v>
      </c>
      <c r="E10" s="5">
        <v>0</v>
      </c>
      <c r="F10" s="5"/>
      <c r="G10" s="4" t="s">
        <v>18</v>
      </c>
      <c r="H10" s="5">
        <v>2422</v>
      </c>
      <c r="I10" s="5"/>
      <c r="J10" s="4" t="s">
        <v>18</v>
      </c>
      <c r="K10" s="5">
        <v>17942</v>
      </c>
      <c r="L10" s="5"/>
      <c r="M10" s="4" t="s">
        <v>18</v>
      </c>
      <c r="N10" s="5">
        <v>0</v>
      </c>
      <c r="O10" s="5">
        <v>0</v>
      </c>
      <c r="Q10" s="4" t="s">
        <v>18</v>
      </c>
      <c r="R10" s="5">
        <v>0</v>
      </c>
      <c r="S10" s="5">
        <v>0</v>
      </c>
    </row>
  </sheetData>
  <mergeCells count="2">
    <mergeCell ref="C1:L1"/>
    <mergeCell ref="M1:S1"/>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4.4"/>
  <cols>
    <col min="1" max="1" width="14.109375" style="155" customWidth="1"/>
    <col min="2" max="2" width="15.109375" customWidth="1"/>
    <col min="3" max="3" width="11.44140625" customWidth="1"/>
    <col min="4" max="4" width="27.88671875" customWidth="1"/>
    <col min="5" max="5" width="9.109375" customWidth="1"/>
    <col min="6" max="6" width="11.44140625" customWidth="1"/>
    <col min="7" max="7" width="30.109375" customWidth="1"/>
    <col min="8" max="8" width="24.33203125" customWidth="1"/>
    <col min="10" max="10" width="11.44140625" customWidth="1"/>
    <col min="11" max="11" width="26.109375" customWidth="1"/>
    <col min="12" max="12" width="23.6640625" customWidth="1"/>
    <col min="15" max="15" width="10.77734375" customWidth="1"/>
    <col min="16" max="16" width="30.21875" customWidth="1"/>
    <col min="18" max="18" width="10.77734375" customWidth="1"/>
    <col min="19" max="19" width="30.5546875" customWidth="1"/>
    <col min="20" max="20" width="27.88671875" customWidth="1"/>
  </cols>
  <sheetData>
    <row r="1" spans="1:20" s="31" customFormat="1"/>
    <row r="2" spans="1:20" s="31" customFormat="1"/>
    <row r="3" spans="1:20" s="31" customFormat="1">
      <c r="C3" s="192" t="s">
        <v>308</v>
      </c>
      <c r="D3" s="172"/>
      <c r="E3" s="172"/>
      <c r="F3" s="172"/>
      <c r="G3" s="172"/>
      <c r="H3" s="172"/>
      <c r="I3" s="172"/>
      <c r="J3" s="172"/>
      <c r="K3" s="172"/>
      <c r="L3" s="172"/>
      <c r="N3" s="192" t="s">
        <v>475</v>
      </c>
      <c r="O3" s="189"/>
      <c r="P3" s="189"/>
      <c r="Q3" s="189"/>
      <c r="R3" s="189"/>
      <c r="S3" s="189"/>
      <c r="T3" s="189"/>
    </row>
    <row r="4" spans="1:20">
      <c r="A4" s="31"/>
      <c r="B4" s="31"/>
      <c r="C4" s="192"/>
      <c r="D4" s="172"/>
      <c r="E4" s="172"/>
      <c r="F4" s="172"/>
      <c r="G4" s="172"/>
      <c r="H4" s="172"/>
      <c r="I4" s="172"/>
      <c r="J4" s="172"/>
      <c r="K4" s="172"/>
      <c r="L4" s="172"/>
      <c r="N4" s="96"/>
      <c r="O4" s="167" t="s">
        <v>0</v>
      </c>
      <c r="P4" s="168" t="s">
        <v>16</v>
      </c>
      <c r="Q4" s="96"/>
      <c r="R4" s="167" t="s">
        <v>0</v>
      </c>
      <c r="S4" s="168" t="s">
        <v>16</v>
      </c>
      <c r="T4" s="33"/>
    </row>
    <row r="5" spans="1:20">
      <c r="A5" s="31"/>
      <c r="B5" s="31"/>
      <c r="C5" s="160" t="s">
        <v>0</v>
      </c>
      <c r="D5" s="161" t="s">
        <v>16</v>
      </c>
      <c r="F5" s="160" t="s">
        <v>0</v>
      </c>
      <c r="G5" s="161" t="s">
        <v>16</v>
      </c>
      <c r="J5" s="160" t="s">
        <v>0</v>
      </c>
      <c r="K5" s="161" t="s">
        <v>16</v>
      </c>
      <c r="L5" s="52"/>
      <c r="N5" s="96"/>
      <c r="O5" s="167" t="s">
        <v>1</v>
      </c>
      <c r="P5" s="168" t="s">
        <v>16</v>
      </c>
      <c r="Q5" s="96"/>
      <c r="R5" s="167" t="s">
        <v>1</v>
      </c>
      <c r="S5" s="168" t="s">
        <v>16</v>
      </c>
      <c r="T5" s="33"/>
    </row>
    <row r="6" spans="1:20">
      <c r="A6" s="31"/>
      <c r="B6" s="31"/>
      <c r="C6" s="160" t="s">
        <v>3</v>
      </c>
      <c r="D6" s="161" t="s">
        <v>294</v>
      </c>
      <c r="F6" s="160" t="s">
        <v>3</v>
      </c>
      <c r="G6" s="161" t="s">
        <v>334</v>
      </c>
      <c r="J6" s="160" t="s">
        <v>3</v>
      </c>
      <c r="K6" s="161" t="s">
        <v>335</v>
      </c>
      <c r="L6" s="52"/>
      <c r="N6" s="96"/>
      <c r="O6" s="167" t="s">
        <v>3</v>
      </c>
      <c r="P6" s="168" t="s">
        <v>466</v>
      </c>
      <c r="Q6" s="96"/>
      <c r="R6" s="167" t="s">
        <v>3</v>
      </c>
      <c r="S6" s="168" t="s">
        <v>468</v>
      </c>
      <c r="T6" s="33"/>
    </row>
    <row r="7" spans="1:20">
      <c r="A7" s="31"/>
      <c r="B7" s="31"/>
      <c r="F7" s="52"/>
      <c r="G7" s="52"/>
      <c r="J7" s="52"/>
      <c r="K7" s="52"/>
      <c r="L7" s="52"/>
      <c r="N7" s="96"/>
      <c r="O7" s="96"/>
      <c r="P7" s="96"/>
      <c r="Q7" s="96"/>
      <c r="R7" s="96"/>
      <c r="S7" s="96"/>
      <c r="T7" s="96"/>
    </row>
    <row r="8" spans="1:20">
      <c r="A8" s="24" t="s">
        <v>702</v>
      </c>
      <c r="B8" s="24" t="s">
        <v>122</v>
      </c>
      <c r="C8" s="160" t="s">
        <v>296</v>
      </c>
      <c r="D8" t="s">
        <v>309</v>
      </c>
      <c r="F8" s="160" t="s">
        <v>296</v>
      </c>
      <c r="G8" s="161" t="s">
        <v>346</v>
      </c>
      <c r="H8" s="161" t="s">
        <v>415</v>
      </c>
      <c r="J8" s="160" t="s">
        <v>296</v>
      </c>
      <c r="K8" s="161" t="s">
        <v>347</v>
      </c>
      <c r="L8" s="161" t="s">
        <v>419</v>
      </c>
      <c r="N8" s="24" t="s">
        <v>330</v>
      </c>
      <c r="O8" s="167" t="s">
        <v>2</v>
      </c>
      <c r="P8" t="s">
        <v>472</v>
      </c>
      <c r="Q8" s="96"/>
      <c r="R8" s="167" t="s">
        <v>2</v>
      </c>
      <c r="S8" s="168" t="s">
        <v>473</v>
      </c>
      <c r="T8" s="168"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61">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61">
        <v>396</v>
      </c>
      <c r="H10" s="161">
        <v>0</v>
      </c>
      <c r="J10" s="4" t="s">
        <v>18</v>
      </c>
      <c r="K10" s="161">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41" customWidth="1"/>
    <col min="2" max="2" width="22.88671875" style="141" customWidth="1"/>
    <col min="3" max="3" width="14.6640625" style="141" customWidth="1"/>
    <col min="4" max="4" width="22.88671875" style="141" customWidth="1"/>
    <col min="5" max="5" width="26.44140625" style="141" customWidth="1"/>
    <col min="6" max="6" width="18.6640625" style="141" customWidth="1"/>
    <col min="7" max="7" width="14.44140625" style="141" customWidth="1"/>
    <col min="8" max="8" width="18.6640625" style="141" customWidth="1"/>
    <col min="9" max="9" width="27" style="141" customWidth="1"/>
    <col min="10" max="10" width="28" style="141" customWidth="1"/>
    <col min="11" max="11" width="12.5546875" style="141" customWidth="1"/>
    <col min="12" max="12" width="22" style="141" customWidth="1"/>
    <col min="13" max="13" width="23" style="141" customWidth="1"/>
    <col min="14" max="14" width="25.109375" style="141" customWidth="1"/>
    <col min="15" max="15" width="17.5546875" style="141" customWidth="1"/>
    <col min="16" max="16" width="15.6640625" style="141" customWidth="1"/>
    <col min="17" max="17" width="19.44140625" style="141" customWidth="1"/>
    <col min="18" max="18" width="24.5546875" style="141" bestFit="1" customWidth="1"/>
    <col min="19" max="16384" width="9.109375" style="141"/>
  </cols>
  <sheetData>
    <row r="1" spans="1:18" s="45" customFormat="1"/>
    <row r="2" spans="1:18" s="45" customFormat="1"/>
    <row r="3" spans="1:18" s="45" customFormat="1"/>
    <row r="4" spans="1:18">
      <c r="A4" s="45"/>
      <c r="B4" s="196" t="s">
        <v>301</v>
      </c>
      <c r="C4" s="189"/>
      <c r="D4" s="189"/>
      <c r="E4" s="189"/>
      <c r="F4" s="189"/>
      <c r="G4" s="189"/>
      <c r="H4" s="189"/>
      <c r="I4" s="189"/>
      <c r="J4" s="189"/>
      <c r="K4" s="189"/>
      <c r="L4" s="189"/>
      <c r="M4" s="189"/>
      <c r="N4" s="189"/>
      <c r="O4" s="189"/>
      <c r="P4" s="189"/>
    </row>
    <row r="5" spans="1:18">
      <c r="A5" s="45"/>
      <c r="B5" s="158" t="s">
        <v>575</v>
      </c>
      <c r="C5" s="159" t="s">
        <v>16</v>
      </c>
      <c r="D5" s="45"/>
      <c r="E5" s="45"/>
      <c r="F5" s="45"/>
      <c r="G5" s="45"/>
      <c r="H5" s="45"/>
      <c r="I5" s="45"/>
      <c r="J5" s="45"/>
      <c r="K5" s="45"/>
      <c r="L5" s="45"/>
      <c r="M5" s="45"/>
      <c r="N5" s="45"/>
      <c r="O5" s="45"/>
      <c r="P5" s="45"/>
    </row>
    <row r="6" spans="1:18">
      <c r="A6" s="45"/>
      <c r="B6" s="158" t="s">
        <v>0</v>
      </c>
      <c r="C6" s="159" t="s">
        <v>16</v>
      </c>
      <c r="D6" s="140"/>
      <c r="E6" s="140"/>
      <c r="F6" s="140"/>
      <c r="G6" s="140"/>
      <c r="H6" s="142"/>
      <c r="I6" s="140"/>
      <c r="J6" s="140"/>
      <c r="K6" s="140"/>
      <c r="L6" s="140"/>
      <c r="M6" s="142"/>
    </row>
    <row r="7" spans="1:18">
      <c r="A7" s="45"/>
    </row>
    <row r="8" spans="1:18">
      <c r="A8" s="24"/>
      <c r="B8" s="130" t="s">
        <v>645</v>
      </c>
      <c r="C8" s="131" t="s">
        <v>601</v>
      </c>
      <c r="D8" s="131" t="s">
        <v>599</v>
      </c>
      <c r="E8" s="131" t="s">
        <v>600</v>
      </c>
      <c r="F8" s="131" t="s">
        <v>602</v>
      </c>
      <c r="G8" s="159" t="s">
        <v>623</v>
      </c>
      <c r="H8" s="131" t="s">
        <v>603</v>
      </c>
      <c r="I8" s="131" t="s">
        <v>604</v>
      </c>
      <c r="J8" s="131" t="s">
        <v>609</v>
      </c>
      <c r="K8" s="159" t="s">
        <v>651</v>
      </c>
      <c r="L8" s="159" t="s">
        <v>652</v>
      </c>
      <c r="M8" s="159" t="s">
        <v>653</v>
      </c>
      <c r="N8" s="131" t="s">
        <v>605</v>
      </c>
      <c r="O8" s="159" t="s">
        <v>712</v>
      </c>
      <c r="P8" s="159" t="s">
        <v>713</v>
      </c>
      <c r="Q8" s="131" t="s">
        <v>606</v>
      </c>
      <c r="R8" s="131" t="s">
        <v>607</v>
      </c>
    </row>
    <row r="9" spans="1:18">
      <c r="A9" s="29"/>
      <c r="B9" s="4" t="s">
        <v>48</v>
      </c>
      <c r="C9" s="5">
        <v>2</v>
      </c>
      <c r="D9" s="129">
        <v>4.9768518518518521E-4</v>
      </c>
      <c r="E9" s="129">
        <v>3.3564814814814818E-4</v>
      </c>
      <c r="F9" s="159">
        <v>0</v>
      </c>
      <c r="G9" s="5">
        <v>1</v>
      </c>
      <c r="H9" s="5">
        <v>0</v>
      </c>
      <c r="I9" s="5">
        <v>3</v>
      </c>
      <c r="J9" s="5">
        <v>69156</v>
      </c>
      <c r="K9" s="5">
        <v>2</v>
      </c>
      <c r="L9" s="104">
        <v>63.46</v>
      </c>
      <c r="M9" s="5">
        <v>235</v>
      </c>
      <c r="N9" s="5">
        <v>0</v>
      </c>
      <c r="O9" s="5">
        <v>10</v>
      </c>
      <c r="P9" s="5">
        <v>784</v>
      </c>
      <c r="Q9" s="5">
        <v>0</v>
      </c>
      <c r="R9" s="5">
        <v>1</v>
      </c>
    </row>
    <row r="10" spans="1:18">
      <c r="B10" s="4" t="s">
        <v>498</v>
      </c>
      <c r="C10" s="5"/>
      <c r="D10" s="129"/>
      <c r="E10" s="129"/>
      <c r="F10" s="159"/>
      <c r="G10" s="5"/>
      <c r="H10" s="5"/>
      <c r="I10" s="5"/>
      <c r="J10" s="5"/>
      <c r="K10" s="5"/>
      <c r="L10" s="104"/>
      <c r="M10" s="5"/>
      <c r="N10" s="5"/>
      <c r="O10" s="5"/>
      <c r="P10" s="5"/>
      <c r="Q10" s="5"/>
      <c r="R10" s="5"/>
    </row>
    <row r="11" spans="1:18">
      <c r="B11" s="4" t="s">
        <v>18</v>
      </c>
      <c r="C11" s="5">
        <v>2</v>
      </c>
      <c r="D11" s="129">
        <v>4.9768518518518521E-4</v>
      </c>
      <c r="E11" s="129">
        <v>3.3564814814814818E-4</v>
      </c>
      <c r="F11" s="159">
        <v>0</v>
      </c>
      <c r="G11" s="5">
        <v>1</v>
      </c>
      <c r="H11" s="5">
        <v>0</v>
      </c>
      <c r="I11" s="5">
        <v>3</v>
      </c>
      <c r="J11" s="5">
        <v>69156</v>
      </c>
      <c r="K11" s="5">
        <v>2</v>
      </c>
      <c r="L11" s="104">
        <v>63.46</v>
      </c>
      <c r="M11" s="5">
        <v>235</v>
      </c>
      <c r="N11" s="5">
        <v>0</v>
      </c>
      <c r="O11" s="5">
        <v>10</v>
      </c>
      <c r="P11" s="5">
        <v>784</v>
      </c>
      <c r="Q11" s="5">
        <v>0</v>
      </c>
      <c r="R11" s="5">
        <v>1</v>
      </c>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5" customWidth="1"/>
    <col min="2" max="2" width="14.33203125" customWidth="1"/>
    <col min="3" max="3" width="11.44140625" customWidth="1"/>
    <col min="4" max="5" width="17.88671875" customWidth="1"/>
    <col min="6" max="6" width="17.5546875" customWidth="1"/>
    <col min="7" max="7" width="19.5546875" customWidth="1"/>
    <col min="9" max="9" width="11.44140625" customWidth="1"/>
    <col min="10" max="10" width="17.88671875" customWidth="1"/>
    <col min="11" max="11" width="12.6640625" customWidth="1"/>
    <col min="12" max="12" width="20.44140625" customWidth="1"/>
    <col min="14" max="14" width="11.44140625" customWidth="1"/>
    <col min="15" max="16" width="17.88671875" customWidth="1"/>
    <col min="17" max="17" width="17.5546875" customWidth="1"/>
    <col min="18" max="18" width="19.5546875" customWidth="1"/>
    <col min="20" max="20" width="11.44140625" customWidth="1"/>
    <col min="21" max="21" width="17.88671875" customWidth="1"/>
    <col min="22" max="22" width="12.6640625" customWidth="1"/>
    <col min="23" max="23" width="20.44140625" customWidth="1"/>
    <col min="25" max="25" width="15.5546875" customWidth="1"/>
    <col min="26" max="26" width="14.6640625" customWidth="1"/>
    <col min="27" max="27" width="22.88671875" customWidth="1"/>
    <col min="28" max="28" width="26.44140625" style="115" customWidth="1"/>
    <col min="29" max="29" width="18.6640625" style="115" customWidth="1"/>
    <col min="30" max="30" width="14.44140625" customWidth="1"/>
    <col min="31" max="31" width="18.6640625" customWidth="1"/>
    <col min="32" max="32" width="17.44140625" customWidth="1"/>
    <col min="33" max="33" width="27" customWidth="1"/>
    <col min="34" max="34" width="28" customWidth="1"/>
    <col min="35" max="35" width="23.33203125" customWidth="1"/>
    <col min="36" max="36" width="25.109375" customWidth="1"/>
    <col min="37" max="37" width="17.5546875" customWidth="1"/>
    <col min="38" max="38" width="15.6640625" customWidth="1"/>
    <col min="39" max="39" width="19.44140625" customWidth="1"/>
    <col min="40" max="40" width="24.5546875" bestFit="1" customWidth="1"/>
  </cols>
  <sheetData>
    <row r="1" spans="1:40" s="45" customFormat="1">
      <c r="A1" s="31"/>
    </row>
    <row r="2" spans="1:40" s="45" customFormat="1">
      <c r="A2" s="31"/>
    </row>
    <row r="3" spans="1:40" s="45" customFormat="1">
      <c r="A3" s="31"/>
    </row>
    <row r="4" spans="1:40">
      <c r="A4" s="31"/>
      <c r="B4" s="45"/>
      <c r="C4" s="196" t="s">
        <v>528</v>
      </c>
      <c r="D4" s="197"/>
      <c r="E4" s="197"/>
      <c r="F4" s="197"/>
      <c r="G4" s="197"/>
      <c r="H4" s="197"/>
      <c r="I4" s="197"/>
      <c r="J4" s="197"/>
      <c r="K4" s="197"/>
      <c r="L4" s="197"/>
      <c r="N4" s="196" t="s">
        <v>529</v>
      </c>
      <c r="O4" s="197"/>
      <c r="P4" s="197"/>
      <c r="Q4" s="197"/>
      <c r="R4" s="197"/>
      <c r="S4" s="197"/>
      <c r="T4" s="197"/>
      <c r="U4" s="197"/>
      <c r="V4" s="197"/>
      <c r="W4" s="197"/>
      <c r="Y4" s="196" t="s">
        <v>301</v>
      </c>
      <c r="Z4" s="197"/>
      <c r="AA4" s="197"/>
      <c r="AB4" s="197"/>
      <c r="AC4" s="197"/>
      <c r="AD4" s="197"/>
      <c r="AE4" s="197"/>
      <c r="AF4" s="197"/>
      <c r="AG4" s="197"/>
      <c r="AH4" s="197"/>
      <c r="AI4" s="172"/>
      <c r="AJ4" s="172"/>
      <c r="AK4" s="172"/>
    </row>
    <row r="5" spans="1:40">
      <c r="A5" s="31"/>
      <c r="B5" s="45"/>
      <c r="C5" s="160" t="s">
        <v>0</v>
      </c>
      <c r="D5" s="161" t="s">
        <v>16</v>
      </c>
      <c r="E5" s="33"/>
      <c r="H5" s="33"/>
      <c r="I5" s="160" t="s">
        <v>0</v>
      </c>
      <c r="J5" s="161" t="s">
        <v>16</v>
      </c>
      <c r="N5" s="160" t="s">
        <v>0</v>
      </c>
      <c r="O5" s="161" t="s">
        <v>16</v>
      </c>
      <c r="P5" s="33"/>
      <c r="S5" s="33"/>
      <c r="T5" s="160" t="s">
        <v>0</v>
      </c>
      <c r="U5" s="161" t="s">
        <v>16</v>
      </c>
      <c r="Y5" s="158" t="s">
        <v>575</v>
      </c>
      <c r="Z5" s="159" t="s">
        <v>16</v>
      </c>
      <c r="AA5" s="45"/>
      <c r="AB5" s="45"/>
      <c r="AC5" s="45"/>
      <c r="AD5" s="45"/>
      <c r="AE5" s="45"/>
      <c r="AF5" s="45"/>
      <c r="AG5" s="45"/>
      <c r="AH5" s="45"/>
      <c r="AI5" s="45"/>
      <c r="AJ5" s="45"/>
      <c r="AK5" s="45"/>
    </row>
    <row r="6" spans="1:40">
      <c r="A6" s="31"/>
      <c r="B6" s="45"/>
      <c r="C6" s="160" t="s">
        <v>3</v>
      </c>
      <c r="D6" s="161" t="s">
        <v>310</v>
      </c>
      <c r="E6" s="33"/>
      <c r="H6" s="33"/>
      <c r="I6" s="160" t="s">
        <v>3</v>
      </c>
      <c r="J6" s="161" t="s">
        <v>310</v>
      </c>
      <c r="N6" s="160" t="s">
        <v>3</v>
      </c>
      <c r="O6" s="161" t="s">
        <v>310</v>
      </c>
      <c r="P6" s="33"/>
      <c r="S6" s="33"/>
      <c r="T6" s="160" t="s">
        <v>3</v>
      </c>
      <c r="U6" s="161" t="s">
        <v>310</v>
      </c>
      <c r="Y6" s="158" t="s">
        <v>0</v>
      </c>
      <c r="Z6" s="159"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702</v>
      </c>
      <c r="B8" s="24" t="s">
        <v>122</v>
      </c>
      <c r="C8" s="160" t="s">
        <v>296</v>
      </c>
      <c r="D8" s="161" t="s">
        <v>312</v>
      </c>
      <c r="E8" s="161" t="s">
        <v>417</v>
      </c>
      <c r="F8" s="161" t="s">
        <v>311</v>
      </c>
      <c r="G8" s="161" t="s">
        <v>416</v>
      </c>
      <c r="I8" s="160" t="s">
        <v>296</v>
      </c>
      <c r="J8" s="161" t="s">
        <v>316</v>
      </c>
      <c r="K8" s="161" t="s">
        <v>317</v>
      </c>
      <c r="L8" s="161" t="s">
        <v>318</v>
      </c>
      <c r="N8" s="160" t="s">
        <v>296</v>
      </c>
      <c r="O8" s="161" t="s">
        <v>312</v>
      </c>
      <c r="P8" s="161" t="s">
        <v>417</v>
      </c>
      <c r="Q8" s="161" t="s">
        <v>311</v>
      </c>
      <c r="R8" s="161" t="s">
        <v>416</v>
      </c>
      <c r="T8" s="160" t="s">
        <v>296</v>
      </c>
      <c r="U8" s="161" t="s">
        <v>316</v>
      </c>
      <c r="V8" s="161" t="s">
        <v>317</v>
      </c>
      <c r="W8" s="161" t="s">
        <v>318</v>
      </c>
      <c r="Y8" s="130" t="s">
        <v>17</v>
      </c>
      <c r="Z8" s="131" t="s">
        <v>601</v>
      </c>
      <c r="AA8" s="131" t="s">
        <v>599</v>
      </c>
      <c r="AB8" s="131" t="s">
        <v>600</v>
      </c>
      <c r="AC8" s="131" t="s">
        <v>602</v>
      </c>
      <c r="AD8" s="159" t="s">
        <v>623</v>
      </c>
      <c r="AE8" s="131" t="s">
        <v>603</v>
      </c>
      <c r="AF8" s="131" t="s">
        <v>608</v>
      </c>
      <c r="AG8" s="131" t="s">
        <v>604</v>
      </c>
      <c r="AH8" s="131" t="s">
        <v>609</v>
      </c>
      <c r="AI8" s="159" t="s">
        <v>698</v>
      </c>
      <c r="AJ8" s="131" t="s">
        <v>605</v>
      </c>
      <c r="AK8" s="159" t="s">
        <v>712</v>
      </c>
      <c r="AL8" s="159" t="s">
        <v>713</v>
      </c>
      <c r="AM8" s="131" t="s">
        <v>606</v>
      </c>
      <c r="AN8" s="131" t="s">
        <v>607</v>
      </c>
    </row>
    <row r="9" spans="1:40">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10</v>
      </c>
      <c r="AL9" s="5">
        <v>784</v>
      </c>
      <c r="AM9" s="5">
        <v>0</v>
      </c>
      <c r="AN9" s="5">
        <v>1</v>
      </c>
    </row>
    <row r="10" spans="1:40">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9"/>
      <c r="AD10" s="5"/>
      <c r="AE10" s="5"/>
      <c r="AF10" s="5"/>
      <c r="AG10" s="5"/>
      <c r="AH10" s="5"/>
      <c r="AI10" s="5"/>
      <c r="AJ10" s="5"/>
      <c r="AK10" s="5"/>
      <c r="AL10" s="5"/>
      <c r="AM10" s="5"/>
      <c r="AN10" s="5"/>
    </row>
    <row r="11" spans="1:40">
      <c r="Y11" s="4" t="s">
        <v>18</v>
      </c>
      <c r="Z11" s="5">
        <v>2</v>
      </c>
      <c r="AA11" s="129">
        <v>4.9768518518518521E-4</v>
      </c>
      <c r="AB11" s="129">
        <v>3.3564814814814818E-4</v>
      </c>
      <c r="AC11" s="159">
        <v>0</v>
      </c>
      <c r="AD11" s="5">
        <v>1</v>
      </c>
      <c r="AE11" s="5">
        <v>0</v>
      </c>
      <c r="AF11" s="5"/>
      <c r="AG11" s="5">
        <v>3</v>
      </c>
      <c r="AH11" s="5">
        <v>69156</v>
      </c>
      <c r="AI11" s="5">
        <v>2</v>
      </c>
      <c r="AJ11" s="5">
        <v>0</v>
      </c>
      <c r="AK11" s="5">
        <v>10</v>
      </c>
      <c r="AL11" s="5">
        <v>784</v>
      </c>
      <c r="AM11" s="5">
        <v>0</v>
      </c>
      <c r="AN11" s="5">
        <v>1</v>
      </c>
    </row>
    <row r="12" spans="1:40">
      <c r="AB12"/>
      <c r="AC12"/>
    </row>
    <row r="13" spans="1:40">
      <c r="AB13"/>
      <c r="AC13"/>
    </row>
    <row r="14" spans="1:40">
      <c r="AB14"/>
      <c r="AC14"/>
    </row>
    <row r="15" spans="1:40">
      <c r="AB15"/>
      <c r="AC15"/>
    </row>
  </sheetData>
  <mergeCells count="3">
    <mergeCell ref="C4:L4"/>
    <mergeCell ref="N4:W4"/>
    <mergeCell ref="Y4:AK4"/>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4.4"/>
  <cols>
    <col min="1" max="1" width="11.33203125"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7" style="86" customWidth="1"/>
    <col min="11" max="11" width="11.44140625" style="86" customWidth="1"/>
    <col min="12" max="12" width="25.5546875" style="86" customWidth="1"/>
    <col min="13" max="13" width="10.109375" customWidth="1"/>
    <col min="14" max="14" width="10.77734375" customWidth="1"/>
    <col min="15" max="15" width="33.77734375" customWidth="1"/>
    <col min="16" max="16" width="12.2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26" s="30" customFormat="1"/>
    <row r="2" spans="1:26" s="31" customFormat="1">
      <c r="A2" s="30"/>
      <c r="B2" s="198" t="s">
        <v>147</v>
      </c>
      <c r="C2" s="195"/>
      <c r="D2" s="195"/>
      <c r="E2" s="195"/>
      <c r="F2" s="195"/>
      <c r="G2" s="195"/>
      <c r="H2" s="195"/>
      <c r="I2" s="199"/>
      <c r="J2" s="86"/>
      <c r="K2" s="188" t="s">
        <v>365</v>
      </c>
      <c r="L2" s="172"/>
      <c r="M2" s="57"/>
      <c r="N2" s="188" t="s">
        <v>377</v>
      </c>
      <c r="O2" s="172"/>
      <c r="P2" s="172"/>
      <c r="Q2" s="172"/>
      <c r="R2" s="172"/>
      <c r="S2" s="172"/>
      <c r="T2" s="172"/>
      <c r="U2" s="172"/>
      <c r="V2" s="172"/>
      <c r="W2" s="172"/>
      <c r="X2" s="172"/>
      <c r="Y2" s="172"/>
    </row>
    <row r="3" spans="1:26" s="31" customFormat="1">
      <c r="A3" s="30"/>
      <c r="B3" s="167" t="s">
        <v>150</v>
      </c>
      <c r="C3" s="168" t="s">
        <v>16</v>
      </c>
      <c r="D3" s="55"/>
      <c r="E3" s="167" t="s">
        <v>150</v>
      </c>
      <c r="F3" s="168" t="s">
        <v>16</v>
      </c>
      <c r="G3" s="55"/>
      <c r="H3" s="167" t="s">
        <v>150</v>
      </c>
      <c r="I3" s="168" t="s">
        <v>16</v>
      </c>
      <c r="J3" s="86"/>
      <c r="K3" s="156" t="s">
        <v>150</v>
      </c>
      <c r="L3" s="157" t="s">
        <v>365</v>
      </c>
      <c r="M3" s="57"/>
      <c r="N3" s="167" t="s">
        <v>0</v>
      </c>
      <c r="O3" s="168" t="s">
        <v>16</v>
      </c>
      <c r="R3" s="167" t="s">
        <v>0</v>
      </c>
      <c r="S3" s="168" t="s">
        <v>16</v>
      </c>
      <c r="T3" s="34"/>
      <c r="V3" s="167" t="s">
        <v>0</v>
      </c>
      <c r="W3" s="168" t="s">
        <v>16</v>
      </c>
    </row>
    <row r="4" spans="1:26">
      <c r="A4" s="30"/>
      <c r="B4" s="167" t="s">
        <v>0</v>
      </c>
      <c r="C4" s="168" t="s">
        <v>16</v>
      </c>
      <c r="D4" s="33"/>
      <c r="E4" s="167" t="s">
        <v>0</v>
      </c>
      <c r="F4" s="168" t="s">
        <v>16</v>
      </c>
      <c r="G4" s="33"/>
      <c r="H4" s="167" t="s">
        <v>0</v>
      </c>
      <c r="I4" s="168" t="s">
        <v>16</v>
      </c>
      <c r="K4" s="156" t="s">
        <v>0</v>
      </c>
      <c r="L4" s="157" t="s">
        <v>16</v>
      </c>
      <c r="N4" s="167" t="s">
        <v>1</v>
      </c>
      <c r="O4" s="168" t="s">
        <v>16</v>
      </c>
      <c r="Q4" s="8"/>
      <c r="R4" s="167" t="s">
        <v>1</v>
      </c>
      <c r="S4" s="168" t="s">
        <v>16</v>
      </c>
      <c r="T4"/>
      <c r="V4" s="167" t="s">
        <v>1</v>
      </c>
      <c r="W4" s="168" t="s">
        <v>16</v>
      </c>
      <c r="Z4" s="8"/>
    </row>
    <row r="5" spans="1:26">
      <c r="A5" s="30"/>
      <c r="B5" s="167" t="s">
        <v>1</v>
      </c>
      <c r="C5" s="168" t="s">
        <v>16</v>
      </c>
      <c r="D5" s="33"/>
      <c r="E5" s="167" t="s">
        <v>1</v>
      </c>
      <c r="F5" s="168" t="s">
        <v>16</v>
      </c>
      <c r="G5" s="33"/>
      <c r="H5" s="167" t="s">
        <v>1</v>
      </c>
      <c r="I5" s="168" t="s">
        <v>16</v>
      </c>
      <c r="K5" s="156" t="s">
        <v>1</v>
      </c>
      <c r="L5" s="157" t="s">
        <v>16</v>
      </c>
      <c r="N5" s="167" t="s">
        <v>52</v>
      </c>
      <c r="O5" s="168" t="s">
        <v>16</v>
      </c>
      <c r="Q5" s="8"/>
      <c r="R5" s="167" t="s">
        <v>52</v>
      </c>
      <c r="S5" s="168" t="s">
        <v>16</v>
      </c>
      <c r="T5"/>
      <c r="V5" s="167" t="s">
        <v>52</v>
      </c>
      <c r="W5" s="168" t="s">
        <v>16</v>
      </c>
      <c r="Z5" s="8"/>
    </row>
    <row r="6" spans="1:26">
      <c r="A6" s="30"/>
      <c r="B6" s="167" t="s">
        <v>3</v>
      </c>
      <c r="C6" s="168" t="s">
        <v>109</v>
      </c>
      <c r="D6" s="33"/>
      <c r="E6" s="167" t="s">
        <v>3</v>
      </c>
      <c r="F6" s="168" t="s">
        <v>143</v>
      </c>
      <c r="G6" s="33"/>
      <c r="H6" s="167" t="s">
        <v>3</v>
      </c>
      <c r="I6" s="168" t="s">
        <v>112</v>
      </c>
      <c r="K6" s="156" t="s">
        <v>3</v>
      </c>
      <c r="L6" s="157" t="s">
        <v>109</v>
      </c>
      <c r="N6" s="167" t="s">
        <v>3</v>
      </c>
      <c r="O6" s="168" t="s">
        <v>13</v>
      </c>
      <c r="Q6" s="8"/>
      <c r="R6" s="167" t="s">
        <v>3</v>
      </c>
      <c r="S6" s="168" t="s">
        <v>14</v>
      </c>
      <c r="T6"/>
      <c r="V6" s="167" t="s">
        <v>3</v>
      </c>
      <c r="W6" s="168" t="s">
        <v>8</v>
      </c>
      <c r="Z6" s="8"/>
    </row>
    <row r="7" spans="1:26">
      <c r="A7" s="30"/>
      <c r="Q7" s="8"/>
      <c r="T7"/>
      <c r="Z7" s="8"/>
    </row>
    <row r="8" spans="1:26" ht="28.8">
      <c r="A8" s="24" t="s">
        <v>330</v>
      </c>
      <c r="B8" s="167" t="s">
        <v>2</v>
      </c>
      <c r="C8" t="s">
        <v>439</v>
      </c>
      <c r="E8" s="167" t="s">
        <v>2</v>
      </c>
      <c r="F8" s="32" t="s">
        <v>388</v>
      </c>
      <c r="H8" s="167" t="s">
        <v>2</v>
      </c>
      <c r="I8" s="32" t="s">
        <v>440</v>
      </c>
      <c r="J8" s="32"/>
      <c r="K8" s="156" t="s">
        <v>2</v>
      </c>
      <c r="L8" t="s">
        <v>439</v>
      </c>
      <c r="N8" s="167" t="s">
        <v>2</v>
      </c>
      <c r="O8" s="32" t="s">
        <v>385</v>
      </c>
      <c r="P8" s="32" t="s">
        <v>415</v>
      </c>
      <c r="Q8" s="8"/>
      <c r="R8" s="167" t="s">
        <v>2</v>
      </c>
      <c r="S8" s="32" t="s">
        <v>386</v>
      </c>
      <c r="T8" s="32" t="s">
        <v>419</v>
      </c>
      <c r="V8" s="167" t="s">
        <v>2</v>
      </c>
      <c r="W8" s="168"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5"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8" style="86" customWidth="1"/>
    <col min="11" max="11" width="11.44140625" style="86" customWidth="1"/>
    <col min="12" max="12" width="25.5546875" style="86" customWidth="1"/>
    <col min="13" max="13" width="11" customWidth="1"/>
    <col min="14" max="14" width="10.77734375" customWidth="1"/>
    <col min="15" max="15" width="33.77734375" customWidth="1"/>
    <col min="16" max="16" width="13.8867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36" s="52" customFormat="1">
      <c r="A1" s="31"/>
      <c r="B1" s="198" t="s">
        <v>387</v>
      </c>
      <c r="C1" s="195"/>
      <c r="D1" s="195"/>
      <c r="E1" s="195"/>
      <c r="F1" s="195"/>
      <c r="G1" s="195"/>
      <c r="H1" s="195"/>
      <c r="I1" s="199"/>
      <c r="J1" s="86"/>
      <c r="K1" s="188" t="s">
        <v>365</v>
      </c>
      <c r="L1" s="189"/>
      <c r="M1" s="86"/>
      <c r="N1" s="200" t="s">
        <v>377</v>
      </c>
      <c r="O1" s="189"/>
      <c r="P1" s="189"/>
      <c r="Q1" s="189"/>
      <c r="R1" s="189"/>
      <c r="S1" s="189"/>
      <c r="T1" s="189"/>
      <c r="U1" s="189"/>
      <c r="V1" s="189"/>
      <c r="W1" s="189"/>
      <c r="X1" s="189"/>
      <c r="Y1" s="189"/>
    </row>
    <row r="2" spans="1:36">
      <c r="A2" s="31"/>
      <c r="B2" s="167" t="s">
        <v>150</v>
      </c>
      <c r="C2" s="168" t="s">
        <v>16</v>
      </c>
      <c r="D2" s="55"/>
      <c r="E2" s="167" t="s">
        <v>150</v>
      </c>
      <c r="F2" s="168" t="s">
        <v>16</v>
      </c>
      <c r="G2" s="55"/>
      <c r="H2" s="167" t="s">
        <v>150</v>
      </c>
      <c r="I2" s="168" t="s">
        <v>16</v>
      </c>
      <c r="K2" s="156" t="s">
        <v>150</v>
      </c>
      <c r="L2" s="157" t="s">
        <v>365</v>
      </c>
      <c r="M2" s="86"/>
      <c r="N2" s="167" t="s">
        <v>0</v>
      </c>
      <c r="O2" s="168" t="s">
        <v>16</v>
      </c>
      <c r="P2" s="31"/>
      <c r="Q2" s="31"/>
      <c r="R2" s="167" t="s">
        <v>0</v>
      </c>
      <c r="S2" s="168" t="s">
        <v>16</v>
      </c>
      <c r="T2" s="31"/>
      <c r="U2" s="31"/>
      <c r="V2" s="167" t="s">
        <v>0</v>
      </c>
      <c r="W2" s="168" t="s">
        <v>16</v>
      </c>
      <c r="X2" s="86"/>
      <c r="Y2" s="86"/>
      <c r="Z2" s="86"/>
      <c r="AA2" s="86"/>
      <c r="AB2" s="86"/>
      <c r="AC2" s="86"/>
      <c r="AD2" s="86"/>
      <c r="AE2" s="86"/>
      <c r="AF2" s="86"/>
      <c r="AG2" s="86"/>
      <c r="AH2" s="86"/>
      <c r="AI2" s="86"/>
      <c r="AJ2" s="86"/>
    </row>
    <row r="3" spans="1:36" s="31" customFormat="1">
      <c r="B3" s="167" t="s">
        <v>0</v>
      </c>
      <c r="C3" s="168" t="s">
        <v>16</v>
      </c>
      <c r="E3" s="167" t="s">
        <v>0</v>
      </c>
      <c r="F3" s="168" t="s">
        <v>16</v>
      </c>
      <c r="H3" s="167" t="s">
        <v>0</v>
      </c>
      <c r="I3" s="168" t="s">
        <v>16</v>
      </c>
      <c r="J3" s="86"/>
      <c r="K3" s="156" t="s">
        <v>0</v>
      </c>
      <c r="L3" s="157" t="s">
        <v>16</v>
      </c>
      <c r="M3" s="86"/>
      <c r="N3" s="167" t="s">
        <v>1</v>
      </c>
      <c r="O3" s="168" t="s">
        <v>16</v>
      </c>
      <c r="R3" s="167" t="s">
        <v>1</v>
      </c>
      <c r="S3" s="168" t="s">
        <v>16</v>
      </c>
      <c r="T3" s="34"/>
      <c r="V3" s="167" t="s">
        <v>1</v>
      </c>
      <c r="W3" s="168" t="s">
        <v>16</v>
      </c>
      <c r="X3" s="86"/>
      <c r="Y3" s="86"/>
      <c r="Z3" s="86"/>
      <c r="AA3" s="86"/>
      <c r="AB3" s="86"/>
      <c r="AC3" s="86"/>
      <c r="AD3" s="86"/>
      <c r="AE3" s="86"/>
      <c r="AF3" s="86"/>
      <c r="AG3" s="86"/>
      <c r="AH3" s="86"/>
      <c r="AI3" s="86"/>
      <c r="AJ3" s="86"/>
    </row>
    <row r="4" spans="1:36">
      <c r="A4" s="31"/>
      <c r="B4" s="167" t="s">
        <v>1</v>
      </c>
      <c r="C4" s="168" t="s">
        <v>16</v>
      </c>
      <c r="D4" s="33"/>
      <c r="E4" s="167" t="s">
        <v>1</v>
      </c>
      <c r="F4" s="168" t="s">
        <v>16</v>
      </c>
      <c r="G4" s="33"/>
      <c r="H4" s="167" t="s">
        <v>1</v>
      </c>
      <c r="I4" s="168" t="s">
        <v>16</v>
      </c>
      <c r="K4" s="156" t="s">
        <v>1</v>
      </c>
      <c r="L4" s="157" t="s">
        <v>16</v>
      </c>
      <c r="N4" s="167" t="s">
        <v>2</v>
      </c>
      <c r="O4" s="168" t="s">
        <v>16</v>
      </c>
      <c r="Q4" s="8"/>
      <c r="R4" s="167" t="s">
        <v>2</v>
      </c>
      <c r="S4" s="168" t="s">
        <v>16</v>
      </c>
      <c r="T4"/>
      <c r="V4" s="167" t="s">
        <v>2</v>
      </c>
      <c r="W4" s="168" t="s">
        <v>16</v>
      </c>
      <c r="X4" s="86"/>
      <c r="Z4" s="86"/>
      <c r="AA4" s="86"/>
      <c r="AB4" s="86"/>
      <c r="AC4" s="86"/>
      <c r="AD4" s="86"/>
      <c r="AE4" s="86"/>
      <c r="AF4" s="86"/>
      <c r="AG4" s="86"/>
      <c r="AH4" s="86"/>
      <c r="AI4" s="86"/>
      <c r="AJ4" s="86"/>
    </row>
    <row r="5" spans="1:36">
      <c r="A5" s="31"/>
      <c r="B5" s="167" t="s">
        <v>2</v>
      </c>
      <c r="C5" s="168" t="s">
        <v>16</v>
      </c>
      <c r="D5" s="33"/>
      <c r="E5" s="167" t="s">
        <v>2</v>
      </c>
      <c r="F5" s="168" t="s">
        <v>16</v>
      </c>
      <c r="G5" s="33"/>
      <c r="H5" s="167" t="s">
        <v>2</v>
      </c>
      <c r="I5" s="168" t="s">
        <v>16</v>
      </c>
      <c r="K5" s="156" t="s">
        <v>2</v>
      </c>
      <c r="L5" s="157" t="s">
        <v>16</v>
      </c>
      <c r="N5" s="167" t="s">
        <v>52</v>
      </c>
      <c r="O5" s="168" t="s">
        <v>16</v>
      </c>
      <c r="Q5" s="8"/>
      <c r="R5" s="167" t="s">
        <v>52</v>
      </c>
      <c r="S5" s="168" t="s">
        <v>16</v>
      </c>
      <c r="T5"/>
      <c r="V5" s="167" t="s">
        <v>52</v>
      </c>
      <c r="W5" s="168" t="s">
        <v>16</v>
      </c>
      <c r="Z5" s="8"/>
    </row>
    <row r="6" spans="1:36">
      <c r="A6" s="31"/>
      <c r="B6" s="167" t="s">
        <v>3</v>
      </c>
      <c r="C6" s="168" t="s">
        <v>109</v>
      </c>
      <c r="D6" s="33"/>
      <c r="E6" s="167" t="s">
        <v>3</v>
      </c>
      <c r="F6" s="168" t="s">
        <v>143</v>
      </c>
      <c r="G6" s="33"/>
      <c r="H6" s="167" t="s">
        <v>3</v>
      </c>
      <c r="I6" s="168" t="s">
        <v>112</v>
      </c>
      <c r="K6" s="156" t="s">
        <v>3</v>
      </c>
      <c r="L6" s="157" t="s">
        <v>109</v>
      </c>
      <c r="N6" s="167" t="s">
        <v>3</v>
      </c>
      <c r="O6" s="168" t="s">
        <v>13</v>
      </c>
      <c r="Q6" s="8"/>
      <c r="R6" s="167" t="s">
        <v>3</v>
      </c>
      <c r="S6" s="168" t="s">
        <v>14</v>
      </c>
      <c r="T6"/>
      <c r="V6" s="167" t="s">
        <v>3</v>
      </c>
      <c r="W6" s="168" t="s">
        <v>8</v>
      </c>
      <c r="Z6" s="8"/>
    </row>
    <row r="7" spans="1:36">
      <c r="A7" s="31"/>
      <c r="Q7" s="8"/>
      <c r="T7"/>
      <c r="Z7" s="8"/>
    </row>
    <row r="8" spans="1:36" ht="28.8">
      <c r="A8" s="24" t="s">
        <v>702</v>
      </c>
      <c r="B8" s="167" t="s">
        <v>2</v>
      </c>
      <c r="C8" t="s">
        <v>385</v>
      </c>
      <c r="E8" s="167" t="s">
        <v>2</v>
      </c>
      <c r="F8" s="32" t="s">
        <v>388</v>
      </c>
      <c r="H8" s="167" t="s">
        <v>2</v>
      </c>
      <c r="I8" s="32" t="s">
        <v>386</v>
      </c>
      <c r="J8" s="32"/>
      <c r="K8" s="156" t="s">
        <v>2</v>
      </c>
      <c r="L8" t="s">
        <v>385</v>
      </c>
      <c r="N8" s="167" t="s">
        <v>2</v>
      </c>
      <c r="O8" s="32" t="s">
        <v>385</v>
      </c>
      <c r="P8" s="32" t="s">
        <v>386</v>
      </c>
      <c r="Q8" s="8"/>
      <c r="R8" s="167" t="s">
        <v>2</v>
      </c>
      <c r="S8" s="32" t="s">
        <v>386</v>
      </c>
      <c r="T8" s="32" t="s">
        <v>419</v>
      </c>
      <c r="V8" s="167" t="s">
        <v>2</v>
      </c>
      <c r="W8" s="168"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5" customWidth="1"/>
    <col min="2" max="2" width="15.88671875" customWidth="1"/>
    <col min="3" max="3" width="11.44140625" customWidth="1"/>
    <col min="4" max="4" width="37.5546875" customWidth="1"/>
    <col min="6" max="6" width="11.44140625" customWidth="1"/>
    <col min="7" max="7" width="18.6640625" customWidth="1"/>
    <col min="8" max="8" width="9.88671875" customWidth="1"/>
    <col min="9" max="9" width="11.44140625" customWidth="1"/>
    <col min="10" max="10" width="20.109375" customWidth="1"/>
    <col min="12" max="12" width="11.44140625" customWidth="1"/>
    <col min="13" max="13" width="27.109375" customWidth="1"/>
    <col min="14" max="14" width="18.88671875" customWidth="1"/>
    <col min="15" max="15" width="24.44140625" customWidth="1"/>
    <col min="16" max="16" width="4.5546875" customWidth="1"/>
    <col min="17" max="17" width="8.33203125" customWidth="1"/>
    <col min="18" max="18" width="7.33203125" customWidth="1"/>
    <col min="20" max="20" width="11.44140625" customWidth="1"/>
    <col min="21" max="21" width="23.109375" customWidth="1"/>
    <col min="22" max="23" width="18.88671875" customWidth="1"/>
    <col min="24" max="24" width="24.44140625" customWidth="1"/>
    <col min="25" max="25" width="5.5546875" customWidth="1"/>
    <col min="26" max="26" width="8.33203125" customWidth="1"/>
    <col min="27" max="27" width="7.33203125" customWidth="1"/>
  </cols>
  <sheetData>
    <row r="1" spans="1:29" s="45" customFormat="1">
      <c r="A1" s="31"/>
    </row>
    <row r="2" spans="1:29" s="45" customFormat="1">
      <c r="A2" s="31"/>
    </row>
    <row r="3" spans="1:29" s="45" customFormat="1">
      <c r="A3" s="31"/>
    </row>
    <row r="4" spans="1:29">
      <c r="A4" s="31"/>
      <c r="B4" s="45"/>
      <c r="C4" s="194" t="s">
        <v>490</v>
      </c>
      <c r="D4" s="189"/>
      <c r="E4" s="189"/>
      <c r="F4" s="189"/>
      <c r="G4" s="189"/>
      <c r="H4" s="189"/>
      <c r="I4" s="189"/>
      <c r="J4" s="189"/>
      <c r="K4" s="189"/>
      <c r="L4" s="189"/>
      <c r="M4" s="189"/>
      <c r="N4" s="189"/>
      <c r="O4" s="189"/>
      <c r="P4" s="189"/>
      <c r="Q4" s="189"/>
      <c r="R4" s="189"/>
      <c r="S4" s="189"/>
      <c r="T4" s="189"/>
      <c r="U4" s="189"/>
      <c r="V4" s="189"/>
      <c r="W4" s="189"/>
      <c r="X4" s="189"/>
      <c r="Y4" s="189"/>
      <c r="Z4" s="189"/>
      <c r="AA4" s="189"/>
      <c r="AB4" s="37"/>
      <c r="AC4" s="37"/>
    </row>
    <row r="5" spans="1:29">
      <c r="A5" s="31"/>
      <c r="B5" s="45"/>
      <c r="C5" s="160" t="s">
        <v>0</v>
      </c>
      <c r="D5" s="161" t="s">
        <v>16</v>
      </c>
      <c r="E5" s="33"/>
      <c r="F5" s="160" t="s">
        <v>0</v>
      </c>
      <c r="G5" s="161" t="s">
        <v>16</v>
      </c>
      <c r="H5" s="33"/>
      <c r="I5" s="160" t="s">
        <v>0</v>
      </c>
      <c r="J5" s="161" t="s">
        <v>16</v>
      </c>
      <c r="L5" s="160" t="s">
        <v>0</v>
      </c>
      <c r="M5" s="161" t="s">
        <v>16</v>
      </c>
      <c r="N5" s="201" t="s">
        <v>552</v>
      </c>
      <c r="O5" s="172"/>
      <c r="T5" s="160" t="s">
        <v>0</v>
      </c>
      <c r="U5" s="161" t="s">
        <v>16</v>
      </c>
      <c r="V5" s="201" t="s">
        <v>553</v>
      </c>
      <c r="W5" s="172"/>
      <c r="X5" s="172"/>
      <c r="Y5" s="109"/>
      <c r="Z5" s="109"/>
    </row>
    <row r="6" spans="1:29">
      <c r="A6" s="31"/>
      <c r="B6" s="45"/>
      <c r="C6" s="160" t="s">
        <v>3</v>
      </c>
      <c r="D6" s="161" t="s">
        <v>411</v>
      </c>
      <c r="E6" s="33"/>
      <c r="F6" s="160" t="s">
        <v>3</v>
      </c>
      <c r="G6" s="161" t="s">
        <v>145</v>
      </c>
      <c r="H6" s="33"/>
      <c r="I6" s="160" t="s">
        <v>3</v>
      </c>
      <c r="J6" s="161" t="s">
        <v>412</v>
      </c>
      <c r="L6" s="160" t="s">
        <v>3</v>
      </c>
      <c r="M6" s="161" t="s">
        <v>310</v>
      </c>
      <c r="T6" s="160" t="s">
        <v>3</v>
      </c>
      <c r="U6" s="161" t="s">
        <v>310</v>
      </c>
      <c r="V6" s="109"/>
      <c r="W6" s="109"/>
      <c r="X6" s="109"/>
      <c r="Y6" s="109"/>
      <c r="Z6" s="109"/>
    </row>
    <row r="7" spans="1:29">
      <c r="A7" s="31"/>
      <c r="B7" s="45"/>
      <c r="L7" s="107"/>
      <c r="M7" s="107"/>
      <c r="T7" s="109"/>
      <c r="U7" s="109"/>
      <c r="V7" s="109"/>
      <c r="W7" s="109"/>
      <c r="X7" s="109"/>
      <c r="Y7" s="109"/>
      <c r="Z7" s="109"/>
    </row>
    <row r="8" spans="1:29">
      <c r="A8" s="24" t="s">
        <v>702</v>
      </c>
      <c r="B8" s="46" t="s">
        <v>304</v>
      </c>
      <c r="C8" s="160" t="s">
        <v>296</v>
      </c>
      <c r="D8" t="s">
        <v>338</v>
      </c>
      <c r="F8" s="160" t="s">
        <v>296</v>
      </c>
      <c r="G8" t="s">
        <v>345</v>
      </c>
      <c r="I8" s="160" t="s">
        <v>296</v>
      </c>
      <c r="J8" t="s">
        <v>303</v>
      </c>
      <c r="L8" s="160" t="s">
        <v>296</v>
      </c>
      <c r="M8" s="161" t="s">
        <v>549</v>
      </c>
      <c r="N8" s="161" t="s">
        <v>550</v>
      </c>
      <c r="O8" s="161" t="s">
        <v>551</v>
      </c>
      <c r="P8" s="161" t="s">
        <v>357</v>
      </c>
      <c r="Q8" s="161" t="s">
        <v>249</v>
      </c>
      <c r="R8" s="161" t="s">
        <v>537</v>
      </c>
      <c r="T8" s="160" t="s">
        <v>296</v>
      </c>
      <c r="U8" s="161" t="s">
        <v>554</v>
      </c>
      <c r="V8" s="161" t="s">
        <v>550</v>
      </c>
      <c r="W8" s="161" t="s">
        <v>555</v>
      </c>
      <c r="X8" s="161" t="s">
        <v>551</v>
      </c>
      <c r="Y8" s="161" t="s">
        <v>357</v>
      </c>
      <c r="Z8" s="161" t="s">
        <v>249</v>
      </c>
      <c r="AA8" s="161" t="s">
        <v>537</v>
      </c>
    </row>
    <row r="9" spans="1:29">
      <c r="A9" s="29" t="str">
        <f>INDEX('OS-Machine Info'!$B:$B,MATCH(C9,'OS-Machine Info'!$A:$A,0))</f>
        <v>TestDC</v>
      </c>
      <c r="B9" s="47" t="str">
        <f>INDEX('OS-Machine Info'!$X:X,MATCH(C9,'OS-Machine Info'!$A:$A,0))</f>
        <v>GC-CMS</v>
      </c>
      <c r="C9" s="4" t="s">
        <v>49</v>
      </c>
      <c r="D9" s="5">
        <v>396</v>
      </c>
      <c r="E9" s="5"/>
      <c r="F9" s="4" t="s">
        <v>49</v>
      </c>
      <c r="G9" s="161">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61">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5" customWidth="1"/>
    <col min="2" max="2" width="15.88671875" style="51" customWidth="1"/>
    <col min="3" max="3" width="11.44140625" style="51" customWidth="1"/>
    <col min="4" max="4" width="26.109375" style="51" customWidth="1"/>
    <col min="5" max="5" width="9.109375" style="51"/>
    <col min="6" max="6" width="11.44140625" style="51" customWidth="1"/>
    <col min="7" max="7" width="32.109375" style="51" customWidth="1"/>
    <col min="8" max="8" width="9.109375" style="51"/>
    <col min="9" max="9" width="11.44140625" style="51" customWidth="1"/>
    <col min="10" max="10" width="55.6640625" style="51" customWidth="1"/>
    <col min="11" max="11" width="9.109375" style="51"/>
    <col min="12" max="12" width="11.44140625" style="51" customWidth="1"/>
    <col min="13" max="13" width="35.88671875" style="51" customWidth="1"/>
    <col min="14" max="16384" width="9.109375" style="51"/>
  </cols>
  <sheetData>
    <row r="1" spans="1:13" s="45" customFormat="1">
      <c r="A1" s="31"/>
    </row>
    <row r="2" spans="1:13" s="45" customFormat="1">
      <c r="A2" s="31"/>
    </row>
    <row r="3" spans="1:13" s="45" customFormat="1">
      <c r="A3" s="31"/>
    </row>
    <row r="4" spans="1:13" s="45" customFormat="1">
      <c r="A4" s="31"/>
      <c r="C4" s="194" t="s">
        <v>301</v>
      </c>
      <c r="D4" s="189"/>
      <c r="E4" s="189"/>
      <c r="F4" s="189"/>
      <c r="G4" s="189"/>
      <c r="H4" s="189"/>
      <c r="I4" s="189"/>
      <c r="J4" s="189"/>
      <c r="K4" s="189"/>
      <c r="L4" s="189"/>
      <c r="M4" s="189"/>
    </row>
    <row r="5" spans="1:13">
      <c r="A5" s="31"/>
      <c r="B5" s="45"/>
      <c r="C5" s="160" t="s">
        <v>0</v>
      </c>
      <c r="D5" s="161" t="s">
        <v>16</v>
      </c>
      <c r="E5" s="33"/>
      <c r="F5" s="160" t="s">
        <v>0</v>
      </c>
      <c r="G5" s="161" t="s">
        <v>16</v>
      </c>
      <c r="H5" s="33"/>
      <c r="I5" s="160" t="s">
        <v>0</v>
      </c>
      <c r="J5" s="161" t="s">
        <v>16</v>
      </c>
      <c r="L5" s="160" t="s">
        <v>0</v>
      </c>
      <c r="M5" s="161" t="s">
        <v>16</v>
      </c>
    </row>
    <row r="6" spans="1:13">
      <c r="A6" s="31"/>
      <c r="B6" s="45"/>
      <c r="C6" s="160" t="s">
        <v>3</v>
      </c>
      <c r="D6" s="161" t="s">
        <v>351</v>
      </c>
      <c r="E6" s="33"/>
      <c r="F6" s="160" t="s">
        <v>3</v>
      </c>
      <c r="G6" s="161" t="s">
        <v>435</v>
      </c>
      <c r="H6" s="33"/>
      <c r="I6" s="160" t="s">
        <v>3</v>
      </c>
      <c r="J6" s="161" t="s">
        <v>464</v>
      </c>
      <c r="L6" s="160" t="s">
        <v>3</v>
      </c>
      <c r="M6" s="161" t="s">
        <v>438</v>
      </c>
    </row>
    <row r="7" spans="1:13">
      <c r="A7" s="31"/>
      <c r="B7" s="45"/>
      <c r="C7" s="57"/>
      <c r="D7" s="57"/>
      <c r="F7" s="82"/>
      <c r="G7" s="82"/>
      <c r="I7" s="85"/>
      <c r="J7" s="85"/>
      <c r="L7" s="90"/>
      <c r="M7" s="90"/>
    </row>
    <row r="8" spans="1:13">
      <c r="A8" s="24" t="s">
        <v>702</v>
      </c>
      <c r="B8" s="46" t="s">
        <v>304</v>
      </c>
      <c r="C8" s="160" t="s">
        <v>296</v>
      </c>
      <c r="D8" t="s">
        <v>481</v>
      </c>
      <c r="F8" s="160" t="s">
        <v>296</v>
      </c>
      <c r="G8" t="s">
        <v>482</v>
      </c>
      <c r="I8" s="160" t="s">
        <v>296</v>
      </c>
      <c r="J8" t="s">
        <v>484</v>
      </c>
      <c r="L8" s="160" t="s">
        <v>296</v>
      </c>
      <c r="M8" t="s">
        <v>483</v>
      </c>
    </row>
    <row r="9" spans="1:13">
      <c r="A9" s="29" t="str">
        <f>INDEX('OS-Machine Info'!$B:$B,MATCH(C9,'OS-Machine Info'!$A:$A,0))</f>
        <v>TestDC</v>
      </c>
      <c r="B9" s="47" t="str">
        <f>INDEX('OS-Machine Info'!$X:X,MATCH(C9,'OS-Machine Info'!$A:$A,0))</f>
        <v>GC-CMS</v>
      </c>
      <c r="C9" s="4" t="s">
        <v>49</v>
      </c>
      <c r="D9" s="161">
        <v>2</v>
      </c>
      <c r="E9" s="5"/>
      <c r="F9" s="4" t="s">
        <v>49</v>
      </c>
      <c r="G9" s="161">
        <v>1</v>
      </c>
      <c r="H9" s="5"/>
      <c r="I9" s="4" t="s">
        <v>49</v>
      </c>
      <c r="J9" s="161">
        <v>3</v>
      </c>
      <c r="L9" s="4" t="s">
        <v>49</v>
      </c>
      <c r="M9" s="161">
        <v>1</v>
      </c>
    </row>
    <row r="10" spans="1:13">
      <c r="C10" s="4" t="s">
        <v>18</v>
      </c>
      <c r="D10" s="161">
        <v>2</v>
      </c>
      <c r="E10" s="5"/>
      <c r="F10" s="4" t="s">
        <v>18</v>
      </c>
      <c r="G10" s="161">
        <v>1</v>
      </c>
      <c r="H10" s="5"/>
      <c r="I10" s="4" t="s">
        <v>18</v>
      </c>
      <c r="J10" s="161">
        <v>3</v>
      </c>
      <c r="L10" s="4" t="s">
        <v>18</v>
      </c>
      <c r="M10" s="161">
        <v>1</v>
      </c>
    </row>
    <row r="11" spans="1:13">
      <c r="F11"/>
      <c r="G11"/>
    </row>
  </sheetData>
  <mergeCells count="1">
    <mergeCell ref="C4:M4"/>
  </mergeCells>
  <pageMargins left="0.7" right="0.7" top="0.75" bottom="0.75" header="0.3" footer="0.3"/>
  <pageSetup orientation="portrait"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ColWidth="9.109375" defaultRowHeight="14.4"/>
  <cols>
    <col min="1" max="1" width="10.6640625" style="147" customWidth="1"/>
    <col min="2" max="2" width="32.88671875" style="147" customWidth="1"/>
    <col min="3" max="3" width="10.77734375" style="147" customWidth="1"/>
    <col min="4" max="4" width="26.77734375" style="147" customWidth="1"/>
    <col min="5" max="5" width="9.109375" style="147"/>
    <col min="6" max="6" width="10.77734375" style="147" customWidth="1"/>
    <col min="7" max="7" width="35.6640625" style="147" customWidth="1"/>
    <col min="8" max="8" width="9.109375" style="147"/>
    <col min="9" max="9" width="10.77734375" style="147" customWidth="1"/>
    <col min="10" max="10" width="35.33203125" style="147" customWidth="1"/>
    <col min="11" max="11" width="9.109375" style="147"/>
    <col min="12" max="12" width="10.77734375" style="147" customWidth="1"/>
    <col min="13" max="13" width="27.6640625" style="147" customWidth="1"/>
    <col min="14" max="14" width="9.109375" style="147"/>
    <col min="15" max="15" width="10.77734375" style="147" customWidth="1"/>
    <col min="16" max="16" width="31.33203125" style="147" customWidth="1"/>
    <col min="17" max="17" width="23.109375" style="147" customWidth="1"/>
    <col min="18" max="18" width="9.109375" style="147"/>
    <col min="19" max="19" width="12.5546875" style="147" customWidth="1"/>
    <col min="20" max="20" width="27.88671875" style="147" customWidth="1"/>
    <col min="21" max="21" width="9.109375" style="147"/>
    <col min="22" max="22" width="12.5546875" style="147" customWidth="1"/>
    <col min="23" max="23" width="27.44140625" style="147" customWidth="1"/>
    <col min="24" max="24" width="9.109375" style="147"/>
    <col min="25" max="25" width="12.5546875" style="147" customWidth="1"/>
    <col min="26" max="26" width="31.77734375" style="147" customWidth="1"/>
    <col min="27" max="27" width="9.109375" style="147"/>
    <col min="28" max="28" width="12.5546875" style="147" customWidth="1"/>
    <col min="29" max="29" width="31.21875" style="147" customWidth="1"/>
    <col min="30" max="16384" width="9.109375" style="147"/>
  </cols>
  <sheetData>
    <row r="1" spans="1:29" s="31" customFormat="1"/>
    <row r="2" spans="1:29" s="31" customFormat="1">
      <c r="C2" s="194" t="s">
        <v>301</v>
      </c>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row>
    <row r="3" spans="1:29">
      <c r="A3" s="30"/>
      <c r="B3" s="30"/>
      <c r="C3" s="167" t="s">
        <v>0</v>
      </c>
      <c r="D3" s="168" t="s">
        <v>16</v>
      </c>
      <c r="F3" s="167" t="s">
        <v>0</v>
      </c>
      <c r="G3" s="168" t="s">
        <v>16</v>
      </c>
      <c r="I3" s="167" t="s">
        <v>0</v>
      </c>
      <c r="J3" s="168" t="s">
        <v>16</v>
      </c>
      <c r="L3" s="167" t="s">
        <v>0</v>
      </c>
      <c r="M3" s="168" t="s">
        <v>16</v>
      </c>
      <c r="O3" s="167" t="s">
        <v>0</v>
      </c>
      <c r="P3" s="168" t="s">
        <v>16</v>
      </c>
      <c r="Q3" s="33"/>
      <c r="R3" s="33"/>
      <c r="S3" s="167" t="s">
        <v>0</v>
      </c>
      <c r="T3" s="168" t="s">
        <v>16</v>
      </c>
      <c r="U3" s="33"/>
      <c r="V3" s="167" t="s">
        <v>0</v>
      </c>
      <c r="W3" s="168" t="s">
        <v>16</v>
      </c>
      <c r="Y3" s="167" t="s">
        <v>0</v>
      </c>
      <c r="Z3" s="168" t="s">
        <v>16</v>
      </c>
      <c r="AB3" s="167" t="s">
        <v>0</v>
      </c>
      <c r="AC3" s="168" t="s">
        <v>16</v>
      </c>
    </row>
    <row r="4" spans="1:29">
      <c r="A4" s="30"/>
      <c r="B4" s="30"/>
      <c r="C4" s="167" t="s">
        <v>1</v>
      </c>
      <c r="D4" s="168" t="s">
        <v>16</v>
      </c>
      <c r="F4" s="167" t="s">
        <v>1</v>
      </c>
      <c r="G4" s="168" t="s">
        <v>16</v>
      </c>
      <c r="I4" s="167" t="s">
        <v>1</v>
      </c>
      <c r="J4" s="168" t="s">
        <v>16</v>
      </c>
      <c r="L4" s="167" t="s">
        <v>1</v>
      </c>
      <c r="M4" s="168" t="s">
        <v>16</v>
      </c>
      <c r="O4" s="167" t="s">
        <v>1</v>
      </c>
      <c r="P4" s="168" t="s">
        <v>16</v>
      </c>
      <c r="Q4" s="33"/>
      <c r="R4" s="33"/>
      <c r="S4" s="167" t="s">
        <v>1</v>
      </c>
      <c r="T4" s="168" t="s">
        <v>16</v>
      </c>
      <c r="U4" s="33"/>
      <c r="V4" s="167" t="s">
        <v>1</v>
      </c>
      <c r="W4" s="168" t="s">
        <v>16</v>
      </c>
      <c r="Y4" s="167" t="s">
        <v>1</v>
      </c>
      <c r="Z4" s="168" t="s">
        <v>16</v>
      </c>
      <c r="AB4" s="167" t="s">
        <v>1</v>
      </c>
      <c r="AC4" s="168" t="s">
        <v>16</v>
      </c>
    </row>
    <row r="5" spans="1:29">
      <c r="A5" s="30"/>
      <c r="B5" s="30"/>
      <c r="C5" s="167" t="s">
        <v>3</v>
      </c>
      <c r="D5" s="168" t="s">
        <v>657</v>
      </c>
      <c r="F5" s="167" t="s">
        <v>3</v>
      </c>
      <c r="G5" s="168" t="s">
        <v>658</v>
      </c>
      <c r="I5" s="167" t="s">
        <v>3</v>
      </c>
      <c r="J5" s="168" t="s">
        <v>660</v>
      </c>
      <c r="L5" s="167" t="s">
        <v>3</v>
      </c>
      <c r="M5" s="168" t="s">
        <v>659</v>
      </c>
      <c r="O5" s="167" t="s">
        <v>3</v>
      </c>
      <c r="P5" s="168" t="s">
        <v>654</v>
      </c>
      <c r="S5" s="167" t="s">
        <v>3</v>
      </c>
      <c r="T5" s="168" t="s">
        <v>655</v>
      </c>
      <c r="V5" s="167" t="s">
        <v>3</v>
      </c>
      <c r="W5" s="168" t="s">
        <v>665</v>
      </c>
      <c r="Y5" s="167" t="s">
        <v>3</v>
      </c>
      <c r="Z5" s="168" t="s">
        <v>662</v>
      </c>
      <c r="AB5" s="167" t="s">
        <v>3</v>
      </c>
      <c r="AC5" s="168" t="s">
        <v>664</v>
      </c>
    </row>
    <row r="6" spans="1:29">
      <c r="A6" s="30"/>
      <c r="B6" s="30"/>
    </row>
    <row r="7" spans="1:29">
      <c r="A7" s="24" t="s">
        <v>330</v>
      </c>
      <c r="B7" s="24" t="s">
        <v>94</v>
      </c>
      <c r="C7" s="167" t="s">
        <v>2</v>
      </c>
      <c r="D7" t="s">
        <v>295</v>
      </c>
      <c r="F7" s="167" t="s">
        <v>2</v>
      </c>
      <c r="G7" s="104" t="s">
        <v>667</v>
      </c>
      <c r="I7" s="167" t="s">
        <v>2</v>
      </c>
      <c r="J7" s="104" t="s">
        <v>668</v>
      </c>
      <c r="L7" s="167" t="s">
        <v>2</v>
      </c>
      <c r="M7" t="s">
        <v>307</v>
      </c>
      <c r="O7" s="167" t="s">
        <v>2</v>
      </c>
      <c r="P7" s="168" t="s">
        <v>341</v>
      </c>
      <c r="Q7" s="168" t="s">
        <v>415</v>
      </c>
      <c r="S7" s="167" t="s">
        <v>17</v>
      </c>
      <c r="T7" t="s">
        <v>303</v>
      </c>
      <c r="V7" s="167" t="s">
        <v>17</v>
      </c>
      <c r="W7" t="s">
        <v>669</v>
      </c>
      <c r="Y7" s="167" t="s">
        <v>17</v>
      </c>
      <c r="Z7" t="s">
        <v>670</v>
      </c>
      <c r="AB7" s="167"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ColWidth="9.109375" defaultRowHeight="14.4"/>
  <cols>
    <col min="1" max="1" width="14.109375" style="155" customWidth="1"/>
    <col min="2" max="2" width="10.6640625" style="155" customWidth="1"/>
    <col min="3" max="3" width="10.77734375" style="147" customWidth="1"/>
    <col min="4" max="4" width="26.77734375" style="147" customWidth="1"/>
    <col min="5" max="5" width="9.109375" style="147"/>
    <col min="6" max="6" width="10.77734375" style="147" customWidth="1"/>
    <col min="7" max="7" width="35.6640625" style="147" customWidth="1"/>
    <col min="8" max="8" width="9.109375" style="147"/>
    <col min="9" max="9" width="10.77734375" style="147" customWidth="1"/>
    <col min="10" max="10" width="35.33203125" style="147" customWidth="1"/>
    <col min="11" max="11" width="9.109375" style="147"/>
    <col min="12" max="12" width="10.77734375" style="147" customWidth="1"/>
    <col min="13" max="13" width="27.6640625" style="147" customWidth="1"/>
    <col min="14" max="14" width="7" style="148" customWidth="1"/>
    <col min="15" max="15" width="9.109375" style="147"/>
    <col min="16" max="16" width="10.77734375" style="147" customWidth="1"/>
    <col min="17" max="17" width="31.33203125" style="147" customWidth="1"/>
    <col min="18" max="18" width="23.109375" style="147" customWidth="1"/>
    <col min="19" max="19" width="9.109375" style="147"/>
    <col min="20" max="20" width="12.5546875" style="147" customWidth="1"/>
    <col min="21" max="21" width="27.88671875" style="147" customWidth="1"/>
    <col min="22" max="22" width="9.109375" style="147"/>
    <col min="23" max="23" width="12.5546875" style="147" customWidth="1"/>
    <col min="24" max="24" width="27.44140625" style="147" customWidth="1"/>
    <col min="25" max="25" width="9.109375" style="147"/>
    <col min="26" max="26" width="12.5546875" style="147" customWidth="1"/>
    <col min="27" max="27" width="31.77734375" style="147" customWidth="1"/>
    <col min="28" max="28" width="9.109375" style="147"/>
    <col min="29" max="29" width="12.5546875" style="147" customWidth="1"/>
    <col min="30" max="30" width="28.21875" style="147" customWidth="1"/>
    <col min="31" max="31" width="23.77734375" style="147" customWidth="1"/>
    <col min="32" max="16384" width="9.109375" style="147"/>
  </cols>
  <sheetData>
    <row r="1" spans="1:31" s="31" customFormat="1"/>
    <row r="2" spans="1:31" s="31" customFormat="1">
      <c r="C2" s="194" t="s">
        <v>301</v>
      </c>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row>
    <row r="3" spans="1:31" s="31" customFormat="1">
      <c r="C3" s="167" t="s">
        <v>0</v>
      </c>
      <c r="D3" s="168" t="s">
        <v>16</v>
      </c>
      <c r="E3" s="146"/>
      <c r="F3" s="167" t="s">
        <v>0</v>
      </c>
      <c r="G3" s="168" t="s">
        <v>16</v>
      </c>
      <c r="H3" s="146"/>
      <c r="I3" s="167" t="s">
        <v>0</v>
      </c>
      <c r="J3" s="168" t="s">
        <v>16</v>
      </c>
      <c r="K3" s="146"/>
      <c r="L3" s="167" t="s">
        <v>0</v>
      </c>
      <c r="M3" s="168" t="s">
        <v>16</v>
      </c>
      <c r="N3" s="148"/>
      <c r="O3" s="146"/>
      <c r="P3" s="167" t="s">
        <v>0</v>
      </c>
      <c r="Q3" s="168" t="s">
        <v>16</v>
      </c>
      <c r="R3" s="146"/>
      <c r="S3" s="146"/>
      <c r="T3" s="167" t="s">
        <v>0</v>
      </c>
      <c r="U3" s="168" t="s">
        <v>16</v>
      </c>
      <c r="V3" s="146"/>
      <c r="W3" s="167" t="s">
        <v>0</v>
      </c>
      <c r="X3" s="168" t="s">
        <v>16</v>
      </c>
      <c r="Y3" s="146"/>
      <c r="Z3" s="167" t="s">
        <v>0</v>
      </c>
      <c r="AA3" s="168" t="s">
        <v>16</v>
      </c>
      <c r="AB3" s="146"/>
      <c r="AC3" s="167" t="s">
        <v>0</v>
      </c>
      <c r="AD3" s="168" t="s">
        <v>16</v>
      </c>
    </row>
    <row r="4" spans="1:31">
      <c r="A4" s="31"/>
      <c r="B4" s="30"/>
      <c r="C4" s="167" t="s">
        <v>1</v>
      </c>
      <c r="D4" s="168" t="s">
        <v>16</v>
      </c>
      <c r="F4" s="167" t="s">
        <v>1</v>
      </c>
      <c r="G4" s="168" t="s">
        <v>16</v>
      </c>
      <c r="I4" s="167" t="s">
        <v>1</v>
      </c>
      <c r="J4" s="168" t="s">
        <v>16</v>
      </c>
      <c r="L4" s="167" t="s">
        <v>1</v>
      </c>
      <c r="M4" s="168" t="s">
        <v>16</v>
      </c>
      <c r="P4" s="167" t="s">
        <v>1</v>
      </c>
      <c r="Q4" s="168" t="s">
        <v>16</v>
      </c>
      <c r="R4" s="33"/>
      <c r="S4" s="33"/>
      <c r="T4" s="167" t="s">
        <v>1</v>
      </c>
      <c r="U4" s="168" t="s">
        <v>16</v>
      </c>
      <c r="V4" s="33"/>
      <c r="W4" s="167" t="s">
        <v>1</v>
      </c>
      <c r="X4" s="168" t="s">
        <v>16</v>
      </c>
      <c r="Z4" s="167" t="s">
        <v>1</v>
      </c>
      <c r="AA4" s="168" t="s">
        <v>16</v>
      </c>
      <c r="AC4" s="167" t="s">
        <v>1</v>
      </c>
      <c r="AD4" s="168" t="s">
        <v>16</v>
      </c>
    </row>
    <row r="5" spans="1:31">
      <c r="A5" s="31"/>
      <c r="B5" s="30"/>
      <c r="C5" s="167" t="s">
        <v>2</v>
      </c>
      <c r="D5" s="168" t="s">
        <v>16</v>
      </c>
      <c r="F5" s="167" t="s">
        <v>2</v>
      </c>
      <c r="G5" s="168" t="s">
        <v>16</v>
      </c>
      <c r="I5" s="167" t="s">
        <v>2</v>
      </c>
      <c r="J5" s="168" t="s">
        <v>16</v>
      </c>
      <c r="L5" s="167" t="s">
        <v>2</v>
      </c>
      <c r="M5" s="168" t="s">
        <v>16</v>
      </c>
      <c r="P5" s="167" t="s">
        <v>2</v>
      </c>
      <c r="Q5" s="168" t="s">
        <v>16</v>
      </c>
      <c r="R5" s="33"/>
      <c r="S5" s="33"/>
      <c r="T5" s="167" t="s">
        <v>2</v>
      </c>
      <c r="U5" s="168" t="s">
        <v>16</v>
      </c>
      <c r="V5" s="33"/>
      <c r="W5" s="167" t="s">
        <v>2</v>
      </c>
      <c r="X5" s="168" t="s">
        <v>16</v>
      </c>
      <c r="Z5" s="167" t="s">
        <v>2</v>
      </c>
      <c r="AA5" s="168" t="s">
        <v>16</v>
      </c>
      <c r="AC5" s="167" t="s">
        <v>2</v>
      </c>
      <c r="AD5" s="168" t="s">
        <v>16</v>
      </c>
    </row>
    <row r="6" spans="1:31">
      <c r="A6" s="31"/>
      <c r="B6" s="30"/>
      <c r="C6" s="167" t="s">
        <v>3</v>
      </c>
      <c r="D6" s="168" t="s">
        <v>657</v>
      </c>
      <c r="F6" s="167" t="s">
        <v>3</v>
      </c>
      <c r="G6" s="168" t="s">
        <v>658</v>
      </c>
      <c r="I6" s="167" t="s">
        <v>3</v>
      </c>
      <c r="J6" s="168" t="s">
        <v>153</v>
      </c>
      <c r="L6" s="167" t="s">
        <v>3</v>
      </c>
      <c r="M6" s="168" t="s">
        <v>659</v>
      </c>
      <c r="P6" s="167" t="s">
        <v>3</v>
      </c>
      <c r="Q6" s="168" t="s">
        <v>654</v>
      </c>
      <c r="T6" s="167" t="s">
        <v>3</v>
      </c>
      <c r="U6" s="168" t="s">
        <v>655</v>
      </c>
      <c r="W6" s="167" t="s">
        <v>3</v>
      </c>
      <c r="X6" s="168" t="s">
        <v>665</v>
      </c>
      <c r="Z6" s="167" t="s">
        <v>3</v>
      </c>
      <c r="AA6" s="168" t="s">
        <v>662</v>
      </c>
      <c r="AC6" s="167" t="s">
        <v>3</v>
      </c>
      <c r="AD6" s="168" t="s">
        <v>663</v>
      </c>
    </row>
    <row r="7" spans="1:31">
      <c r="A7" s="31"/>
      <c r="B7" s="30"/>
    </row>
    <row r="8" spans="1:31">
      <c r="A8" s="24" t="s">
        <v>702</v>
      </c>
      <c r="B8" s="24" t="s">
        <v>122</v>
      </c>
      <c r="C8" s="167" t="s">
        <v>2</v>
      </c>
      <c r="D8" t="s">
        <v>295</v>
      </c>
      <c r="F8" s="167" t="s">
        <v>2</v>
      </c>
      <c r="G8" t="s">
        <v>667</v>
      </c>
      <c r="I8" s="167" t="s">
        <v>2</v>
      </c>
      <c r="J8" t="s">
        <v>668</v>
      </c>
      <c r="L8" s="167" t="s">
        <v>2</v>
      </c>
      <c r="M8" s="168" t="s">
        <v>307</v>
      </c>
      <c r="N8" s="168" t="s">
        <v>537</v>
      </c>
      <c r="P8" s="167" t="s">
        <v>2</v>
      </c>
      <c r="Q8" s="168" t="s">
        <v>341</v>
      </c>
      <c r="R8" s="168" t="s">
        <v>415</v>
      </c>
      <c r="T8" s="167" t="s">
        <v>17</v>
      </c>
      <c r="U8" t="s">
        <v>303</v>
      </c>
      <c r="W8" s="167" t="s">
        <v>17</v>
      </c>
      <c r="X8" t="s">
        <v>669</v>
      </c>
      <c r="Z8" s="167" t="s">
        <v>17</v>
      </c>
      <c r="AA8" t="s">
        <v>670</v>
      </c>
      <c r="AC8" s="167" t="s">
        <v>17</v>
      </c>
      <c r="AD8" s="168" t="s">
        <v>672</v>
      </c>
      <c r="AE8" s="168"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4.4"/>
  <cols>
    <col min="1" max="1" width="10.6640625" customWidth="1"/>
    <col min="2" max="2" width="32.8867187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109375" customWidth="1"/>
    <col min="19" max="19" width="12.5546875" customWidth="1"/>
    <col min="20" max="20" width="25.77734375" customWidth="1"/>
  </cols>
  <sheetData>
    <row r="1" spans="1:21" s="31" customFormat="1"/>
    <row r="2" spans="1:21" s="31" customFormat="1">
      <c r="C2" s="194" t="s">
        <v>301</v>
      </c>
      <c r="D2" s="189"/>
      <c r="E2" s="189"/>
      <c r="F2" s="189"/>
      <c r="G2" s="189"/>
      <c r="H2" s="189"/>
      <c r="I2" s="189"/>
      <c r="J2" s="189"/>
      <c r="K2" s="189"/>
      <c r="L2" s="189"/>
      <c r="M2" s="189"/>
      <c r="N2" s="189"/>
      <c r="O2" s="189"/>
      <c r="P2" s="189"/>
      <c r="Q2" s="189"/>
      <c r="R2" s="189"/>
      <c r="S2" s="189"/>
      <c r="T2" s="189"/>
      <c r="U2" s="189"/>
    </row>
    <row r="3" spans="1:21">
      <c r="A3" s="30"/>
      <c r="B3" s="30"/>
      <c r="C3" s="167" t="s">
        <v>0</v>
      </c>
      <c r="D3" s="168" t="s">
        <v>16</v>
      </c>
      <c r="F3" s="167" t="s">
        <v>0</v>
      </c>
      <c r="G3" s="168" t="s">
        <v>16</v>
      </c>
      <c r="I3" s="167" t="s">
        <v>0</v>
      </c>
      <c r="J3" s="168" t="s">
        <v>16</v>
      </c>
      <c r="L3" s="167" t="s">
        <v>0</v>
      </c>
      <c r="M3" s="168" t="s">
        <v>16</v>
      </c>
      <c r="O3" s="167" t="s">
        <v>0</v>
      </c>
      <c r="P3" s="168" t="s">
        <v>16</v>
      </c>
      <c r="Q3" s="33"/>
      <c r="R3" s="33"/>
      <c r="S3" s="167" t="s">
        <v>0</v>
      </c>
      <c r="T3" s="168" t="s">
        <v>16</v>
      </c>
      <c r="U3" s="33"/>
    </row>
    <row r="4" spans="1:21">
      <c r="A4" s="30"/>
      <c r="B4" s="30"/>
      <c r="C4" s="167" t="s">
        <v>1</v>
      </c>
      <c r="D4" s="168" t="s">
        <v>16</v>
      </c>
      <c r="F4" s="167" t="s">
        <v>1</v>
      </c>
      <c r="G4" s="168" t="s">
        <v>16</v>
      </c>
      <c r="I4" s="167" t="s">
        <v>1</v>
      </c>
      <c r="J4" s="168" t="s">
        <v>16</v>
      </c>
      <c r="L4" s="167" t="s">
        <v>1</v>
      </c>
      <c r="M4" s="168" t="s">
        <v>16</v>
      </c>
      <c r="O4" s="167" t="s">
        <v>1</v>
      </c>
      <c r="P4" s="168" t="s">
        <v>16</v>
      </c>
      <c r="Q4" s="33"/>
      <c r="R4" s="33"/>
      <c r="S4" s="167" t="s">
        <v>1</v>
      </c>
      <c r="T4" s="168" t="s">
        <v>16</v>
      </c>
      <c r="U4" s="33"/>
    </row>
    <row r="5" spans="1:21">
      <c r="A5" s="30"/>
      <c r="B5" s="30"/>
      <c r="C5" s="167" t="s">
        <v>3</v>
      </c>
      <c r="D5" s="168" t="s">
        <v>142</v>
      </c>
      <c r="F5" s="167" t="s">
        <v>3</v>
      </c>
      <c r="G5" s="168" t="s">
        <v>151</v>
      </c>
      <c r="I5" s="167" t="s">
        <v>3</v>
      </c>
      <c r="J5" s="168" t="s">
        <v>153</v>
      </c>
      <c r="L5" s="167" t="s">
        <v>3</v>
      </c>
      <c r="M5" s="168" t="s">
        <v>154</v>
      </c>
      <c r="O5" s="167" t="s">
        <v>3</v>
      </c>
      <c r="P5" s="168" t="s">
        <v>413</v>
      </c>
      <c r="S5" s="167" t="s">
        <v>3</v>
      </c>
      <c r="T5" s="168" t="s">
        <v>414</v>
      </c>
    </row>
    <row r="6" spans="1:21">
      <c r="A6" s="30"/>
      <c r="B6" s="30"/>
    </row>
    <row r="7" spans="1:21">
      <c r="A7" s="24" t="s">
        <v>330</v>
      </c>
      <c r="B7" s="24" t="s">
        <v>94</v>
      </c>
      <c r="C7" s="167" t="s">
        <v>2</v>
      </c>
      <c r="D7" t="s">
        <v>295</v>
      </c>
      <c r="F7" s="167" t="s">
        <v>2</v>
      </c>
      <c r="G7" t="s">
        <v>305</v>
      </c>
      <c r="I7" s="167" t="s">
        <v>2</v>
      </c>
      <c r="J7" t="s">
        <v>306</v>
      </c>
      <c r="L7" s="167" t="s">
        <v>2</v>
      </c>
      <c r="M7" t="s">
        <v>307</v>
      </c>
      <c r="O7" s="167" t="s">
        <v>2</v>
      </c>
      <c r="P7" s="168" t="s">
        <v>341</v>
      </c>
      <c r="Q7" s="168" t="s">
        <v>415</v>
      </c>
      <c r="S7" s="167"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4.4"/>
  <cols>
    <col min="1" max="1" width="14.109375" style="155"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2.5546875" customWidth="1"/>
    <col min="20" max="20" width="25.77734375" customWidth="1"/>
  </cols>
  <sheetData>
    <row r="1" spans="1:21" s="31" customFormat="1"/>
    <row r="2" spans="1:21">
      <c r="A2" s="31"/>
      <c r="B2" s="31"/>
      <c r="C2" s="194" t="s">
        <v>301</v>
      </c>
      <c r="D2" s="189"/>
      <c r="E2" s="189"/>
      <c r="F2" s="189"/>
      <c r="G2" s="189"/>
      <c r="H2" s="189"/>
      <c r="I2" s="189"/>
      <c r="J2" s="189"/>
      <c r="K2" s="189"/>
      <c r="L2" s="189"/>
      <c r="M2" s="189"/>
      <c r="N2" s="189"/>
      <c r="O2" s="189"/>
      <c r="P2" s="189"/>
      <c r="Q2" s="189"/>
      <c r="R2" s="189"/>
      <c r="S2" s="189"/>
      <c r="T2" s="189"/>
      <c r="U2" s="189"/>
    </row>
    <row r="3" spans="1:21" s="31" customFormat="1">
      <c r="C3" s="167" t="s">
        <v>0</v>
      </c>
      <c r="D3" s="168" t="s">
        <v>16</v>
      </c>
      <c r="F3" s="167" t="s">
        <v>0</v>
      </c>
      <c r="G3" s="168" t="s">
        <v>16</v>
      </c>
      <c r="I3" s="167" t="s">
        <v>0</v>
      </c>
      <c r="J3" s="168" t="s">
        <v>16</v>
      </c>
      <c r="L3" s="167" t="s">
        <v>0</v>
      </c>
      <c r="M3" s="168" t="s">
        <v>16</v>
      </c>
      <c r="O3" s="167" t="s">
        <v>0</v>
      </c>
      <c r="P3" s="168" t="s">
        <v>16</v>
      </c>
      <c r="S3" s="167" t="s">
        <v>0</v>
      </c>
      <c r="T3" s="168" t="s">
        <v>16</v>
      </c>
    </row>
    <row r="4" spans="1:21">
      <c r="A4" s="31"/>
      <c r="B4" s="30"/>
      <c r="C4" s="167" t="s">
        <v>1</v>
      </c>
      <c r="D4" s="168" t="s">
        <v>16</v>
      </c>
      <c r="F4" s="167" t="s">
        <v>1</v>
      </c>
      <c r="G4" s="168" t="s">
        <v>16</v>
      </c>
      <c r="I4" s="167" t="s">
        <v>1</v>
      </c>
      <c r="J4" s="168" t="s">
        <v>16</v>
      </c>
      <c r="L4" s="167" t="s">
        <v>1</v>
      </c>
      <c r="M4" s="168" t="s">
        <v>16</v>
      </c>
      <c r="O4" s="167" t="s">
        <v>1</v>
      </c>
      <c r="P4" s="168" t="s">
        <v>16</v>
      </c>
      <c r="Q4" s="33"/>
      <c r="R4" s="33"/>
      <c r="S4" s="167" t="s">
        <v>1</v>
      </c>
      <c r="T4" s="168" t="s">
        <v>16</v>
      </c>
      <c r="U4" s="33"/>
    </row>
    <row r="5" spans="1:21">
      <c r="A5" s="31"/>
      <c r="B5" s="30"/>
      <c r="C5" s="167" t="s">
        <v>2</v>
      </c>
      <c r="D5" s="168" t="s">
        <v>16</v>
      </c>
      <c r="F5" s="167" t="s">
        <v>2</v>
      </c>
      <c r="G5" s="168" t="s">
        <v>16</v>
      </c>
      <c r="I5" s="167" t="s">
        <v>2</v>
      </c>
      <c r="J5" s="168" t="s">
        <v>16</v>
      </c>
      <c r="L5" s="167" t="s">
        <v>2</v>
      </c>
      <c r="M5" s="168" t="s">
        <v>16</v>
      </c>
      <c r="O5" s="167" t="s">
        <v>2</v>
      </c>
      <c r="P5" s="168" t="s">
        <v>16</v>
      </c>
      <c r="Q5" s="33"/>
      <c r="R5" s="33"/>
      <c r="S5" s="167" t="s">
        <v>2</v>
      </c>
      <c r="T5" s="168" t="s">
        <v>16</v>
      </c>
      <c r="U5" s="33"/>
    </row>
    <row r="6" spans="1:21">
      <c r="A6" s="31"/>
      <c r="B6" s="30"/>
      <c r="C6" s="167" t="s">
        <v>3</v>
      </c>
      <c r="D6" s="168" t="s">
        <v>142</v>
      </c>
      <c r="F6" s="167" t="s">
        <v>3</v>
      </c>
      <c r="G6" s="168" t="s">
        <v>151</v>
      </c>
      <c r="I6" s="167" t="s">
        <v>3</v>
      </c>
      <c r="J6" s="168" t="s">
        <v>153</v>
      </c>
      <c r="L6" s="167" t="s">
        <v>3</v>
      </c>
      <c r="M6" s="168" t="s">
        <v>154</v>
      </c>
      <c r="O6" s="167" t="s">
        <v>3</v>
      </c>
      <c r="P6" s="168" t="s">
        <v>413</v>
      </c>
      <c r="S6" s="167" t="s">
        <v>3</v>
      </c>
      <c r="T6" s="168" t="s">
        <v>414</v>
      </c>
    </row>
    <row r="7" spans="1:21">
      <c r="A7" s="31"/>
      <c r="B7" s="30"/>
    </row>
    <row r="8" spans="1:21">
      <c r="A8" s="24" t="s">
        <v>702</v>
      </c>
      <c r="B8" s="24" t="s">
        <v>122</v>
      </c>
      <c r="C8" s="167" t="s">
        <v>2</v>
      </c>
      <c r="D8" t="s">
        <v>295</v>
      </c>
      <c r="F8" s="167" t="s">
        <v>2</v>
      </c>
      <c r="G8" t="s">
        <v>305</v>
      </c>
      <c r="I8" s="167" t="s">
        <v>2</v>
      </c>
      <c r="J8" t="s">
        <v>306</v>
      </c>
      <c r="L8" s="167" t="s">
        <v>2</v>
      </c>
      <c r="M8" t="s">
        <v>307</v>
      </c>
      <c r="O8" s="167" t="s">
        <v>2</v>
      </c>
      <c r="P8" s="168" t="s">
        <v>341</v>
      </c>
      <c r="Q8" s="168" t="s">
        <v>421</v>
      </c>
      <c r="S8" s="167"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ColWidth="9.109375" defaultRowHeight="14.4"/>
  <cols>
    <col min="1" max="1" width="10.6640625" style="137" customWidth="1"/>
    <col min="2" max="2" width="32.88671875" style="137" customWidth="1"/>
    <col min="3" max="3" width="10.77734375" style="137" customWidth="1"/>
    <col min="4" max="4" width="27" style="137" customWidth="1"/>
    <col min="5" max="5" width="9.109375" style="137"/>
    <col min="6" max="6" width="10.77734375" style="137" customWidth="1"/>
    <col min="7" max="7" width="31.5546875" style="137" customWidth="1"/>
    <col min="8" max="8" width="9.109375" style="137"/>
    <col min="9" max="9" width="10.77734375" style="137" customWidth="1"/>
    <col min="10" max="10" width="32.88671875" style="137" customWidth="1"/>
    <col min="11" max="11" width="7" style="137" customWidth="1"/>
    <col min="12" max="12" width="9.109375" style="137"/>
    <col min="13" max="13" width="10.77734375" style="137" customWidth="1"/>
    <col min="14" max="14" width="31.109375" style="137" customWidth="1"/>
    <col min="15" max="15" width="9.109375" style="137"/>
    <col min="16" max="16" width="10.77734375" style="137" customWidth="1"/>
    <col min="17" max="17" width="28.5546875" style="137" customWidth="1"/>
    <col min="18" max="18" width="7.88671875" style="137" customWidth="1"/>
    <col min="19" max="19" width="13.109375" style="137" customWidth="1"/>
    <col min="20" max="20" width="11.44140625" style="137" customWidth="1"/>
    <col min="21" max="21" width="27.5546875" style="137" customWidth="1"/>
    <col min="22" max="16384" width="9.109375" style="137"/>
  </cols>
  <sheetData>
    <row r="1" spans="1:22" s="31" customFormat="1"/>
    <row r="2" spans="1:22" s="31" customFormat="1">
      <c r="C2" s="194" t="s">
        <v>301</v>
      </c>
      <c r="D2" s="189"/>
      <c r="E2" s="189"/>
      <c r="F2" s="189"/>
      <c r="G2" s="189"/>
      <c r="H2" s="189"/>
      <c r="I2" s="189"/>
      <c r="J2" s="189"/>
      <c r="K2" s="189"/>
      <c r="L2" s="189"/>
      <c r="M2" s="189"/>
      <c r="N2" s="189"/>
      <c r="O2" s="189"/>
      <c r="P2" s="189"/>
      <c r="Q2" s="189"/>
      <c r="R2" s="189"/>
      <c r="S2" s="189"/>
      <c r="T2" s="189"/>
      <c r="U2" s="189"/>
      <c r="V2" s="189"/>
    </row>
    <row r="3" spans="1:22">
      <c r="A3" s="30"/>
      <c r="B3" s="30"/>
      <c r="C3" s="167" t="s">
        <v>0</v>
      </c>
      <c r="D3" s="168" t="s">
        <v>16</v>
      </c>
      <c r="F3" s="167" t="s">
        <v>0</v>
      </c>
      <c r="G3" s="168" t="s">
        <v>16</v>
      </c>
      <c r="I3" s="167" t="s">
        <v>0</v>
      </c>
      <c r="J3" s="168" t="s">
        <v>16</v>
      </c>
      <c r="M3" s="167" t="s">
        <v>0</v>
      </c>
      <c r="N3" s="168" t="s">
        <v>16</v>
      </c>
      <c r="P3" s="167" t="s">
        <v>0</v>
      </c>
      <c r="Q3" s="168" t="s">
        <v>16</v>
      </c>
      <c r="R3" s="33"/>
      <c r="S3" s="33"/>
      <c r="V3" s="33"/>
    </row>
    <row r="4" spans="1:22">
      <c r="A4" s="30"/>
      <c r="B4" s="30"/>
      <c r="C4" s="167" t="s">
        <v>1</v>
      </c>
      <c r="D4" s="168" t="s">
        <v>16</v>
      </c>
      <c r="F4" s="167" t="s">
        <v>1</v>
      </c>
      <c r="G4" s="168" t="s">
        <v>16</v>
      </c>
      <c r="I4" s="167" t="s">
        <v>1</v>
      </c>
      <c r="J4" s="168" t="s">
        <v>16</v>
      </c>
      <c r="M4" s="167" t="s">
        <v>1</v>
      </c>
      <c r="N4" s="168" t="s">
        <v>16</v>
      </c>
      <c r="P4" s="167" t="s">
        <v>1</v>
      </c>
      <c r="Q4" s="168" t="s">
        <v>16</v>
      </c>
      <c r="R4" s="33"/>
      <c r="S4" s="33"/>
      <c r="V4" s="33"/>
    </row>
    <row r="5" spans="1:22">
      <c r="A5" s="30"/>
      <c r="B5" s="30"/>
      <c r="C5" s="167" t="s">
        <v>3</v>
      </c>
      <c r="D5" s="168" t="s">
        <v>632</v>
      </c>
      <c r="F5" s="167" t="s">
        <v>3</v>
      </c>
      <c r="G5" s="168" t="s">
        <v>629</v>
      </c>
      <c r="I5" s="167" t="s">
        <v>3</v>
      </c>
      <c r="J5" s="168" t="s">
        <v>630</v>
      </c>
      <c r="M5" s="167" t="s">
        <v>3</v>
      </c>
      <c r="N5" s="168" t="s">
        <v>631</v>
      </c>
      <c r="P5" s="167" t="s">
        <v>3</v>
      </c>
      <c r="Q5" s="168" t="s">
        <v>633</v>
      </c>
    </row>
    <row r="6" spans="1:22">
      <c r="A6" s="30"/>
      <c r="B6" s="30"/>
    </row>
    <row r="7" spans="1:22">
      <c r="A7" s="24" t="s">
        <v>330</v>
      </c>
      <c r="B7" s="24" t="s">
        <v>94</v>
      </c>
      <c r="C7" s="167" t="s">
        <v>2</v>
      </c>
      <c r="D7" t="s">
        <v>295</v>
      </c>
      <c r="F7" s="167" t="s">
        <v>2</v>
      </c>
      <c r="G7" t="s">
        <v>634</v>
      </c>
      <c r="I7" s="167" t="s">
        <v>2</v>
      </c>
      <c r="J7" s="168" t="s">
        <v>635</v>
      </c>
      <c r="K7" s="168" t="s">
        <v>537</v>
      </c>
      <c r="M7" s="167" t="s">
        <v>2</v>
      </c>
      <c r="N7" t="s">
        <v>636</v>
      </c>
      <c r="P7" s="167" t="s">
        <v>2</v>
      </c>
      <c r="Q7" s="168" t="s">
        <v>639</v>
      </c>
      <c r="R7" s="168" t="s">
        <v>637</v>
      </c>
      <c r="S7" s="168" t="s">
        <v>638</v>
      </c>
      <c r="T7" s="168"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5"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194" t="s">
        <v>301</v>
      </c>
      <c r="D2" s="189"/>
      <c r="E2" s="189"/>
      <c r="F2" s="189"/>
      <c r="G2" s="189"/>
      <c r="H2" s="189"/>
      <c r="I2" s="189"/>
      <c r="J2" s="189"/>
      <c r="K2" s="189"/>
      <c r="L2" s="189"/>
      <c r="M2" s="189"/>
      <c r="N2" s="189"/>
      <c r="O2" s="189"/>
      <c r="P2" s="189"/>
      <c r="Q2" s="189"/>
      <c r="R2" s="189"/>
      <c r="S2" s="189"/>
      <c r="T2" s="189"/>
      <c r="U2" s="189"/>
      <c r="V2" s="189"/>
    </row>
    <row r="3" spans="1:22" s="31" customFormat="1">
      <c r="C3" s="167" t="s">
        <v>0</v>
      </c>
      <c r="D3" s="168" t="s">
        <v>16</v>
      </c>
      <c r="F3" s="167" t="s">
        <v>0</v>
      </c>
      <c r="G3" s="168" t="s">
        <v>16</v>
      </c>
      <c r="H3" s="137"/>
      <c r="J3" s="167" t="s">
        <v>0</v>
      </c>
      <c r="K3" s="168" t="s">
        <v>16</v>
      </c>
      <c r="M3" s="167" t="s">
        <v>0</v>
      </c>
      <c r="N3" s="168" t="s">
        <v>16</v>
      </c>
      <c r="P3" s="167" t="s">
        <v>0</v>
      </c>
      <c r="Q3" s="168" t="s">
        <v>16</v>
      </c>
      <c r="T3" s="137"/>
      <c r="U3" s="137"/>
    </row>
    <row r="4" spans="1:22">
      <c r="A4" s="31"/>
      <c r="B4" s="30"/>
      <c r="C4" s="167" t="s">
        <v>1</v>
      </c>
      <c r="D4" s="168" t="s">
        <v>16</v>
      </c>
      <c r="F4" s="167" t="s">
        <v>1</v>
      </c>
      <c r="G4" s="168" t="s">
        <v>16</v>
      </c>
      <c r="J4" s="167" t="s">
        <v>1</v>
      </c>
      <c r="K4" s="168" t="s">
        <v>16</v>
      </c>
      <c r="M4" s="167" t="s">
        <v>1</v>
      </c>
      <c r="N4" s="168" t="s">
        <v>16</v>
      </c>
      <c r="P4" s="167" t="s">
        <v>1</v>
      </c>
      <c r="Q4" s="168" t="s">
        <v>16</v>
      </c>
      <c r="R4" s="33"/>
      <c r="S4" s="33"/>
      <c r="V4" s="33"/>
    </row>
    <row r="5" spans="1:22">
      <c r="A5" s="31"/>
      <c r="B5" s="30"/>
      <c r="C5" s="167" t="s">
        <v>2</v>
      </c>
      <c r="D5" s="168" t="s">
        <v>16</v>
      </c>
      <c r="F5" s="167" t="s">
        <v>2</v>
      </c>
      <c r="G5" s="168" t="s">
        <v>16</v>
      </c>
      <c r="J5" s="167" t="s">
        <v>2</v>
      </c>
      <c r="K5" s="168" t="s">
        <v>16</v>
      </c>
      <c r="M5" s="167" t="s">
        <v>2</v>
      </c>
      <c r="N5" s="168" t="s">
        <v>16</v>
      </c>
      <c r="P5" s="167" t="s">
        <v>2</v>
      </c>
      <c r="Q5" s="168" t="s">
        <v>16</v>
      </c>
      <c r="R5" s="33"/>
      <c r="S5" s="33"/>
      <c r="V5" s="33"/>
    </row>
    <row r="6" spans="1:22">
      <c r="A6" s="31"/>
      <c r="B6" s="30"/>
      <c r="C6" s="167" t="s">
        <v>3</v>
      </c>
      <c r="D6" s="168" t="s">
        <v>632</v>
      </c>
      <c r="F6" s="167" t="s">
        <v>3</v>
      </c>
      <c r="G6" s="168" t="s">
        <v>629</v>
      </c>
      <c r="J6" s="167" t="s">
        <v>3</v>
      </c>
      <c r="K6" s="168" t="s">
        <v>631</v>
      </c>
      <c r="M6" s="167" t="s">
        <v>3</v>
      </c>
      <c r="N6" s="168" t="s">
        <v>630</v>
      </c>
      <c r="P6" s="167" t="s">
        <v>3</v>
      </c>
      <c r="Q6" s="168" t="s">
        <v>633</v>
      </c>
    </row>
    <row r="7" spans="1:22">
      <c r="A7" s="31"/>
      <c r="B7" s="30"/>
    </row>
    <row r="8" spans="1:22">
      <c r="A8" s="24" t="s">
        <v>702</v>
      </c>
      <c r="B8" s="24" t="s">
        <v>122</v>
      </c>
      <c r="C8" s="167" t="s">
        <v>2</v>
      </c>
      <c r="D8" t="s">
        <v>295</v>
      </c>
      <c r="F8" s="167" t="s">
        <v>2</v>
      </c>
      <c r="G8" s="168" t="s">
        <v>641</v>
      </c>
      <c r="H8" s="168" t="s">
        <v>537</v>
      </c>
      <c r="J8" s="167" t="s">
        <v>2</v>
      </c>
      <c r="K8" t="s">
        <v>636</v>
      </c>
      <c r="M8" s="167" t="s">
        <v>2</v>
      </c>
      <c r="N8" t="s">
        <v>303</v>
      </c>
      <c r="P8" s="167" t="s">
        <v>2</v>
      </c>
      <c r="Q8" s="168" t="s">
        <v>642</v>
      </c>
      <c r="R8" s="168"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5" customWidth="1"/>
    <col min="2" max="2" width="11.44140625" style="150" customWidth="1"/>
    <col min="3" max="3" width="35.33203125" style="150" customWidth="1"/>
    <col min="4" max="4" width="18.6640625" style="150" customWidth="1"/>
    <col min="5" max="5" width="32.88671875" style="150" customWidth="1"/>
    <col min="6" max="6" width="4.5546875" style="150" customWidth="1"/>
    <col min="7" max="7" width="8.33203125" style="150" customWidth="1"/>
    <col min="8" max="8" width="7.33203125" style="150" customWidth="1"/>
    <col min="9" max="9" width="9.109375" style="150"/>
    <col min="10" max="10" width="11.44140625" style="150" bestFit="1" customWidth="1"/>
    <col min="11" max="11" width="39.88671875" style="150" customWidth="1"/>
    <col min="12" max="12" width="4.5546875" style="150" customWidth="1"/>
    <col min="13" max="13" width="8.33203125" style="150" customWidth="1"/>
    <col min="14" max="15" width="7.33203125" style="150" customWidth="1"/>
    <col min="16" max="16" width="11.44140625" style="150" bestFit="1" customWidth="1"/>
    <col min="17" max="17" width="39.5546875" style="150" customWidth="1"/>
    <col min="18" max="18" width="4.5546875" style="150" customWidth="1"/>
    <col min="19" max="19" width="8.33203125" style="150" customWidth="1"/>
    <col min="20" max="20" width="7.33203125" style="150" customWidth="1"/>
    <col min="21" max="21" width="9.109375" style="150"/>
    <col min="22" max="22" width="11.44140625" style="150" bestFit="1" customWidth="1"/>
    <col min="23" max="23" width="35.88671875" style="150" customWidth="1"/>
    <col min="24" max="24" width="4.5546875" style="150" customWidth="1"/>
    <col min="25" max="25" width="8.33203125" style="150" customWidth="1"/>
    <col min="26" max="26" width="7.33203125" style="150" customWidth="1"/>
    <col min="27" max="27" width="9.109375" style="150"/>
    <col min="28" max="28" width="11.44140625" style="150" customWidth="1"/>
    <col min="29" max="29" width="61.33203125" style="150" customWidth="1"/>
    <col min="30" max="30" width="16.33203125" style="150" customWidth="1"/>
    <col min="31" max="31" width="7.33203125" style="150" customWidth="1"/>
    <col min="32" max="32" width="11.44140625" style="150" customWidth="1"/>
    <col min="33" max="33" width="57.33203125" style="150" bestFit="1" customWidth="1"/>
    <col min="34" max="34" width="16.33203125" style="150" bestFit="1" customWidth="1"/>
    <col min="35" max="35" width="11.44140625" style="150" customWidth="1"/>
    <col min="36" max="36" width="42.88671875" style="150" customWidth="1"/>
    <col min="37" max="37" width="17.5546875" style="150" bestFit="1" customWidth="1"/>
    <col min="38" max="38" width="9.109375" style="150"/>
    <col min="39" max="39" width="11.44140625" style="150" customWidth="1"/>
    <col min="40" max="40" width="38.88671875" style="150" customWidth="1"/>
    <col min="41" max="16384" width="9.109375" style="150"/>
  </cols>
  <sheetData>
    <row r="1" spans="1:40" s="45" customFormat="1">
      <c r="A1" s="31"/>
    </row>
    <row r="2" spans="1:40" s="45" customFormat="1">
      <c r="A2" s="31"/>
    </row>
    <row r="3" spans="1:40" s="45" customFormat="1">
      <c r="A3" s="31"/>
    </row>
    <row r="4" spans="1:40">
      <c r="A4" s="31"/>
      <c r="B4" s="189"/>
      <c r="C4" s="189"/>
      <c r="D4" s="189"/>
      <c r="E4" s="189"/>
      <c r="F4" s="189"/>
      <c r="G4" s="189"/>
      <c r="H4" s="189"/>
      <c r="I4" s="149"/>
      <c r="J4" s="149"/>
    </row>
    <row r="5" spans="1:40">
      <c r="A5" s="31"/>
      <c r="B5" s="160" t="s">
        <v>0</v>
      </c>
      <c r="C5" s="161" t="s">
        <v>16</v>
      </c>
      <c r="D5" s="201"/>
      <c r="E5" s="172"/>
      <c r="J5" s="160" t="s">
        <v>0</v>
      </c>
      <c r="K5" s="161" t="s">
        <v>16</v>
      </c>
      <c r="L5" s="201"/>
      <c r="M5" s="172"/>
      <c r="P5" s="160" t="s">
        <v>0</v>
      </c>
      <c r="Q5" s="161" t="s">
        <v>16</v>
      </c>
      <c r="R5" s="201"/>
      <c r="S5" s="172"/>
      <c r="V5" s="160" t="s">
        <v>0</v>
      </c>
      <c r="W5" s="161" t="s">
        <v>16</v>
      </c>
      <c r="X5" s="201"/>
      <c r="Y5" s="172"/>
      <c r="AB5" s="160" t="s">
        <v>0</v>
      </c>
      <c r="AC5" s="161" t="s">
        <v>16</v>
      </c>
      <c r="AD5" s="201"/>
      <c r="AE5" s="172"/>
      <c r="AF5" s="160" t="s">
        <v>0</v>
      </c>
      <c r="AG5" s="161" t="s">
        <v>16</v>
      </c>
      <c r="AH5" s="162"/>
      <c r="AI5" s="164" t="s">
        <v>0</v>
      </c>
      <c r="AJ5" s="165" t="s">
        <v>16</v>
      </c>
      <c r="AK5" s="201"/>
      <c r="AL5" s="172"/>
      <c r="AM5" s="160" t="s">
        <v>0</v>
      </c>
      <c r="AN5" s="161" t="s">
        <v>16</v>
      </c>
    </row>
    <row r="6" spans="1:40">
      <c r="A6" s="31"/>
      <c r="B6" s="160" t="s">
        <v>3</v>
      </c>
      <c r="C6" s="161" t="s">
        <v>690</v>
      </c>
      <c r="J6" s="160" t="s">
        <v>3</v>
      </c>
      <c r="K6" s="161" t="s">
        <v>686</v>
      </c>
      <c r="P6" s="160" t="s">
        <v>3</v>
      </c>
      <c r="Q6" s="161" t="s">
        <v>687</v>
      </c>
      <c r="V6" s="160" t="s">
        <v>3</v>
      </c>
      <c r="W6" s="161" t="s">
        <v>688</v>
      </c>
      <c r="AB6" s="160" t="s">
        <v>3</v>
      </c>
      <c r="AC6" s="161" t="s">
        <v>703</v>
      </c>
      <c r="AD6" s="159"/>
      <c r="AE6" s="159"/>
      <c r="AF6" s="160" t="s">
        <v>3</v>
      </c>
      <c r="AG6" s="161" t="s">
        <v>705</v>
      </c>
      <c r="AH6" s="159"/>
      <c r="AI6" s="164" t="s">
        <v>3</v>
      </c>
      <c r="AJ6" s="165" t="s">
        <v>714</v>
      </c>
      <c r="AK6" s="161"/>
      <c r="AL6" s="161"/>
      <c r="AM6" s="160" t="s">
        <v>3</v>
      </c>
      <c r="AN6" s="161" t="s">
        <v>716</v>
      </c>
    </row>
    <row r="7" spans="1:40">
      <c r="A7" s="31"/>
      <c r="AB7" s="159"/>
      <c r="AC7" s="159"/>
      <c r="AD7" s="159"/>
      <c r="AE7" s="159"/>
      <c r="AF7" s="159"/>
      <c r="AG7" s="159"/>
      <c r="AH7" s="159"/>
      <c r="AI7" s="161"/>
      <c r="AJ7" s="161"/>
      <c r="AK7" s="161"/>
      <c r="AL7" s="161"/>
      <c r="AM7" s="161"/>
      <c r="AN7" s="161"/>
    </row>
    <row r="8" spans="1:40">
      <c r="A8" s="24" t="s">
        <v>702</v>
      </c>
      <c r="B8" s="160" t="s">
        <v>296</v>
      </c>
      <c r="C8" s="161" t="s">
        <v>691</v>
      </c>
      <c r="D8" s="161" t="s">
        <v>692</v>
      </c>
      <c r="E8" s="161" t="s">
        <v>695</v>
      </c>
      <c r="F8" s="161" t="s">
        <v>357</v>
      </c>
      <c r="G8" s="161" t="s">
        <v>249</v>
      </c>
      <c r="H8" s="161" t="s">
        <v>537</v>
      </c>
      <c r="J8" s="160" t="s">
        <v>296</v>
      </c>
      <c r="K8" s="161" t="s">
        <v>694</v>
      </c>
      <c r="L8" s="161" t="s">
        <v>357</v>
      </c>
      <c r="M8" s="161" t="s">
        <v>249</v>
      </c>
      <c r="N8" s="161" t="s">
        <v>537</v>
      </c>
      <c r="O8"/>
      <c r="P8" s="160" t="s">
        <v>296</v>
      </c>
      <c r="Q8" s="161" t="s">
        <v>696</v>
      </c>
      <c r="R8" s="161" t="s">
        <v>357</v>
      </c>
      <c r="S8" s="161" t="s">
        <v>249</v>
      </c>
      <c r="T8" s="161" t="s">
        <v>537</v>
      </c>
      <c r="V8" s="160" t="s">
        <v>296</v>
      </c>
      <c r="W8" s="161" t="s">
        <v>697</v>
      </c>
      <c r="X8" s="161" t="s">
        <v>357</v>
      </c>
      <c r="Y8" s="161" t="s">
        <v>249</v>
      </c>
      <c r="Z8" s="161" t="s">
        <v>537</v>
      </c>
      <c r="AB8" s="160" t="s">
        <v>296</v>
      </c>
      <c r="AC8" s="161" t="s">
        <v>710</v>
      </c>
      <c r="AD8" s="161" t="s">
        <v>341</v>
      </c>
      <c r="AE8"/>
      <c r="AF8" s="160" t="s">
        <v>296</v>
      </c>
      <c r="AG8" t="s">
        <v>711</v>
      </c>
      <c r="AH8"/>
      <c r="AI8" s="164" t="s">
        <v>296</v>
      </c>
      <c r="AJ8" s="165" t="s">
        <v>718</v>
      </c>
      <c r="AK8" s="165" t="s">
        <v>719</v>
      </c>
      <c r="AL8" s="161"/>
      <c r="AM8" s="160" t="s">
        <v>296</v>
      </c>
      <c r="AN8" t="s">
        <v>720</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61"/>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61"/>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4.4"/>
  <cols>
    <col min="1" max="1" width="14.109375" style="155" customWidth="1"/>
    <col min="2" max="2" width="13.6640625" customWidth="1"/>
    <col min="3" max="3" width="11.44140625" customWidth="1"/>
    <col min="4" max="4" width="20.109375" customWidth="1"/>
    <col min="5" max="5" width="5" customWidth="1"/>
    <col min="6" max="6" width="11.44140625" customWidth="1"/>
    <col min="7" max="7" width="22.88671875" customWidth="1"/>
    <col min="8" max="8" width="5.33203125" customWidth="1"/>
    <col min="9" max="9" width="11.44140625" customWidth="1"/>
    <col min="10" max="10" width="14.5546875" customWidth="1"/>
    <col min="11" max="11" width="4.109375" customWidth="1"/>
    <col min="12" max="12" width="11.44140625" customWidth="1"/>
    <col min="13" max="13" width="23.33203125" customWidth="1"/>
    <col min="14" max="14" width="6.5546875" customWidth="1"/>
    <col min="15" max="15" width="11.44140625" customWidth="1"/>
    <col min="16" max="16" width="22.109375" customWidth="1"/>
    <col min="17" max="17" width="6.109375" customWidth="1"/>
    <col min="18" max="18" width="11.44140625" customWidth="1"/>
    <col min="19" max="19" width="21.5546875" customWidth="1"/>
    <col min="20" max="20" width="8.33203125" customWidth="1"/>
    <col min="21" max="21" width="11.44140625" customWidth="1"/>
    <col min="22" max="22" width="22.6640625" customWidth="1"/>
    <col min="23" max="23" width="6.44140625" customWidth="1"/>
    <col min="24" max="24" width="11.44140625" bestFit="1" customWidth="1"/>
    <col min="25" max="25" width="27.44140625" customWidth="1"/>
    <col min="26" max="26" width="7.33203125" customWidth="1"/>
    <col min="27" max="27" width="11.44140625" customWidth="1"/>
    <col min="28" max="28" width="24.88671875" customWidth="1"/>
    <col min="29" max="29" width="5.88671875" customWidth="1"/>
    <col min="30" max="30" width="11.44140625" customWidth="1"/>
    <col min="31" max="31" width="31.109375" bestFit="1" customWidth="1"/>
    <col min="32" max="32" width="16.109375" bestFit="1" customWidth="1"/>
    <col min="33" max="33" width="10.33203125" bestFit="1" customWidth="1"/>
    <col min="34" max="34" width="19.44140625" bestFit="1" customWidth="1"/>
    <col min="35" max="35" width="22.109375" bestFit="1" customWidth="1"/>
    <col min="36" max="36" width="8.33203125" customWidth="1"/>
    <col min="37" max="37" width="18.109375" bestFit="1" customWidth="1"/>
    <col min="38" max="38" width="7.33203125" customWidth="1"/>
    <col min="39" max="39" width="14.6640625" bestFit="1" customWidth="1"/>
    <col min="40" max="40" width="31.33203125" bestFit="1" customWidth="1"/>
    <col min="41" max="41" width="31" bestFit="1" customWidth="1"/>
    <col min="42" max="42" width="27.33203125" bestFit="1" customWidth="1"/>
    <col min="43" max="43" width="26.6640625" bestFit="1" customWidth="1"/>
    <col min="44" max="44" width="33" bestFit="1" customWidth="1"/>
    <col min="45" max="45" width="19.88671875" bestFit="1" customWidth="1"/>
    <col min="46" max="46" width="19.5546875" bestFit="1" customWidth="1"/>
    <col min="47" max="47" width="15.88671875" bestFit="1" customWidth="1"/>
    <col min="48" max="48" width="15.33203125" bestFit="1" customWidth="1"/>
    <col min="49" max="49" width="21.6640625" bestFit="1" customWidth="1"/>
    <col min="50" max="50" width="31.6640625" bestFit="1" customWidth="1"/>
    <col min="51" max="51" width="31.44140625" bestFit="1" customWidth="1"/>
    <col min="52" max="52" width="27.6640625" bestFit="1" customWidth="1"/>
    <col min="53" max="53" width="27.109375" bestFit="1" customWidth="1"/>
    <col min="54" max="54" width="33.44140625" bestFit="1" customWidth="1"/>
    <col min="55" max="55" width="25.88671875" bestFit="1" customWidth="1"/>
    <col min="56" max="56" width="25.5546875" bestFit="1" customWidth="1"/>
    <col min="57" max="57" width="21.88671875" bestFit="1" customWidth="1"/>
    <col min="58" max="58" width="21.109375" bestFit="1" customWidth="1"/>
    <col min="59" max="59" width="27.5546875" bestFit="1" customWidth="1"/>
    <col min="60" max="60" width="23.88671875" bestFit="1" customWidth="1"/>
    <col min="61" max="61" width="23.5546875" bestFit="1" customWidth="1"/>
    <col min="62" max="62" width="19.88671875" bestFit="1" customWidth="1"/>
    <col min="63" max="63" width="19.33203125" bestFit="1" customWidth="1"/>
    <col min="64" max="64" width="25.6640625" bestFit="1" customWidth="1"/>
    <col min="65" max="65" width="21.5546875" bestFit="1" customWidth="1"/>
    <col min="66" max="66" width="21.109375" bestFit="1" customWidth="1"/>
    <col min="67" max="67" width="17.5546875" bestFit="1" customWidth="1"/>
    <col min="68" max="68" width="16.88671875" bestFit="1" customWidth="1"/>
    <col min="69" max="69" width="23.33203125" bestFit="1" customWidth="1"/>
    <col min="70" max="70" width="24.33203125" bestFit="1" customWidth="1"/>
    <col min="71" max="71" width="24" bestFit="1" customWidth="1"/>
    <col min="72" max="72" width="20.33203125" bestFit="1" customWidth="1"/>
    <col min="73" max="73" width="19.6640625" bestFit="1" customWidth="1"/>
    <col min="74" max="74" width="26.109375" bestFit="1" customWidth="1"/>
    <col min="75" max="75" width="30.88671875" bestFit="1" customWidth="1"/>
    <col min="76" max="76" width="30.5546875" bestFit="1" customWidth="1"/>
    <col min="77" max="77" width="26.88671875" bestFit="1" customWidth="1"/>
    <col min="78" max="78" width="26.33203125" bestFit="1" customWidth="1"/>
    <col min="79" max="80" width="32.5546875" bestFit="1" customWidth="1"/>
    <col min="81" max="81" width="32.33203125" bestFit="1" customWidth="1"/>
    <col min="82" max="82" width="28.5546875" bestFit="1" customWidth="1"/>
    <col min="83" max="83" width="28" bestFit="1" customWidth="1"/>
    <col min="84" max="84" width="34.44140625" bestFit="1" customWidth="1"/>
    <col min="85" max="85" width="35" bestFit="1" customWidth="1"/>
    <col min="86" max="86" width="34.6640625" bestFit="1" customWidth="1"/>
    <col min="87" max="87" width="31" bestFit="1" customWidth="1"/>
    <col min="88" max="88" width="30.44140625" bestFit="1" customWidth="1"/>
    <col min="89" max="89" width="36.6640625" bestFit="1" customWidth="1"/>
    <col min="90" max="90" width="28.6640625" bestFit="1" customWidth="1"/>
    <col min="91" max="91" width="28.44140625" bestFit="1" customWidth="1"/>
    <col min="92" max="92" width="24.6640625" bestFit="1" customWidth="1"/>
    <col min="93" max="93" width="24.109375" bestFit="1" customWidth="1"/>
    <col min="94" max="94" width="30.5546875" bestFit="1" customWidth="1"/>
    <col min="95" max="95" width="29.109375" bestFit="1" customWidth="1"/>
    <col min="96" max="96" width="28.88671875" bestFit="1" customWidth="1"/>
    <col min="97" max="97" width="25.109375" bestFit="1" customWidth="1"/>
    <col min="98" max="98" width="24.5546875" bestFit="1" customWidth="1"/>
    <col min="99" max="99" width="31" bestFit="1" customWidth="1"/>
    <col min="100" max="100" width="31.44140625" bestFit="1" customWidth="1"/>
    <col min="101" max="101" width="31.109375" bestFit="1" customWidth="1"/>
    <col min="102" max="102" width="27.44140625" bestFit="1" customWidth="1"/>
    <col min="103" max="103" width="26.88671875" bestFit="1" customWidth="1"/>
    <col min="104" max="104" width="33.109375" bestFit="1" customWidth="1"/>
    <col min="105" max="105" width="23.88671875" bestFit="1" customWidth="1"/>
    <col min="106" max="106" width="23.5546875" bestFit="1" customWidth="1"/>
    <col min="107" max="107" width="19.88671875" bestFit="1" customWidth="1"/>
    <col min="108" max="108" width="19.33203125" bestFit="1" customWidth="1"/>
    <col min="109" max="109" width="25.6640625" bestFit="1" customWidth="1"/>
    <col min="110" max="110" width="28.33203125" bestFit="1" customWidth="1"/>
    <col min="111" max="111" width="28.5546875" bestFit="1" customWidth="1"/>
    <col min="112" max="112" width="24.5546875" bestFit="1" customWidth="1"/>
    <col min="113" max="113" width="22.5546875" bestFit="1" customWidth="1"/>
    <col min="114" max="114" width="26.33203125" bestFit="1" customWidth="1"/>
    <col min="115" max="115" width="26" bestFit="1" customWidth="1"/>
    <col min="116" max="116" width="22.33203125" bestFit="1" customWidth="1"/>
    <col min="117" max="117" width="21.6640625" bestFit="1" customWidth="1"/>
    <col min="118" max="118" width="28" bestFit="1" customWidth="1"/>
    <col min="119" max="119" width="11.33203125" bestFit="1" customWidth="1"/>
  </cols>
  <sheetData>
    <row r="1" spans="1:31" s="45" customFormat="1">
      <c r="A1" s="31"/>
    </row>
    <row r="2" spans="1:31" s="45" customFormat="1">
      <c r="A2" s="31"/>
    </row>
    <row r="3" spans="1:31" s="45" customFormat="1">
      <c r="A3" s="31"/>
    </row>
    <row r="4" spans="1:31" s="96" customFormat="1">
      <c r="A4" s="31"/>
      <c r="B4" s="45"/>
      <c r="C4" s="188" t="s">
        <v>449</v>
      </c>
      <c r="D4" s="188"/>
      <c r="E4" s="188"/>
      <c r="F4" s="188"/>
      <c r="G4" s="188"/>
      <c r="H4" s="188"/>
      <c r="I4" s="188"/>
      <c r="J4" s="188"/>
      <c r="K4" s="188"/>
      <c r="L4" s="188"/>
      <c r="M4" s="188"/>
      <c r="N4" s="188"/>
      <c r="O4" s="188"/>
      <c r="P4" s="188"/>
      <c r="Q4" s="188"/>
      <c r="R4" s="188"/>
      <c r="S4" s="188"/>
      <c r="U4" s="194" t="s">
        <v>451</v>
      </c>
      <c r="V4" s="198"/>
      <c r="W4" s="198"/>
      <c r="X4" s="198"/>
      <c r="Y4" s="198"/>
      <c r="Z4" s="198"/>
      <c r="AA4" s="198"/>
      <c r="AB4" s="198"/>
      <c r="AC4" s="198"/>
      <c r="AD4" s="198"/>
      <c r="AE4" s="198"/>
    </row>
    <row r="5" spans="1:31">
      <c r="A5" s="31"/>
      <c r="B5" s="45"/>
      <c r="C5" s="160" t="s">
        <v>0</v>
      </c>
      <c r="D5" s="161" t="s">
        <v>16</v>
      </c>
      <c r="F5" s="160" t="s">
        <v>0</v>
      </c>
      <c r="G5" s="161" t="s">
        <v>16</v>
      </c>
      <c r="I5" s="160" t="s">
        <v>0</v>
      </c>
      <c r="J5" s="161" t="s">
        <v>16</v>
      </c>
      <c r="L5" s="160" t="s">
        <v>0</v>
      </c>
      <c r="M5" s="161" t="s">
        <v>16</v>
      </c>
      <c r="O5" s="160" t="s">
        <v>0</v>
      </c>
      <c r="P5" s="161" t="s">
        <v>16</v>
      </c>
      <c r="R5" s="160" t="s">
        <v>0</v>
      </c>
      <c r="S5" s="161" t="s">
        <v>16</v>
      </c>
      <c r="U5" s="160" t="s">
        <v>0</v>
      </c>
      <c r="V5" s="161" t="s">
        <v>16</v>
      </c>
      <c r="X5" s="160" t="s">
        <v>0</v>
      </c>
      <c r="Y5" s="161" t="s">
        <v>16</v>
      </c>
      <c r="AA5" s="160" t="s">
        <v>0</v>
      </c>
      <c r="AB5" s="161" t="s">
        <v>16</v>
      </c>
      <c r="AC5" s="90"/>
      <c r="AD5" s="160" t="s">
        <v>0</v>
      </c>
      <c r="AE5" s="161" t="s">
        <v>16</v>
      </c>
    </row>
    <row r="6" spans="1:31">
      <c r="A6" s="31"/>
      <c r="B6" s="45"/>
      <c r="C6" s="160" t="s">
        <v>3</v>
      </c>
      <c r="D6" s="161" t="s">
        <v>310</v>
      </c>
      <c r="F6" s="160" t="s">
        <v>3</v>
      </c>
      <c r="G6" s="161" t="s">
        <v>87</v>
      </c>
      <c r="I6" s="160" t="s">
        <v>3</v>
      </c>
      <c r="J6" s="161" t="s">
        <v>79</v>
      </c>
      <c r="L6" s="160" t="s">
        <v>3</v>
      </c>
      <c r="M6" s="161" t="s">
        <v>80</v>
      </c>
      <c r="O6" s="160" t="s">
        <v>3</v>
      </c>
      <c r="P6" s="161" t="s">
        <v>86</v>
      </c>
      <c r="R6" s="160" t="s">
        <v>3</v>
      </c>
      <c r="S6" s="161" t="s">
        <v>85</v>
      </c>
      <c r="U6" s="160" t="s">
        <v>3</v>
      </c>
      <c r="V6" s="161" t="s">
        <v>444</v>
      </c>
      <c r="X6" s="160" t="s">
        <v>3</v>
      </c>
      <c r="Y6" s="161" t="s">
        <v>448</v>
      </c>
      <c r="AA6" s="160" t="s">
        <v>3</v>
      </c>
      <c r="AB6" s="161" t="s">
        <v>476</v>
      </c>
      <c r="AC6" s="90"/>
      <c r="AD6" s="160" t="s">
        <v>3</v>
      </c>
      <c r="AE6" s="161" t="s">
        <v>480</v>
      </c>
    </row>
    <row r="7" spans="1:31">
      <c r="A7" s="31"/>
      <c r="B7" s="45"/>
      <c r="U7" s="90"/>
      <c r="V7" s="90"/>
      <c r="X7" s="90"/>
      <c r="Y7" s="90"/>
      <c r="AA7" s="90"/>
      <c r="AB7" s="90"/>
      <c r="AC7" s="90"/>
      <c r="AD7" s="90"/>
      <c r="AE7" s="90"/>
    </row>
    <row r="8" spans="1:31">
      <c r="A8" s="24" t="s">
        <v>702</v>
      </c>
      <c r="B8" s="24" t="s">
        <v>122</v>
      </c>
      <c r="C8" s="160" t="s">
        <v>296</v>
      </c>
      <c r="D8" t="s">
        <v>324</v>
      </c>
      <c r="F8" s="160" t="s">
        <v>296</v>
      </c>
      <c r="G8" t="s">
        <v>325</v>
      </c>
      <c r="I8" s="160" t="s">
        <v>296</v>
      </c>
      <c r="J8" t="s">
        <v>326</v>
      </c>
      <c r="L8" s="160" t="s">
        <v>296</v>
      </c>
      <c r="M8" t="s">
        <v>327</v>
      </c>
      <c r="O8" s="160" t="s">
        <v>296</v>
      </c>
      <c r="P8" t="s">
        <v>329</v>
      </c>
      <c r="R8" s="160" t="s">
        <v>296</v>
      </c>
      <c r="S8" t="s">
        <v>328</v>
      </c>
      <c r="U8" s="160" t="s">
        <v>296</v>
      </c>
      <c r="V8" t="s">
        <v>450</v>
      </c>
      <c r="X8" s="160" t="s">
        <v>296</v>
      </c>
      <c r="Y8" t="s">
        <v>452</v>
      </c>
      <c r="AA8" s="160" t="s">
        <v>296</v>
      </c>
      <c r="AB8" t="s">
        <v>721</v>
      </c>
      <c r="AC8" s="90"/>
      <c r="AD8" s="160" t="s">
        <v>296</v>
      </c>
      <c r="AE8" t="s">
        <v>722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4.4"/>
  <cols>
    <col min="1" max="1" width="11" customWidth="1"/>
    <col min="2" max="2" width="12.5546875" customWidth="1"/>
    <col min="3" max="3" width="17.77734375" customWidth="1"/>
    <col min="4" max="4" width="12.21875" customWidth="1"/>
    <col min="5" max="5" width="9.109375" style="8"/>
    <col min="6" max="6" width="9.88671875" style="6" customWidth="1"/>
    <col min="7" max="8" width="11.33203125" style="6" customWidth="1"/>
    <col min="9" max="9" width="14.109375" style="155" customWidth="1"/>
    <col min="10" max="10" width="12.5546875" customWidth="1"/>
    <col min="11" max="11" width="17.77734375" customWidth="1"/>
    <col min="12" max="12" width="14.109375" customWidth="1"/>
    <col min="13" max="13" width="12.44140625" style="6" customWidth="1"/>
    <col min="14" max="14" width="11.33203125" style="6" customWidth="1"/>
  </cols>
  <sheetData>
    <row r="1" spans="1:14" s="45" customFormat="1">
      <c r="I1" s="31"/>
    </row>
    <row r="2" spans="1:14" s="45" customFormat="1">
      <c r="H2" s="155"/>
      <c r="I2" s="31"/>
    </row>
    <row r="3" spans="1:14">
      <c r="A3" s="45"/>
      <c r="B3" s="167" t="s">
        <v>0</v>
      </c>
      <c r="C3" s="168" t="s">
        <v>16</v>
      </c>
      <c r="D3" s="52"/>
      <c r="E3" s="35"/>
      <c r="F3" s="35"/>
      <c r="G3" s="35"/>
      <c r="H3" s="155"/>
      <c r="I3" s="31"/>
      <c r="J3" s="167" t="s">
        <v>0</v>
      </c>
      <c r="K3" s="168" t="s">
        <v>16</v>
      </c>
      <c r="M3" s="35"/>
      <c r="N3" s="35"/>
    </row>
    <row r="4" spans="1:14">
      <c r="A4" s="45"/>
      <c r="B4" s="167" t="s">
        <v>52</v>
      </c>
      <c r="C4" s="168" t="s">
        <v>16</v>
      </c>
      <c r="E4" s="35"/>
      <c r="F4" s="35"/>
      <c r="G4" s="35"/>
      <c r="H4" s="155"/>
      <c r="I4" s="31"/>
      <c r="J4" s="167" t="s">
        <v>1</v>
      </c>
      <c r="K4" s="168" t="s">
        <v>16</v>
      </c>
      <c r="M4" s="35"/>
      <c r="N4" s="35"/>
    </row>
    <row r="5" spans="1:14">
      <c r="A5" s="45"/>
      <c r="B5" s="167" t="s">
        <v>1</v>
      </c>
      <c r="C5" s="168" t="s">
        <v>16</v>
      </c>
      <c r="E5" s="35"/>
      <c r="F5" s="35"/>
      <c r="G5" s="35"/>
      <c r="H5" s="155"/>
      <c r="I5" s="31"/>
      <c r="J5" s="167" t="s">
        <v>3</v>
      </c>
      <c r="K5" s="168" t="s">
        <v>7</v>
      </c>
      <c r="M5" s="35"/>
      <c r="N5" s="35"/>
    </row>
    <row r="6" spans="1:14">
      <c r="A6" s="45"/>
      <c r="B6" s="167" t="s">
        <v>3</v>
      </c>
      <c r="C6" s="168" t="s">
        <v>7</v>
      </c>
      <c r="E6" s="35"/>
      <c r="F6" s="35"/>
      <c r="G6" s="35"/>
      <c r="H6" s="155"/>
      <c r="I6" s="31"/>
      <c r="J6" s="167" t="s">
        <v>2</v>
      </c>
      <c r="K6" s="168" t="s">
        <v>16</v>
      </c>
      <c r="M6" s="35"/>
      <c r="N6" s="35"/>
    </row>
    <row r="7" spans="1:14">
      <c r="E7" s="35"/>
      <c r="F7" s="35"/>
      <c r="G7" s="35"/>
      <c r="H7" s="155"/>
      <c r="I7" s="31"/>
      <c r="M7" s="35"/>
      <c r="N7" s="35"/>
    </row>
    <row r="8" spans="1:14" ht="57.6">
      <c r="A8" s="24" t="s">
        <v>330</v>
      </c>
      <c r="B8" s="167" t="s">
        <v>17</v>
      </c>
      <c r="C8" s="32" t="s">
        <v>21</v>
      </c>
      <c r="D8" s="32" t="s">
        <v>19</v>
      </c>
      <c r="F8" s="36" t="s">
        <v>148</v>
      </c>
      <c r="G8" s="36" t="s">
        <v>149</v>
      </c>
      <c r="H8" s="155"/>
      <c r="I8" s="24" t="s">
        <v>702</v>
      </c>
      <c r="J8" s="167"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4.4"/>
  <cols>
    <col min="1" max="1" width="14.109375" style="155" customWidth="1"/>
    <col min="3" max="3" width="11.44140625" bestFit="1" customWidth="1"/>
    <col min="4" max="4" width="28.44140625" customWidth="1"/>
    <col min="6" max="6" width="11.44140625" bestFit="1" customWidth="1"/>
    <col min="7" max="7" width="22" customWidth="1"/>
    <col min="9" max="9" width="11.44140625" bestFit="1" customWidth="1"/>
    <col min="10" max="10" width="27.44140625" customWidth="1"/>
    <col min="12" max="12" width="11.44140625" bestFit="1" customWidth="1"/>
    <col min="13" max="13" width="21.109375" customWidth="1"/>
    <col min="15" max="15" width="11.44140625" bestFit="1" customWidth="1"/>
    <col min="16" max="16" width="16.5546875" customWidth="1"/>
    <col min="17" max="17" width="17.88671875" bestFit="1" customWidth="1"/>
    <col min="18" max="18" width="17.5546875" bestFit="1" customWidth="1"/>
    <col min="19" max="19" width="19.5546875" bestFit="1" customWidth="1"/>
    <col min="21" max="21" width="11.44140625" bestFit="1" customWidth="1"/>
    <col min="22" max="22" width="16.5546875" customWidth="1"/>
    <col min="23" max="23" width="12.6640625" bestFit="1" customWidth="1"/>
    <col min="24" max="24" width="20.44140625" bestFit="1" customWidth="1"/>
  </cols>
  <sheetData>
    <row r="1" spans="1:24" s="30" customFormat="1">
      <c r="A1" s="31"/>
      <c r="I1" s="192"/>
      <c r="J1" s="193"/>
      <c r="K1" s="189"/>
      <c r="L1" s="189"/>
      <c r="M1" s="189"/>
      <c r="N1" s="189"/>
      <c r="O1" s="189"/>
      <c r="P1" s="189"/>
      <c r="Q1" s="189"/>
      <c r="R1" s="189"/>
    </row>
    <row r="2" spans="1:24">
      <c r="A2" s="31"/>
      <c r="B2" s="45"/>
      <c r="C2" s="194" t="s">
        <v>451</v>
      </c>
      <c r="D2" s="189"/>
      <c r="E2" s="189"/>
      <c r="F2" s="189"/>
      <c r="G2" s="189"/>
      <c r="H2" s="132"/>
      <c r="I2" s="194" t="s">
        <v>451</v>
      </c>
      <c r="J2" s="189"/>
      <c r="K2" s="189"/>
      <c r="L2" s="189"/>
      <c r="M2" s="189"/>
      <c r="N2" s="153"/>
      <c r="O2" s="196" t="s">
        <v>699</v>
      </c>
      <c r="P2" s="197"/>
      <c r="Q2" s="197"/>
      <c r="R2" s="197"/>
      <c r="S2" s="197"/>
      <c r="T2" s="197"/>
      <c r="U2" s="197"/>
      <c r="V2" s="197"/>
      <c r="W2" s="197"/>
      <c r="X2" s="197"/>
    </row>
    <row r="3" spans="1:24">
      <c r="A3" s="31"/>
      <c r="B3" s="45"/>
      <c r="C3" s="160" t="s">
        <v>0</v>
      </c>
      <c r="D3" s="161" t="s">
        <v>16</v>
      </c>
      <c r="E3" s="132"/>
      <c r="F3" s="160" t="s">
        <v>0</v>
      </c>
      <c r="G3" s="161" t="s">
        <v>16</v>
      </c>
      <c r="H3" s="132"/>
      <c r="I3" s="160" t="s">
        <v>0</v>
      </c>
      <c r="J3" s="161" t="s">
        <v>16</v>
      </c>
      <c r="K3" s="152"/>
      <c r="L3" s="160" t="s">
        <v>0</v>
      </c>
      <c r="M3" s="161" t="s">
        <v>16</v>
      </c>
      <c r="N3" s="152"/>
      <c r="O3" s="160" t="s">
        <v>0</v>
      </c>
      <c r="P3" s="161" t="s">
        <v>16</v>
      </c>
      <c r="Q3" s="33"/>
      <c r="R3" s="152"/>
      <c r="S3" s="152"/>
      <c r="T3" s="33"/>
      <c r="U3" s="160" t="s">
        <v>0</v>
      </c>
      <c r="V3" s="161" t="s">
        <v>16</v>
      </c>
      <c r="W3" s="152"/>
      <c r="X3" s="152"/>
    </row>
    <row r="4" spans="1:24">
      <c r="A4" s="31"/>
      <c r="B4" s="45"/>
      <c r="C4" s="160" t="s">
        <v>3</v>
      </c>
      <c r="D4" s="161" t="s">
        <v>614</v>
      </c>
      <c r="E4" s="132"/>
      <c r="F4" s="160" t="s">
        <v>3</v>
      </c>
      <c r="G4" s="161" t="s">
        <v>610</v>
      </c>
      <c r="H4" s="132"/>
      <c r="I4" s="160" t="s">
        <v>3</v>
      </c>
      <c r="J4" s="161" t="s">
        <v>448</v>
      </c>
      <c r="K4" s="152"/>
      <c r="L4" s="160" t="s">
        <v>3</v>
      </c>
      <c r="M4" s="161" t="s">
        <v>444</v>
      </c>
      <c r="N4" s="152"/>
      <c r="O4" s="160" t="s">
        <v>3</v>
      </c>
      <c r="P4" s="161" t="s">
        <v>65</v>
      </c>
      <c r="Q4" s="33"/>
      <c r="R4" s="152"/>
      <c r="S4" s="152"/>
      <c r="T4" s="33"/>
      <c r="U4" s="160" t="s">
        <v>3</v>
      </c>
      <c r="V4" s="161"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60" t="s">
        <v>296</v>
      </c>
      <c r="D6" t="s">
        <v>615</v>
      </c>
      <c r="E6" s="132"/>
      <c r="F6" s="160" t="s">
        <v>296</v>
      </c>
      <c r="G6" t="s">
        <v>700</v>
      </c>
      <c r="H6" s="132"/>
      <c r="I6" s="160" t="s">
        <v>296</v>
      </c>
      <c r="J6" t="s">
        <v>452</v>
      </c>
      <c r="K6" s="152"/>
      <c r="L6" s="160" t="s">
        <v>296</v>
      </c>
      <c r="M6" t="s">
        <v>701</v>
      </c>
      <c r="N6" s="152"/>
      <c r="O6" s="160" t="s">
        <v>296</v>
      </c>
      <c r="P6" s="161" t="s">
        <v>312</v>
      </c>
      <c r="Q6" s="161" t="s">
        <v>417</v>
      </c>
      <c r="R6" s="161" t="s">
        <v>311</v>
      </c>
      <c r="S6" s="161" t="s">
        <v>416</v>
      </c>
      <c r="T6" s="152"/>
      <c r="U6" s="160" t="s">
        <v>296</v>
      </c>
      <c r="V6" s="161" t="s">
        <v>316</v>
      </c>
      <c r="W6" s="161" t="s">
        <v>317</v>
      </c>
      <c r="X6" s="161"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4.4"/>
  <cols>
    <col min="2" max="2" width="10.77734375" customWidth="1"/>
    <col min="3" max="3" width="21.88671875" customWidth="1"/>
    <col min="5" max="5" width="10.77734375" customWidth="1"/>
    <col min="6" max="6" width="28.88671875" customWidth="1"/>
    <col min="8" max="8" width="10.77734375" customWidth="1"/>
    <col min="9" max="9" width="26.77734375" customWidth="1"/>
    <col min="11" max="11" width="10.77734375" customWidth="1"/>
    <col min="12" max="12" width="40.6640625" customWidth="1"/>
    <col min="14" max="14" width="10.77734375" customWidth="1"/>
    <col min="15" max="15" width="34.77734375" customWidth="1"/>
    <col min="17" max="17" width="10.77734375" customWidth="1"/>
    <col min="18" max="18" width="35.109375" customWidth="1"/>
  </cols>
  <sheetData>
    <row r="1" spans="1:18" s="30" customFormat="1"/>
    <row r="2" spans="1:18">
      <c r="A2" s="30"/>
      <c r="B2" s="198" t="s">
        <v>458</v>
      </c>
      <c r="C2" s="195"/>
      <c r="D2" s="195"/>
      <c r="E2" s="195"/>
      <c r="F2" s="195"/>
      <c r="G2" s="195"/>
      <c r="H2" s="195"/>
      <c r="I2" s="199"/>
      <c r="K2" s="198" t="s">
        <v>459</v>
      </c>
      <c r="L2" s="195"/>
      <c r="M2" s="195"/>
      <c r="N2" s="195"/>
      <c r="O2" s="195"/>
      <c r="P2" s="195"/>
      <c r="Q2" s="195"/>
      <c r="R2" s="199"/>
    </row>
    <row r="3" spans="1:18">
      <c r="A3" s="30"/>
      <c r="B3" s="59"/>
      <c r="C3" s="58"/>
      <c r="D3" s="58"/>
      <c r="E3" s="58"/>
      <c r="F3" s="58"/>
      <c r="G3" s="58"/>
      <c r="H3" s="58"/>
      <c r="I3" s="60"/>
      <c r="K3" s="92"/>
      <c r="L3" s="91"/>
      <c r="M3" s="91"/>
      <c r="N3" s="91"/>
      <c r="O3" s="91"/>
      <c r="P3" s="91"/>
      <c r="Q3" s="91"/>
      <c r="R3" s="93"/>
    </row>
    <row r="4" spans="1:18">
      <c r="A4" s="30"/>
      <c r="B4" s="167" t="s">
        <v>0</v>
      </c>
      <c r="C4" s="168" t="s">
        <v>16</v>
      </c>
      <c r="D4" s="33"/>
      <c r="E4" s="167" t="s">
        <v>0</v>
      </c>
      <c r="F4" s="168" t="s">
        <v>16</v>
      </c>
      <c r="G4" s="33"/>
      <c r="H4" s="167" t="s">
        <v>0</v>
      </c>
      <c r="I4" s="168" t="s">
        <v>16</v>
      </c>
      <c r="K4" s="167" t="s">
        <v>0</v>
      </c>
      <c r="L4" s="168" t="s">
        <v>16</v>
      </c>
      <c r="M4" s="33"/>
      <c r="N4" s="167" t="s">
        <v>0</v>
      </c>
      <c r="O4" s="168" t="s">
        <v>16</v>
      </c>
      <c r="P4" s="33"/>
      <c r="Q4" s="167" t="s">
        <v>0</v>
      </c>
      <c r="R4" s="168" t="s">
        <v>16</v>
      </c>
    </row>
    <row r="5" spans="1:18">
      <c r="A5" s="30"/>
      <c r="B5" s="167" t="s">
        <v>1</v>
      </c>
      <c r="C5" s="168" t="s">
        <v>16</v>
      </c>
      <c r="D5" s="33"/>
      <c r="E5" s="167" t="s">
        <v>1</v>
      </c>
      <c r="F5" s="168" t="s">
        <v>16</v>
      </c>
      <c r="G5" s="33"/>
      <c r="H5" s="167" t="s">
        <v>1</v>
      </c>
      <c r="I5" s="168" t="s">
        <v>16</v>
      </c>
      <c r="K5" s="167" t="s">
        <v>1</v>
      </c>
      <c r="L5" s="168" t="s">
        <v>16</v>
      </c>
      <c r="M5" s="33"/>
      <c r="N5" s="167" t="s">
        <v>1</v>
      </c>
      <c r="O5" s="168" t="s">
        <v>16</v>
      </c>
      <c r="P5" s="33"/>
      <c r="Q5" s="167" t="s">
        <v>1</v>
      </c>
      <c r="R5" s="168" t="s">
        <v>16</v>
      </c>
    </row>
    <row r="6" spans="1:18">
      <c r="A6" s="30"/>
      <c r="B6" s="167" t="s">
        <v>3</v>
      </c>
      <c r="C6" s="168" t="s">
        <v>372</v>
      </c>
      <c r="D6" s="33"/>
      <c r="E6" s="167" t="s">
        <v>3</v>
      </c>
      <c r="F6" s="168" t="s">
        <v>369</v>
      </c>
      <c r="G6" s="33"/>
      <c r="H6" s="167" t="s">
        <v>3</v>
      </c>
      <c r="I6" s="168" t="s">
        <v>371</v>
      </c>
      <c r="K6" s="167" t="s">
        <v>3</v>
      </c>
      <c r="L6" s="168" t="s">
        <v>457</v>
      </c>
      <c r="M6" s="33"/>
      <c r="N6" s="167" t="s">
        <v>3</v>
      </c>
      <c r="O6" s="168" t="s">
        <v>453</v>
      </c>
      <c r="P6" s="33"/>
      <c r="Q6" s="167" t="s">
        <v>3</v>
      </c>
      <c r="R6" s="168" t="s">
        <v>455</v>
      </c>
    </row>
    <row r="7" spans="1:18">
      <c r="A7" s="30"/>
      <c r="B7" s="57"/>
      <c r="C7" s="57"/>
      <c r="D7" s="57"/>
      <c r="E7" s="57"/>
      <c r="F7" s="57"/>
      <c r="G7" s="57"/>
      <c r="H7" s="57"/>
      <c r="I7" s="57"/>
      <c r="K7" s="90"/>
      <c r="L7" s="90"/>
      <c r="M7" s="90"/>
      <c r="N7" s="90"/>
      <c r="O7" s="90"/>
      <c r="P7" s="90"/>
      <c r="Q7" s="90"/>
      <c r="R7" s="90"/>
    </row>
    <row r="8" spans="1:18" ht="28.8">
      <c r="A8" s="24" t="s">
        <v>330</v>
      </c>
      <c r="B8" s="167" t="s">
        <v>2</v>
      </c>
      <c r="C8" t="s">
        <v>295</v>
      </c>
      <c r="D8" s="57"/>
      <c r="E8" s="167" t="s">
        <v>2</v>
      </c>
      <c r="F8" s="32" t="s">
        <v>373</v>
      </c>
      <c r="G8" s="57"/>
      <c r="H8" s="167" t="s">
        <v>2</v>
      </c>
      <c r="I8" s="32" t="s">
        <v>374</v>
      </c>
      <c r="K8" s="167" t="s">
        <v>2</v>
      </c>
      <c r="L8" t="s">
        <v>485</v>
      </c>
      <c r="M8" s="90"/>
      <c r="N8" s="167" t="s">
        <v>2</v>
      </c>
      <c r="O8" s="32" t="s">
        <v>486</v>
      </c>
      <c r="P8" s="90"/>
      <c r="Q8" s="167" t="s">
        <v>2</v>
      </c>
      <c r="R8" s="32" t="s">
        <v>487</v>
      </c>
    </row>
    <row r="9" spans="1:18">
      <c r="A9" s="23" t="str">
        <f>INDEX('DDL Tables'!$B:$B,MATCH(SUBSTITUTE(B9, " (index)",""),'DDL Tables'!$C:$C,0))</f>
        <v>TestKS</v>
      </c>
      <c r="B9" s="4" t="s">
        <v>50</v>
      </c>
      <c r="C9" s="168">
        <v>4</v>
      </c>
      <c r="D9" s="6"/>
      <c r="E9" s="4" t="s">
        <v>50</v>
      </c>
      <c r="F9" s="5">
        <v>2100</v>
      </c>
      <c r="G9" s="6"/>
      <c r="H9" s="4" t="s">
        <v>50</v>
      </c>
      <c r="I9" s="5">
        <v>1200</v>
      </c>
      <c r="K9" s="4" t="s">
        <v>50</v>
      </c>
      <c r="L9" s="168">
        <v>3</v>
      </c>
      <c r="M9" s="6"/>
      <c r="N9" s="4" t="s">
        <v>49</v>
      </c>
      <c r="O9" s="5">
        <v>12</v>
      </c>
      <c r="P9" s="6"/>
      <c r="Q9" s="4" t="s">
        <v>49</v>
      </c>
      <c r="R9" s="5">
        <v>4</v>
      </c>
    </row>
    <row r="10" spans="1:18">
      <c r="A10" s="57"/>
      <c r="B10" s="4" t="s">
        <v>18</v>
      </c>
      <c r="C10" s="168">
        <v>4</v>
      </c>
      <c r="D10" s="6"/>
      <c r="E10" s="4" t="s">
        <v>18</v>
      </c>
      <c r="F10" s="5">
        <v>2100</v>
      </c>
      <c r="G10" s="6"/>
      <c r="H10" s="4" t="s">
        <v>18</v>
      </c>
      <c r="I10" s="5">
        <v>1200</v>
      </c>
      <c r="K10" s="4" t="s">
        <v>18</v>
      </c>
      <c r="L10" s="168">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4.4"/>
  <cols>
    <col min="1" max="1" width="14" style="57" customWidth="1"/>
    <col min="2" max="2" width="32.109375" style="72" customWidth="1"/>
    <col min="3" max="3" width="13.109375" style="73" customWidth="1"/>
    <col min="4" max="4" width="25.88671875" customWidth="1"/>
    <col min="5" max="5" width="8.33203125" customWidth="1"/>
    <col min="6" max="6" width="11.33203125" bestFit="1" customWidth="1"/>
    <col min="7" max="7" width="8.88671875" style="64" customWidth="1"/>
    <col min="8" max="8" width="8.33203125" customWidth="1"/>
    <col min="9" max="9" width="11.33203125" customWidth="1"/>
    <col min="10" max="10" width="8.88671875" style="64" customWidth="1"/>
    <col min="11" max="11" width="8.33203125" customWidth="1"/>
    <col min="12" max="12" width="11.33203125" customWidth="1"/>
    <col min="13" max="13" width="8.88671875" style="64" customWidth="1"/>
    <col min="14" max="14" width="8.33203125" customWidth="1"/>
    <col min="15" max="15" width="11.33203125" customWidth="1"/>
    <col min="16" max="16" width="8.88671875" style="64" customWidth="1"/>
    <col min="17" max="17" width="8.33203125" customWidth="1"/>
    <col min="18" max="18" width="11.33203125" customWidth="1"/>
    <col min="19" max="19" width="17.44140625" style="64" bestFit="1" customWidth="1"/>
    <col min="20" max="20" width="8.5546875" customWidth="1"/>
    <col min="21" max="21" width="11.5546875" customWidth="1"/>
    <col min="22" max="22" width="9.109375" style="30"/>
    <col min="23" max="23" width="13.109375" style="72" customWidth="1"/>
    <col min="24" max="24" width="25.88671875" customWidth="1"/>
    <col min="25" max="25" width="8.33203125" customWidth="1"/>
    <col min="26" max="26" width="11.33203125" bestFit="1" customWidth="1"/>
    <col min="27" max="27" width="8.88671875" style="64" customWidth="1"/>
    <col min="28" max="28" width="8.33203125" customWidth="1"/>
    <col min="29" max="29" width="11.33203125" bestFit="1" customWidth="1"/>
    <col min="30" max="30" width="8.88671875" style="64" customWidth="1"/>
    <col min="31" max="31" width="8.33203125" customWidth="1"/>
    <col min="32" max="32" width="11.33203125" bestFit="1" customWidth="1"/>
    <col min="33" max="33" width="8.88671875" style="64" customWidth="1"/>
    <col min="34" max="34" width="8.33203125" customWidth="1"/>
    <col min="35" max="35" width="11.33203125" bestFit="1" customWidth="1"/>
    <col min="36" max="36" width="8.88671875" style="64" customWidth="1"/>
    <col min="37" max="37" width="8.33203125" customWidth="1"/>
    <col min="38" max="38" width="11.33203125" bestFit="1" customWidth="1"/>
    <col min="39" max="39" width="17.44140625" style="64" bestFit="1" customWidth="1"/>
    <col min="40" max="40" width="8.5546875" customWidth="1"/>
    <col min="41" max="41" width="11.5546875" style="72" bestFit="1" customWidth="1"/>
  </cols>
  <sheetData>
    <row r="1" spans="1:41" s="57" customFormat="1">
      <c r="A1" s="30"/>
      <c r="B1" s="68"/>
      <c r="C1" s="202" t="s">
        <v>409</v>
      </c>
      <c r="D1" s="189"/>
      <c r="E1" s="189"/>
      <c r="F1" s="189"/>
      <c r="G1" s="189"/>
      <c r="H1" s="189"/>
      <c r="I1" s="189"/>
      <c r="J1" s="189"/>
      <c r="K1" s="189"/>
      <c r="L1" s="189"/>
      <c r="M1" s="189"/>
      <c r="N1" s="189"/>
      <c r="O1" s="189"/>
      <c r="P1" s="189"/>
      <c r="Q1" s="189"/>
      <c r="R1" s="189"/>
      <c r="S1" s="189"/>
      <c r="T1" s="189"/>
      <c r="U1" s="189"/>
      <c r="V1" s="30"/>
      <c r="W1" s="202" t="s">
        <v>410</v>
      </c>
      <c r="X1" s="189"/>
      <c r="Y1" s="189"/>
      <c r="Z1" s="189"/>
      <c r="AA1" s="189"/>
      <c r="AB1" s="189"/>
      <c r="AC1" s="189"/>
      <c r="AD1" s="189"/>
      <c r="AE1" s="189"/>
      <c r="AF1" s="189"/>
      <c r="AG1" s="189"/>
      <c r="AH1" s="189"/>
      <c r="AI1" s="189"/>
      <c r="AJ1" s="189"/>
      <c r="AK1" s="189"/>
      <c r="AL1" s="189"/>
      <c r="AM1" s="189"/>
      <c r="AN1" s="189"/>
      <c r="AO1" s="189"/>
    </row>
    <row r="2" spans="1:41" s="57" customFormat="1">
      <c r="A2" s="30"/>
      <c r="B2" s="68"/>
      <c r="C2" s="202"/>
      <c r="D2" s="189"/>
      <c r="E2" s="189"/>
      <c r="F2" s="189"/>
      <c r="G2" s="189"/>
      <c r="H2" s="189"/>
      <c r="I2" s="189"/>
      <c r="J2" s="189"/>
      <c r="K2" s="189"/>
      <c r="L2" s="189"/>
      <c r="M2" s="189"/>
      <c r="N2" s="189"/>
      <c r="O2" s="189"/>
      <c r="P2" s="189"/>
      <c r="Q2" s="189"/>
      <c r="R2" s="189"/>
      <c r="S2" s="189"/>
      <c r="T2" s="189"/>
      <c r="U2" s="189"/>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2.332031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2" t="s">
        <v>409</v>
      </c>
      <c r="D1" s="189"/>
      <c r="E1" s="189"/>
      <c r="F1" s="189"/>
      <c r="G1" s="189"/>
      <c r="H1" s="189"/>
      <c r="I1" s="189"/>
      <c r="J1" s="189"/>
      <c r="K1" s="189"/>
      <c r="L1" s="189"/>
      <c r="M1" s="189"/>
      <c r="N1" s="189"/>
      <c r="O1" s="189"/>
      <c r="P1" s="189"/>
      <c r="Q1" s="189"/>
      <c r="R1" s="189"/>
      <c r="S1" s="189"/>
      <c r="T1" s="189"/>
      <c r="U1" s="189"/>
      <c r="W1" s="202" t="s">
        <v>410</v>
      </c>
      <c r="X1" s="189"/>
      <c r="Y1" s="189"/>
      <c r="Z1" s="189"/>
      <c r="AA1" s="189"/>
      <c r="AB1" s="189"/>
      <c r="AC1" s="189"/>
      <c r="AD1" s="189"/>
      <c r="AE1" s="189"/>
      <c r="AF1" s="189"/>
      <c r="AG1" s="189"/>
      <c r="AH1" s="189"/>
      <c r="AI1" s="189"/>
      <c r="AJ1" s="189"/>
      <c r="AK1" s="189"/>
      <c r="AL1" s="189"/>
      <c r="AM1" s="189"/>
      <c r="AN1" s="189"/>
      <c r="AO1" s="189"/>
    </row>
    <row r="2" spans="1:41">
      <c r="A2" s="30"/>
      <c r="B2" s="68"/>
      <c r="C2" s="202"/>
      <c r="D2" s="189"/>
      <c r="E2" s="189"/>
      <c r="F2" s="189"/>
      <c r="G2" s="189"/>
      <c r="H2" s="189"/>
      <c r="I2" s="189"/>
      <c r="J2" s="189"/>
      <c r="K2" s="189"/>
      <c r="L2" s="189"/>
      <c r="M2" s="189"/>
      <c r="N2" s="189"/>
      <c r="O2" s="189"/>
      <c r="P2" s="189"/>
      <c r="Q2" s="189"/>
      <c r="R2" s="189"/>
      <c r="S2" s="189"/>
      <c r="T2" s="189"/>
      <c r="U2" s="189"/>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22"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9.109375" style="57" customWidth="1"/>
    <col min="21" max="21" width="11.5546875" style="57" customWidth="1"/>
    <col min="22" max="22" width="9.109375" style="30"/>
    <col min="23" max="23" width="13.109375" style="72" customWidth="1"/>
    <col min="24" max="24" width="22"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9.109375" style="57" customWidth="1"/>
    <col min="41" max="41" width="11.5546875" style="72" bestFit="1" customWidth="1"/>
    <col min="42" max="16384" width="9.109375" style="57"/>
  </cols>
  <sheetData>
    <row r="1" spans="1:41">
      <c r="A1" s="30"/>
      <c r="B1" s="68"/>
      <c r="C1" s="202" t="s">
        <v>409</v>
      </c>
      <c r="D1" s="189"/>
      <c r="E1" s="189"/>
      <c r="F1" s="189"/>
      <c r="G1" s="189"/>
      <c r="H1" s="189"/>
      <c r="I1" s="189"/>
      <c r="J1" s="189"/>
      <c r="K1" s="189"/>
      <c r="L1" s="189"/>
      <c r="M1" s="189"/>
      <c r="N1" s="189"/>
      <c r="O1" s="189"/>
      <c r="P1" s="189"/>
      <c r="Q1" s="189"/>
      <c r="R1" s="189"/>
      <c r="S1" s="189"/>
      <c r="T1" s="189"/>
      <c r="U1" s="189"/>
      <c r="W1" s="202" t="s">
        <v>410</v>
      </c>
      <c r="X1" s="189"/>
      <c r="Y1" s="189"/>
      <c r="Z1" s="189"/>
      <c r="AA1" s="189"/>
      <c r="AB1" s="189"/>
      <c r="AC1" s="189"/>
      <c r="AD1" s="189"/>
      <c r="AE1" s="189"/>
      <c r="AF1" s="189"/>
      <c r="AG1" s="189"/>
      <c r="AH1" s="189"/>
      <c r="AI1" s="189"/>
      <c r="AJ1" s="189"/>
      <c r="AK1" s="189"/>
      <c r="AL1" s="189"/>
      <c r="AM1" s="189"/>
      <c r="AN1" s="189"/>
      <c r="AO1" s="189"/>
    </row>
    <row r="2" spans="1:41">
      <c r="A2" s="30"/>
      <c r="B2" s="68"/>
      <c r="C2" s="202"/>
      <c r="D2" s="189"/>
      <c r="E2" s="189"/>
      <c r="F2" s="189"/>
      <c r="G2" s="189"/>
      <c r="H2" s="189"/>
      <c r="I2" s="189"/>
      <c r="J2" s="189"/>
      <c r="K2" s="189"/>
      <c r="L2" s="189"/>
      <c r="M2" s="189"/>
      <c r="N2" s="189"/>
      <c r="O2" s="189"/>
      <c r="P2" s="189"/>
      <c r="Q2" s="189"/>
      <c r="R2" s="189"/>
      <c r="S2" s="189"/>
      <c r="T2" s="189"/>
      <c r="U2" s="189"/>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28.8">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19.5546875"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8.5546875" style="57" customWidth="1"/>
    <col min="21" max="21" width="11.5546875" style="57" customWidth="1"/>
    <col min="22" max="22" width="9.109375" style="30"/>
    <col min="23" max="23" width="13.109375" style="72" customWidth="1"/>
    <col min="24" max="24" width="19.5546875"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8.5546875" style="57" customWidth="1"/>
    <col min="41" max="41" width="11.5546875" style="72" bestFit="1" customWidth="1"/>
    <col min="42" max="16384" width="9.109375" style="57"/>
  </cols>
  <sheetData>
    <row r="1" spans="1:41">
      <c r="A1" s="30"/>
      <c r="B1" s="68"/>
      <c r="C1" s="202" t="s">
        <v>409</v>
      </c>
      <c r="D1" s="189"/>
      <c r="E1" s="189"/>
      <c r="F1" s="189"/>
      <c r="G1" s="189"/>
      <c r="H1" s="189"/>
      <c r="I1" s="189"/>
      <c r="J1" s="189"/>
      <c r="K1" s="189"/>
      <c r="L1" s="189"/>
      <c r="M1" s="189"/>
      <c r="N1" s="189"/>
      <c r="O1" s="189"/>
      <c r="P1" s="189"/>
      <c r="Q1" s="189"/>
      <c r="R1" s="189"/>
      <c r="S1" s="189"/>
      <c r="T1" s="189"/>
      <c r="U1" s="189"/>
      <c r="W1" s="202" t="s">
        <v>410</v>
      </c>
      <c r="X1" s="189"/>
      <c r="Y1" s="189"/>
      <c r="Z1" s="189"/>
      <c r="AA1" s="189"/>
      <c r="AB1" s="189"/>
      <c r="AC1" s="189"/>
      <c r="AD1" s="189"/>
      <c r="AE1" s="189"/>
      <c r="AF1" s="189"/>
      <c r="AG1" s="189"/>
      <c r="AH1" s="189"/>
      <c r="AI1" s="189"/>
      <c r="AJ1" s="189"/>
      <c r="AK1" s="189"/>
      <c r="AL1" s="189"/>
      <c r="AM1" s="189"/>
      <c r="AN1" s="189"/>
      <c r="AO1" s="189"/>
    </row>
    <row r="2" spans="1:41">
      <c r="A2" s="30"/>
      <c r="B2" s="68"/>
      <c r="C2" s="202"/>
      <c r="D2" s="189"/>
      <c r="E2" s="189"/>
      <c r="F2" s="189"/>
      <c r="G2" s="189"/>
      <c r="H2" s="189"/>
      <c r="I2" s="189"/>
      <c r="J2" s="189"/>
      <c r="K2" s="189"/>
      <c r="L2" s="189"/>
      <c r="M2" s="189"/>
      <c r="N2" s="189"/>
      <c r="O2" s="189"/>
      <c r="P2" s="189"/>
      <c r="Q2" s="189"/>
      <c r="R2" s="189"/>
      <c r="S2" s="189"/>
      <c r="T2" s="189"/>
      <c r="U2" s="189"/>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1.441406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2" t="s">
        <v>409</v>
      </c>
      <c r="D1" s="189"/>
      <c r="E1" s="189"/>
      <c r="F1" s="189"/>
      <c r="G1" s="189"/>
      <c r="H1" s="189"/>
      <c r="I1" s="189"/>
      <c r="J1" s="189"/>
      <c r="K1" s="189"/>
      <c r="L1" s="189"/>
      <c r="M1" s="189"/>
      <c r="N1" s="189"/>
      <c r="O1" s="189"/>
      <c r="P1" s="189"/>
      <c r="Q1" s="189"/>
      <c r="R1" s="189"/>
      <c r="S1" s="189"/>
      <c r="T1" s="189"/>
      <c r="U1" s="189"/>
      <c r="W1" s="202" t="s">
        <v>410</v>
      </c>
      <c r="X1" s="189"/>
      <c r="Y1" s="189"/>
      <c r="Z1" s="189"/>
      <c r="AA1" s="189"/>
      <c r="AB1" s="189"/>
      <c r="AC1" s="189"/>
      <c r="AD1" s="189"/>
      <c r="AE1" s="189"/>
      <c r="AF1" s="189"/>
      <c r="AG1" s="189"/>
      <c r="AH1" s="189"/>
      <c r="AI1" s="189"/>
      <c r="AJ1" s="189"/>
      <c r="AK1" s="189"/>
      <c r="AL1" s="189"/>
      <c r="AM1" s="189"/>
      <c r="AN1" s="189"/>
      <c r="AO1" s="189"/>
    </row>
    <row r="2" spans="1:41">
      <c r="A2" s="30"/>
      <c r="B2" s="68"/>
      <c r="C2" s="202"/>
      <c r="D2" s="189"/>
      <c r="E2" s="189"/>
      <c r="F2" s="189"/>
      <c r="G2" s="189"/>
      <c r="H2" s="189"/>
      <c r="I2" s="189"/>
      <c r="J2" s="189"/>
      <c r="K2" s="189"/>
      <c r="L2" s="189"/>
      <c r="M2" s="189"/>
      <c r="N2" s="189"/>
      <c r="O2" s="189"/>
      <c r="P2" s="189"/>
      <c r="Q2" s="189"/>
      <c r="R2" s="189"/>
      <c r="S2" s="189"/>
      <c r="T2" s="189"/>
      <c r="U2" s="189"/>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6" style="81" customWidth="1"/>
    <col min="2" max="2" width="16.88671875" style="81" customWidth="1"/>
    <col min="3" max="3" width="9" style="81" customWidth="1"/>
    <col min="4" max="4" width="14.109375" style="155" customWidth="1"/>
    <col min="5" max="5" width="9" style="81" customWidth="1"/>
    <col min="6" max="6" width="17.44140625" style="81" customWidth="1"/>
    <col min="7" max="7" width="16.88671875" style="81" customWidth="1"/>
    <col min="8" max="8" width="8.5546875" style="81" customWidth="1"/>
    <col min="9" max="9" width="26.5546875" style="81" customWidth="1"/>
    <col min="10" max="10" width="16.88671875" style="81" bestFit="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194" t="s">
        <v>514</v>
      </c>
      <c r="B1" s="189"/>
      <c r="C1" s="189"/>
      <c r="D1" s="189"/>
      <c r="E1" s="189"/>
      <c r="F1" s="189"/>
      <c r="G1" s="189"/>
      <c r="H1" s="189"/>
      <c r="I1" s="189"/>
      <c r="J1" s="189"/>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03" t="s">
        <v>426</v>
      </c>
      <c r="B1" s="204" t="s">
        <v>422</v>
      </c>
      <c r="C1" s="205" t="s">
        <v>422</v>
      </c>
      <c r="D1" s="205" t="s">
        <v>422</v>
      </c>
      <c r="E1" s="205" t="s">
        <v>422</v>
      </c>
      <c r="F1" s="205" t="s">
        <v>422</v>
      </c>
      <c r="G1" s="205" t="s">
        <v>422</v>
      </c>
      <c r="H1" s="205" t="s">
        <v>422</v>
      </c>
      <c r="I1" s="206"/>
      <c r="J1" s="207"/>
      <c r="K1" s="205"/>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4.4"/>
  <cols>
    <col min="2" max="2" width="10.77734375" customWidth="1"/>
    <col min="3" max="3" width="29" customWidth="1"/>
    <col min="4" max="4" width="7" style="138" customWidth="1"/>
    <col min="6" max="6" width="10.77734375" customWidth="1"/>
    <col min="7" max="7" width="23.33203125" customWidth="1"/>
    <col min="9" max="9" width="10.77734375" customWidth="1"/>
    <col min="10" max="10" width="27.77734375" customWidth="1"/>
    <col min="11" max="11" width="7" customWidth="1"/>
  </cols>
  <sheetData>
    <row r="1" spans="1:11">
      <c r="A1" s="30"/>
      <c r="B1" s="30"/>
      <c r="C1" s="30"/>
      <c r="D1" s="30"/>
      <c r="E1" s="30"/>
      <c r="F1" s="30"/>
      <c r="G1" s="30"/>
      <c r="H1" s="30"/>
      <c r="I1" s="30"/>
      <c r="J1" s="30"/>
    </row>
    <row r="2" spans="1:11">
      <c r="A2" s="30"/>
      <c r="B2" s="198" t="s">
        <v>301</v>
      </c>
      <c r="C2" s="195"/>
      <c r="D2" s="195"/>
      <c r="E2" s="195"/>
      <c r="F2" s="195"/>
      <c r="G2" s="195"/>
      <c r="H2" s="195"/>
      <c r="I2" s="195"/>
      <c r="J2" s="199"/>
    </row>
    <row r="3" spans="1:11">
      <c r="A3" s="30"/>
      <c r="B3" s="167" t="s">
        <v>150</v>
      </c>
      <c r="C3" s="168" t="s">
        <v>16</v>
      </c>
      <c r="D3" s="139"/>
      <c r="E3" s="139"/>
      <c r="F3" s="167" t="s">
        <v>150</v>
      </c>
      <c r="G3" s="168" t="s">
        <v>16</v>
      </c>
      <c r="H3" s="139"/>
      <c r="I3" s="167" t="s">
        <v>150</v>
      </c>
      <c r="J3" s="168" t="s">
        <v>16</v>
      </c>
    </row>
    <row r="4" spans="1:11">
      <c r="A4" s="30"/>
      <c r="B4" s="167" t="s">
        <v>0</v>
      </c>
      <c r="C4" s="168" t="s">
        <v>16</v>
      </c>
      <c r="E4" s="33"/>
      <c r="F4" s="167" t="s">
        <v>0</v>
      </c>
      <c r="G4" s="168" t="s">
        <v>16</v>
      </c>
      <c r="H4" s="33"/>
      <c r="I4" s="167" t="s">
        <v>0</v>
      </c>
      <c r="J4" s="168" t="s">
        <v>16</v>
      </c>
    </row>
    <row r="5" spans="1:11">
      <c r="A5" s="30"/>
      <c r="B5" s="167" t="s">
        <v>1</v>
      </c>
      <c r="C5" s="168" t="s">
        <v>16</v>
      </c>
      <c r="E5" s="33"/>
      <c r="F5" s="167" t="s">
        <v>1</v>
      </c>
      <c r="G5" s="168" t="s">
        <v>16</v>
      </c>
      <c r="H5" s="33"/>
      <c r="I5" s="167" t="s">
        <v>1</v>
      </c>
      <c r="J5" s="168" t="s">
        <v>16</v>
      </c>
    </row>
    <row r="6" spans="1:11">
      <c r="A6" s="30"/>
      <c r="B6" s="167" t="s">
        <v>3</v>
      </c>
      <c r="C6" s="168" t="s">
        <v>567</v>
      </c>
      <c r="E6" s="33"/>
      <c r="F6" s="167" t="s">
        <v>3</v>
      </c>
      <c r="G6" s="168" t="s">
        <v>571</v>
      </c>
      <c r="H6" s="33"/>
      <c r="I6" s="167" t="s">
        <v>3</v>
      </c>
      <c r="J6" s="168" t="s">
        <v>569</v>
      </c>
    </row>
    <row r="7" spans="1:11">
      <c r="A7" s="30"/>
      <c r="B7" s="138"/>
      <c r="C7" s="138"/>
      <c r="E7" s="138"/>
      <c r="F7" s="138"/>
      <c r="G7" s="138"/>
      <c r="H7" s="138"/>
      <c r="I7" s="138"/>
      <c r="J7" s="138"/>
    </row>
    <row r="8" spans="1:11">
      <c r="A8" s="24" t="s">
        <v>330</v>
      </c>
      <c r="B8" s="167" t="s">
        <v>2</v>
      </c>
      <c r="C8" s="168" t="s">
        <v>643</v>
      </c>
      <c r="D8" s="168" t="s">
        <v>537</v>
      </c>
      <c r="E8" s="138"/>
      <c r="F8" s="167" t="s">
        <v>2</v>
      </c>
      <c r="G8" s="32" t="s">
        <v>295</v>
      </c>
      <c r="H8" s="138"/>
      <c r="I8" s="167" t="s">
        <v>2</v>
      </c>
      <c r="J8" s="168" t="s">
        <v>644</v>
      </c>
      <c r="K8" s="168"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5" customWidth="1"/>
    <col min="2" max="2" width="10.77734375" style="138" customWidth="1"/>
    <col min="3" max="3" width="29" style="138" customWidth="1"/>
    <col min="4" max="4" width="7" style="138" customWidth="1"/>
    <col min="5" max="5" width="9.109375" style="138"/>
    <col min="6" max="6" width="10.77734375" style="138" customWidth="1"/>
    <col min="7" max="7" width="23.33203125" style="138" customWidth="1"/>
    <col min="8" max="8" width="9.109375" style="138"/>
    <col min="9" max="9" width="10.77734375" style="138" customWidth="1"/>
    <col min="10" max="10" width="27.77734375" style="138" customWidth="1"/>
    <col min="11" max="11" width="7" style="138" customWidth="1"/>
    <col min="12" max="16384" width="9.109375" style="138"/>
  </cols>
  <sheetData>
    <row r="1" spans="1:11">
      <c r="A1" s="31"/>
      <c r="B1" s="30"/>
      <c r="C1" s="30"/>
      <c r="D1" s="30"/>
      <c r="E1" s="30"/>
      <c r="F1" s="30"/>
      <c r="G1" s="30"/>
      <c r="H1" s="30"/>
      <c r="I1" s="30"/>
      <c r="J1" s="30"/>
    </row>
    <row r="2" spans="1:11">
      <c r="A2" s="31"/>
      <c r="B2" s="198" t="s">
        <v>301</v>
      </c>
      <c r="C2" s="195"/>
      <c r="D2" s="195"/>
      <c r="E2" s="195"/>
      <c r="F2" s="195"/>
      <c r="G2" s="195"/>
      <c r="H2" s="195"/>
      <c r="I2" s="195"/>
      <c r="J2" s="199"/>
    </row>
    <row r="3" spans="1:11">
      <c r="A3" s="31"/>
      <c r="B3" s="167" t="s">
        <v>150</v>
      </c>
      <c r="C3" s="168" t="s">
        <v>16</v>
      </c>
      <c r="D3" s="139"/>
      <c r="E3" s="139"/>
      <c r="F3" s="167" t="s">
        <v>150</v>
      </c>
      <c r="G3" s="168" t="s">
        <v>16</v>
      </c>
      <c r="H3" s="139"/>
      <c r="I3" s="167" t="s">
        <v>150</v>
      </c>
      <c r="J3" s="168" t="s">
        <v>16</v>
      </c>
    </row>
    <row r="4" spans="1:11">
      <c r="A4" s="31"/>
      <c r="B4" s="167" t="s">
        <v>0</v>
      </c>
      <c r="C4" s="168" t="s">
        <v>16</v>
      </c>
      <c r="E4" s="33"/>
      <c r="F4" s="167" t="s">
        <v>0</v>
      </c>
      <c r="G4" s="168" t="s">
        <v>16</v>
      </c>
      <c r="H4" s="33"/>
      <c r="I4" s="167" t="s">
        <v>0</v>
      </c>
      <c r="J4" s="168" t="s">
        <v>16</v>
      </c>
    </row>
    <row r="5" spans="1:11">
      <c r="A5" s="31"/>
      <c r="B5" s="167" t="s">
        <v>1</v>
      </c>
      <c r="C5" s="168" t="s">
        <v>16</v>
      </c>
      <c r="E5" s="33"/>
      <c r="F5" s="167" t="s">
        <v>1</v>
      </c>
      <c r="G5" s="168" t="s">
        <v>16</v>
      </c>
      <c r="H5" s="33"/>
      <c r="I5" s="167" t="s">
        <v>1</v>
      </c>
      <c r="J5" s="168" t="s">
        <v>16</v>
      </c>
    </row>
    <row r="6" spans="1:11">
      <c r="A6" s="31"/>
      <c r="B6" s="167" t="s">
        <v>3</v>
      </c>
      <c r="C6" s="168" t="s">
        <v>567</v>
      </c>
      <c r="E6" s="33"/>
      <c r="F6" s="167" t="s">
        <v>3</v>
      </c>
      <c r="G6" s="168" t="s">
        <v>571</v>
      </c>
      <c r="H6" s="33"/>
      <c r="I6" s="167" t="s">
        <v>3</v>
      </c>
      <c r="J6" s="168" t="s">
        <v>569</v>
      </c>
    </row>
    <row r="7" spans="1:11">
      <c r="A7" s="31"/>
    </row>
    <row r="8" spans="1:11">
      <c r="A8" s="24" t="s">
        <v>702</v>
      </c>
      <c r="B8" s="167" t="s">
        <v>2</v>
      </c>
      <c r="C8" s="168" t="s">
        <v>643</v>
      </c>
      <c r="D8" s="168" t="s">
        <v>537</v>
      </c>
      <c r="F8" s="167" t="s">
        <v>2</v>
      </c>
      <c r="G8" s="32" t="s">
        <v>295</v>
      </c>
      <c r="I8" s="167" t="s">
        <v>2</v>
      </c>
      <c r="J8" s="168" t="s">
        <v>644</v>
      </c>
      <c r="K8" s="168"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556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M10"/>
  <sheetViews>
    <sheetView topLeftCell="A2"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21" max="21" width="13.109375" customWidth="1"/>
    <col min="27" max="27" width="13.6640625" customWidth="1"/>
    <col min="28" max="28" width="29.33203125" customWidth="1"/>
    <col min="29" max="29" width="19.109375" customWidth="1"/>
    <col min="30" max="30" width="21.5546875" customWidth="1"/>
    <col min="31" max="31" width="12.33203125" customWidth="1"/>
    <col min="32" max="32" width="31.44140625" customWidth="1"/>
    <col min="33" max="33" width="20.44140625" customWidth="1"/>
    <col min="34" max="34" width="18.5546875" customWidth="1"/>
    <col min="35" max="35" width="32.109375" customWidth="1"/>
    <col min="36" max="37" width="32.109375" style="159" customWidth="1"/>
    <col min="38" max="38" width="20.33203125" customWidth="1"/>
    <col min="39" max="39" width="22.88671875" customWidth="1"/>
  </cols>
  <sheetData>
    <row r="1" spans="1:39" s="16" customFormat="1">
      <c r="A1" s="119"/>
      <c r="B1" s="119"/>
      <c r="C1" s="119"/>
      <c r="D1" s="119"/>
      <c r="E1" s="119"/>
      <c r="F1" s="119"/>
      <c r="G1" s="119"/>
      <c r="H1" s="119"/>
      <c r="I1" s="179" t="s">
        <v>89</v>
      </c>
      <c r="J1" s="208" t="s">
        <v>89</v>
      </c>
      <c r="K1" s="180" t="s">
        <v>89</v>
      </c>
      <c r="L1" s="180" t="s">
        <v>89</v>
      </c>
      <c r="M1" s="209" t="s">
        <v>89</v>
      </c>
      <c r="N1" s="180" t="s">
        <v>89</v>
      </c>
      <c r="O1" s="209" t="s">
        <v>89</v>
      </c>
      <c r="P1" s="209" t="s">
        <v>89</v>
      </c>
      <c r="Q1" s="209" t="s">
        <v>89</v>
      </c>
      <c r="R1" s="209" t="s">
        <v>89</v>
      </c>
      <c r="S1" s="180" t="s">
        <v>89</v>
      </c>
      <c r="T1" s="180" t="s">
        <v>89</v>
      </c>
      <c r="U1" s="183" t="s">
        <v>89</v>
      </c>
      <c r="V1" s="210" t="s">
        <v>263</v>
      </c>
      <c r="W1" s="211" t="s">
        <v>263</v>
      </c>
      <c r="X1" s="211" t="s">
        <v>263</v>
      </c>
      <c r="Y1" s="212" t="s">
        <v>263</v>
      </c>
      <c r="Z1" s="210" t="s">
        <v>574</v>
      </c>
      <c r="AA1" s="211" t="s">
        <v>574</v>
      </c>
      <c r="AB1" s="209" t="s">
        <v>574</v>
      </c>
      <c r="AC1" s="209" t="s">
        <v>574</v>
      </c>
      <c r="AD1" s="213" t="s">
        <v>574</v>
      </c>
      <c r="AE1" s="210" t="s">
        <v>646</v>
      </c>
      <c r="AF1" s="214" t="s">
        <v>646</v>
      </c>
      <c r="AG1" s="209" t="s">
        <v>646</v>
      </c>
      <c r="AH1" s="215" t="s">
        <v>646</v>
      </c>
      <c r="AI1" s="216" t="s">
        <v>646</v>
      </c>
      <c r="AJ1" s="217" t="s">
        <v>709</v>
      </c>
      <c r="AK1" s="218"/>
    </row>
    <row r="2" spans="1:39"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3" t="s">
        <v>707</v>
      </c>
      <c r="AK2" s="145" t="s">
        <v>708</v>
      </c>
      <c r="AL2" s="16" t="s">
        <v>597</v>
      </c>
      <c r="AM2" s="16" t="s">
        <v>530</v>
      </c>
    </row>
    <row r="3" spans="1:39"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4</v>
      </c>
      <c r="AK3" s="10">
        <v>678</v>
      </c>
      <c r="AL3" s="10">
        <v>124</v>
      </c>
      <c r="AM3" s="10">
        <v>3464</v>
      </c>
    </row>
    <row r="4" spans="1:39"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6</v>
      </c>
      <c r="AK4" s="10">
        <v>890</v>
      </c>
      <c r="AL4" s="10">
        <v>125</v>
      </c>
      <c r="AM4" s="10">
        <v>3464</v>
      </c>
    </row>
    <row r="5" spans="1:39"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9"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9"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9">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9">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9">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5">
    <mergeCell ref="I1:U1"/>
    <mergeCell ref="V1:Y1"/>
    <mergeCell ref="Z1:AD1"/>
    <mergeCell ref="AE1:AI1"/>
    <mergeCell ref="AJ1:AK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A106" s="10" t="s">
        <v>164</v>
      </c>
      <c r="B106" s="168" t="s">
        <v>51</v>
      </c>
      <c r="C106" s="168" t="s">
        <v>49</v>
      </c>
      <c r="D106" s="168" t="s">
        <v>48</v>
      </c>
      <c r="E106" s="168" t="s">
        <v>50</v>
      </c>
      <c r="F106" s="10" t="s">
        <v>726</v>
      </c>
      <c r="G106" s="10"/>
      <c r="H106" s="10" t="s">
        <v>727</v>
      </c>
      <c r="I106" s="27"/>
      <c r="J106" s="10" t="b">
        <v>1</v>
      </c>
      <c r="K106" s="10"/>
    </row>
    <row r="107" spans="1:12">
      <c r="A107" s="10" t="s">
        <v>164</v>
      </c>
      <c r="B107" s="168" t="s">
        <v>51</v>
      </c>
      <c r="C107" s="168" t="s">
        <v>49</v>
      </c>
      <c r="D107" s="168" t="s">
        <v>48</v>
      </c>
      <c r="E107" s="168" t="s">
        <v>50</v>
      </c>
      <c r="F107" s="10" t="s">
        <v>726</v>
      </c>
      <c r="G107" s="10"/>
      <c r="H107" s="10" t="s">
        <v>728</v>
      </c>
      <c r="I107" s="27"/>
      <c r="J107" s="10" t="b">
        <v>1</v>
      </c>
      <c r="K107" s="10"/>
    </row>
    <row r="108" spans="1:12">
      <c r="A108" s="10" t="s">
        <v>164</v>
      </c>
      <c r="B108" s="168" t="s">
        <v>51</v>
      </c>
      <c r="C108" s="168" t="s">
        <v>49</v>
      </c>
      <c r="D108" s="168" t="s">
        <v>48</v>
      </c>
      <c r="E108" s="168" t="s">
        <v>50</v>
      </c>
      <c r="F108" s="10" t="s">
        <v>726</v>
      </c>
      <c r="G108" s="10"/>
      <c r="H108" s="10" t="s">
        <v>729</v>
      </c>
      <c r="I108" s="27"/>
      <c r="J108" s="10" t="b">
        <v>1</v>
      </c>
      <c r="K108" s="10"/>
    </row>
    <row r="109" spans="1:12">
      <c r="A109" s="10" t="s">
        <v>164</v>
      </c>
      <c r="B109" s="168" t="s">
        <v>51</v>
      </c>
      <c r="C109" s="168" t="s">
        <v>49</v>
      </c>
      <c r="D109" s="168" t="s">
        <v>48</v>
      </c>
      <c r="E109" s="168" t="s">
        <v>50</v>
      </c>
      <c r="F109" s="10" t="s">
        <v>726</v>
      </c>
      <c r="G109" s="10"/>
      <c r="H109" s="10" t="s">
        <v>730</v>
      </c>
      <c r="I109" s="27"/>
      <c r="J109" s="10" t="b">
        <v>1</v>
      </c>
      <c r="K109" s="10"/>
    </row>
    <row r="110" spans="1:12">
      <c r="A110" s="10" t="s">
        <v>164</v>
      </c>
      <c r="B110" s="168" t="s">
        <v>51</v>
      </c>
      <c r="C110" s="168" t="s">
        <v>49</v>
      </c>
      <c r="D110" s="168" t="s">
        <v>48</v>
      </c>
      <c r="E110" s="168" t="s">
        <v>50</v>
      </c>
      <c r="F110" s="10" t="s">
        <v>726</v>
      </c>
      <c r="G110" s="10"/>
      <c r="H110" s="10" t="s">
        <v>727</v>
      </c>
      <c r="I110" s="27"/>
      <c r="J110" s="10" t="b">
        <v>1</v>
      </c>
      <c r="K110" s="10"/>
    </row>
    <row r="111" spans="1:12">
      <c r="A111" s="10" t="s">
        <v>164</v>
      </c>
      <c r="B111" s="168" t="s">
        <v>51</v>
      </c>
      <c r="C111" s="168" t="s">
        <v>49</v>
      </c>
      <c r="D111" s="168" t="s">
        <v>48</v>
      </c>
      <c r="E111" s="168" t="s">
        <v>50</v>
      </c>
      <c r="F111" s="10" t="s">
        <v>726</v>
      </c>
      <c r="G111" s="10"/>
      <c r="H111" s="10" t="s">
        <v>731</v>
      </c>
      <c r="I111" s="27"/>
      <c r="J111" s="10" t="b">
        <v>1</v>
      </c>
      <c r="K111" s="10"/>
    </row>
    <row r="112" spans="1:12">
      <c r="A112" s="10" t="s">
        <v>164</v>
      </c>
      <c r="B112" s="168" t="s">
        <v>51</v>
      </c>
      <c r="C112" s="168" t="s">
        <v>49</v>
      </c>
      <c r="D112" s="168" t="s">
        <v>48</v>
      </c>
      <c r="E112" s="168" t="s">
        <v>50</v>
      </c>
      <c r="F112" s="10" t="s">
        <v>726</v>
      </c>
      <c r="G112" s="10"/>
      <c r="H112" s="10" t="s">
        <v>727</v>
      </c>
      <c r="I112" s="27"/>
      <c r="J112" s="10" t="b">
        <v>1</v>
      </c>
      <c r="K112" s="10"/>
    </row>
    <row r="113" spans="1:11">
      <c r="A113" s="10" t="s">
        <v>164</v>
      </c>
      <c r="B113" s="168" t="s">
        <v>51</v>
      </c>
      <c r="C113" s="168" t="s">
        <v>49</v>
      </c>
      <c r="D113" s="168" t="s">
        <v>48</v>
      </c>
      <c r="E113" s="168" t="s">
        <v>50</v>
      </c>
      <c r="F113" s="10" t="s">
        <v>726</v>
      </c>
      <c r="G113" s="10"/>
      <c r="H113" s="10" t="s">
        <v>732</v>
      </c>
      <c r="I113" s="27"/>
      <c r="J113" s="10" t="b">
        <v>1</v>
      </c>
      <c r="K113" s="10"/>
    </row>
    <row r="114" spans="1:11">
      <c r="A114" s="10" t="s">
        <v>164</v>
      </c>
      <c r="B114" s="168" t="s">
        <v>51</v>
      </c>
      <c r="C114" s="168" t="s">
        <v>49</v>
      </c>
      <c r="D114" s="168" t="s">
        <v>48</v>
      </c>
      <c r="E114" s="168" t="s">
        <v>50</v>
      </c>
      <c r="F114" s="10" t="s">
        <v>726</v>
      </c>
      <c r="G114" s="10"/>
      <c r="H114" s="10" t="s">
        <v>733</v>
      </c>
      <c r="I114" s="27"/>
      <c r="J114" s="10" t="b">
        <v>1</v>
      </c>
      <c r="K114" s="10"/>
    </row>
    <row r="115" spans="1:11">
      <c r="B115" s="10"/>
      <c r="C115" s="10"/>
      <c r="D115" s="10"/>
      <c r="E115" s="10"/>
      <c r="F115" s="10"/>
      <c r="G115" s="10"/>
      <c r="H115" s="10"/>
      <c r="I115" s="88"/>
      <c r="J115" s="11"/>
      <c r="K115" s="10"/>
    </row>
    <row r="116" spans="1:11">
      <c r="B116" s="10"/>
      <c r="C116" s="10"/>
      <c r="D116" s="10"/>
      <c r="E116" s="10"/>
      <c r="F116" s="10"/>
      <c r="G116" s="10"/>
      <c r="H116" s="10"/>
      <c r="I116" s="88"/>
      <c r="J116" s="11"/>
      <c r="K116" s="10"/>
    </row>
    <row r="117" spans="1:11">
      <c r="B117" s="10"/>
      <c r="C117" s="10"/>
      <c r="D117" s="10"/>
      <c r="E117" s="10"/>
      <c r="F117" s="10"/>
      <c r="G117" s="10"/>
      <c r="H117" s="10"/>
      <c r="I117" s="88"/>
      <c r="J117" s="11"/>
      <c r="K117" s="10"/>
    </row>
    <row r="118" spans="1:11">
      <c r="B118" s="10"/>
      <c r="C118" s="10"/>
      <c r="D118" s="10"/>
      <c r="E118" s="10"/>
      <c r="F118" s="10"/>
      <c r="G118" s="10"/>
      <c r="H118" s="10"/>
      <c r="I118" s="88"/>
      <c r="J118" s="11"/>
      <c r="K118" s="10"/>
    </row>
    <row r="119" spans="1:11">
      <c r="B119" s="10"/>
      <c r="C119" s="10"/>
      <c r="D119" s="10"/>
      <c r="E119" s="10"/>
      <c r="F119" s="10"/>
      <c r="G119" s="10"/>
      <c r="H119" s="10"/>
      <c r="I119" s="88"/>
      <c r="J119" s="11"/>
      <c r="K119" s="10"/>
    </row>
    <row r="120" spans="1:11">
      <c r="B120" s="10"/>
      <c r="C120" s="10"/>
      <c r="D120" s="10"/>
      <c r="E120" s="10"/>
      <c r="F120" s="10"/>
      <c r="G120" s="10"/>
      <c r="H120" s="10"/>
      <c r="I120" s="88"/>
      <c r="J120" s="11"/>
      <c r="K120" s="10"/>
    </row>
    <row r="121" spans="1:11">
      <c r="B121" s="10"/>
      <c r="C121" s="10"/>
      <c r="D121" s="10"/>
      <c r="E121" s="10"/>
      <c r="F121" s="10"/>
      <c r="G121" s="10"/>
      <c r="H121" s="10"/>
      <c r="I121" s="88"/>
      <c r="J121" s="11"/>
      <c r="K121" s="10"/>
    </row>
    <row r="122" spans="1:11">
      <c r="B122" s="10"/>
      <c r="C122" s="10"/>
      <c r="D122" s="10"/>
      <c r="E122" s="10"/>
      <c r="F122" s="10"/>
      <c r="G122" s="10"/>
      <c r="H122" s="10"/>
      <c r="I122" s="88"/>
      <c r="J122" s="11"/>
      <c r="K122" s="10"/>
    </row>
    <row r="123" spans="1:11">
      <c r="B123" s="10"/>
      <c r="C123" s="10"/>
      <c r="D123" s="10"/>
      <c r="E123" s="10"/>
      <c r="F123" s="10"/>
      <c r="G123" s="10"/>
      <c r="H123" s="10"/>
      <c r="I123" s="88"/>
      <c r="J123" s="11"/>
      <c r="K123" s="10"/>
    </row>
    <row r="124" spans="1:11">
      <c r="B124" s="10"/>
      <c r="C124" s="10"/>
      <c r="D124" s="10"/>
      <c r="E124" s="10"/>
      <c r="F124" s="10"/>
      <c r="G124" s="10"/>
      <c r="H124" s="10"/>
      <c r="I124" s="88"/>
      <c r="J124" s="11"/>
      <c r="K124" s="10"/>
    </row>
    <row r="125" spans="1:11">
      <c r="B125" s="10"/>
      <c r="C125" s="10"/>
      <c r="D125" s="10"/>
      <c r="E125" s="10"/>
      <c r="F125" s="10"/>
      <c r="G125" s="10"/>
      <c r="H125" s="10"/>
      <c r="I125" s="88"/>
      <c r="J125" s="11"/>
      <c r="K125" s="10"/>
    </row>
    <row r="126" spans="1:11">
      <c r="B126" s="10"/>
      <c r="C126" s="10"/>
      <c r="D126" s="10"/>
      <c r="E126" s="10"/>
      <c r="F126" s="10"/>
      <c r="G126" s="10"/>
      <c r="H126" s="10"/>
      <c r="I126" s="88"/>
      <c r="J126" s="11"/>
      <c r="K126" s="10"/>
    </row>
    <row r="127" spans="1:11">
      <c r="B127" s="10"/>
      <c r="C127" s="10"/>
      <c r="D127" s="10"/>
      <c r="E127" s="10"/>
      <c r="F127" s="10"/>
      <c r="G127" s="10"/>
      <c r="H127" s="10"/>
      <c r="I127" s="88"/>
      <c r="J127" s="11"/>
      <c r="K127" s="10"/>
    </row>
    <row r="128" spans="1: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row r="171" spans="1:17">
      <c r="A171" s="10" t="s">
        <v>155</v>
      </c>
      <c r="B171" s="10" t="s">
        <v>51</v>
      </c>
      <c r="C171" s="10" t="s">
        <v>49</v>
      </c>
      <c r="D171" t="s">
        <v>703</v>
      </c>
      <c r="K171" s="5">
        <v>8345</v>
      </c>
      <c r="L171" s="11">
        <v>3</v>
      </c>
    </row>
    <row r="172" spans="1:17">
      <c r="A172" s="10" t="s">
        <v>155</v>
      </c>
      <c r="B172" s="10" t="s">
        <v>51</v>
      </c>
      <c r="C172" s="10" t="s">
        <v>49</v>
      </c>
      <c r="D172" t="s">
        <v>704</v>
      </c>
      <c r="K172" s="11">
        <v>345</v>
      </c>
      <c r="L172" s="11">
        <v>3</v>
      </c>
    </row>
    <row r="173" spans="1:17">
      <c r="A173" s="10" t="s">
        <v>155</v>
      </c>
      <c r="B173" s="10" t="s">
        <v>51</v>
      </c>
      <c r="C173" s="10" t="s">
        <v>49</v>
      </c>
      <c r="D173" t="s">
        <v>705</v>
      </c>
      <c r="K173" s="11">
        <v>4567</v>
      </c>
      <c r="L173" s="11">
        <v>3</v>
      </c>
    </row>
    <row r="174" spans="1:17">
      <c r="A174" s="10" t="s">
        <v>155</v>
      </c>
      <c r="B174" s="10" t="s">
        <v>51</v>
      </c>
      <c r="C174" s="10" t="s">
        <v>49</v>
      </c>
      <c r="D174" t="s">
        <v>706</v>
      </c>
      <c r="K174" s="11">
        <v>34</v>
      </c>
      <c r="L174" s="11">
        <v>4</v>
      </c>
    </row>
    <row r="175" spans="1:17">
      <c r="A175" s="10" t="s">
        <v>155</v>
      </c>
      <c r="B175" s="10" t="s">
        <v>51</v>
      </c>
      <c r="C175" s="10" t="s">
        <v>49</v>
      </c>
      <c r="D175" t="s">
        <v>714</v>
      </c>
      <c r="K175" s="5">
        <v>7890</v>
      </c>
      <c r="L175" s="11">
        <v>4</v>
      </c>
    </row>
    <row r="176" spans="1:17">
      <c r="A176" s="10" t="s">
        <v>155</v>
      </c>
      <c r="B176" s="10" t="s">
        <v>51</v>
      </c>
      <c r="C176" s="10" t="s">
        <v>49</v>
      </c>
      <c r="D176" t="s">
        <v>715</v>
      </c>
      <c r="K176" s="11">
        <v>234</v>
      </c>
      <c r="L176" s="11">
        <v>4</v>
      </c>
    </row>
    <row r="177" spans="1:12">
      <c r="A177" s="10" t="s">
        <v>155</v>
      </c>
      <c r="B177" s="10" t="s">
        <v>51</v>
      </c>
      <c r="C177" s="10" t="s">
        <v>49</v>
      </c>
      <c r="D177" t="s">
        <v>716</v>
      </c>
      <c r="K177" s="11">
        <v>3456</v>
      </c>
      <c r="L177" s="11">
        <v>4</v>
      </c>
    </row>
    <row r="178" spans="1:12">
      <c r="A178" s="10" t="s">
        <v>155</v>
      </c>
      <c r="B178" s="10" t="s">
        <v>51</v>
      </c>
      <c r="C178" s="10" t="s">
        <v>49</v>
      </c>
      <c r="D178" t="s">
        <v>717</v>
      </c>
      <c r="K178" s="11">
        <v>45</v>
      </c>
      <c r="L178" s="11">
        <v>4</v>
      </c>
    </row>
  </sheetData>
  <autoFilter ref="A1:M170"/>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47</vt:i4>
      </vt:variant>
    </vt:vector>
  </HeadingPairs>
  <TitlesOfParts>
    <vt:vector size="47" baseType="lpstr">
      <vt:lpstr>Global Filters</vt:lpstr>
      <vt:lpstr>OS-Machine Info</vt:lpstr>
      <vt:lpstr>Node Information</vt:lpstr>
      <vt:lpstr>Ring Token Ranges</vt:lpstr>
      <vt:lpstr>Settings-Yamls</vt:lpstr>
      <vt:lpstr>DDL Keyspaces</vt:lpstr>
      <vt:lpstr>DDL Tables</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2017-03-21T17:50:44Z</dcterms:modified>
</cp:coreProperties>
</file>