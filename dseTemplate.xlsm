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168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Cassandra Summary Logs" sheetId="39" r:id="rId43"/>
    <sheet name="Solr" sheetId="54" r:id="rId44"/>
    <sheet name="Solr by Node" sheetId="55" r:id="rId45"/>
    <sheet name="Application" sheetId="27" r:id="rId46"/>
    <sheet name="--Marker--" sheetId="42" r:id="rId47"/>
    <sheet name="Read Repair History" sheetId="49" r:id="rId48"/>
    <sheet name="CFStats" sheetId="4" r:id="rId49"/>
    <sheet name="NodeStats" sheetId="16" r:id="rId50"/>
    <sheet name="TableHistogram" sheetId="32" r:id="rId51"/>
  </sheets>
  <functionGroups builtInGroupCount="18"/>
  <definedNames>
    <definedName name="_xlnm._FilterDatabase" localSheetId="42" hidden="1">'Cassandra Summary Logs'!$A$2:$H$2</definedName>
    <definedName name="_xlnm._FilterDatabase" localSheetId="48" hidden="1">CFStats!$A$1:$K$61</definedName>
    <definedName name="_xlnm._FilterDatabase" localSheetId="5" hidden="1">'DDL Keyspaces'!$A$1:$E$1</definedName>
    <definedName name="_xlnm._FilterDatabase" localSheetId="49" hidden="1">NodeStats!$A$1:$M$170</definedName>
    <definedName name="_xlnm._FilterDatabase" localSheetId="4" hidden="1">'Settings-Yamls'!$A$1:$E$1</definedName>
    <definedName name="_xlnm._FilterDatabase" localSheetId="50"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64" r:id="rId52"/>
    <pivotCache cacheId="65" r:id="rId53"/>
    <pivotCache cacheId="66" r:id="rId54"/>
    <pivotCache cacheId="67" r:id="rId55"/>
    <pivotCache cacheId="68" r:id="rId56"/>
    <pivotCache cacheId="70" r:id="rId57"/>
    <pivotCache cacheId="80" r:id="rId58"/>
  </pivotCaches>
  <extLst>
    <ext xmlns:x14="http://schemas.microsoft.com/office/spreadsheetml/2009/9/main" uri="{BBE1A952-AA13-448e-AADC-164F8A28A991}">
      <x14:slicerCaches>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<sst xmlns="http://schemas.openxmlformats.org/spreadsheetml/2006/main" count="5005" uniqueCount="796">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</sst>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3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97">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alignment wrapText="1" readingOrder="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numFmt numFmtId="3" formatCode="#,##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3" formatCode="#,##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numFmt numFmtId="1" formatCode="0"/>
    </dxf>
    <dxf>
      <numFmt numFmtId="1" formatCode="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5.xml"/><Relationship Id="rId68" Type="http://schemas.microsoft.com/office/2007/relationships/slicerCache" Target="slicerCaches/slicerCache10.xml"/><Relationship Id="rId84" Type="http://schemas.openxmlformats.org/officeDocument/2006/relationships/styles" Target="style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2.xml"/><Relationship Id="rId58" Type="http://schemas.openxmlformats.org/officeDocument/2006/relationships/pivotCacheDefinition" Target="pivotCache/pivotCacheDefinition7.xml"/><Relationship Id="rId74" Type="http://schemas.microsoft.com/office/2007/relationships/slicerCache" Target="slicerCaches/slicerCache16.xml"/><Relationship Id="rId79" Type="http://schemas.microsoft.com/office/2007/relationships/slicerCache" Target="slicerCaches/slicerCache2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07/relationships/slicerCache" Target="slicerCaches/slicerCache6.xml"/><Relationship Id="rId69" Type="http://schemas.microsoft.com/office/2007/relationships/slicerCache" Target="slicerCaches/slicerCache11.xml"/><Relationship Id="rId77" Type="http://schemas.microsoft.com/office/2007/relationships/slicerCache" Target="slicerCaches/slicerCache19.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4.xml"/><Relationship Id="rId80" Type="http://schemas.microsoft.com/office/2007/relationships/slicerCache" Target="slicerCaches/slicerCache22.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1.xml"/><Relationship Id="rId67" Type="http://schemas.microsoft.com/office/2007/relationships/slicerCache" Target="slicerCaches/slicerCache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microsoft.com/office/2007/relationships/slicerCache" Target="slicerCaches/slicerCache4.xml"/><Relationship Id="rId70" Type="http://schemas.microsoft.com/office/2007/relationships/slicerCache" Target="slicerCaches/slicerCache12.xml"/><Relationship Id="rId75" Type="http://schemas.microsoft.com/office/2007/relationships/slicerCache" Target="slicerCaches/slicerCache17.xml"/><Relationship Id="rId83"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microsoft.com/office/2007/relationships/slicerCache" Target="slicerCaches/slicerCache2.xml"/><Relationship Id="rId65" Type="http://schemas.microsoft.com/office/2007/relationships/slicerCache" Target="slicerCaches/slicerCache7.xml"/><Relationship Id="rId73" Type="http://schemas.microsoft.com/office/2007/relationships/slicerCache" Target="slicerCaches/slicerCache15.xml"/><Relationship Id="rId78" Type="http://schemas.microsoft.com/office/2007/relationships/slicerCache" Target="slicerCaches/slicerCache20.xml"/><Relationship Id="rId81" Type="http://schemas.microsoft.com/office/2007/relationships/slicerCache" Target="slicerCaches/slicerCache23.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76" Type="http://schemas.microsoft.com/office/2007/relationships/slicerCache" Target="slicerCaches/slicerCache18.xml"/><Relationship Id="rId7" Type="http://schemas.openxmlformats.org/officeDocument/2006/relationships/worksheet" Target="worksheets/sheet7.xml"/><Relationship Id="rId71" Type="http://schemas.microsoft.com/office/2007/relationships/slicerCache" Target="slicerCaches/slicerCache1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8.xml"/><Relationship Id="rId87" Type="http://schemas.microsoft.com/office/2006/relationships/vbaProject" Target="vbaProject.bin"/><Relationship Id="rId61" Type="http://schemas.microsoft.com/office/2007/relationships/slicerCache" Target="slicerCaches/slicerCache3.xml"/><Relationship Id="rId82" Type="http://schemas.microsoft.com/office/2007/relationships/slicerCache" Target="slicerCaches/slicerCache2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 hier="-1"/>
  </pageFields>
  <dataFields count="3">
    <dataField name="Max Latency (ms)" fld="6" subtotal="max" baseField="3" baseItem="19"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CntMax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LatencyMax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2"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TPReadNbr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96">
      <pivotArea dataOnly="0" labelOnly="1" outline="0" axis="axisValues" fieldPosition="0"/>
    </format>
    <format dxfId="49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4" hier="-1"/>
  </pageFields>
  <dataFields count="3">
    <dataField name="Max Latency (ms)" fld="6" subtotal="max" baseField="4"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NbrbyNode" cacheId="6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CntMaxin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LocalWriteLatency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4"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MaxTombStonesSlice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Avg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Max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NbrTombStonesWarning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AvgNbr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SlowQueryOccurrence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9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94">
      <pivotArea collapsedLevelsAreSubtotals="1" fieldPosition="0">
        <references count="2">
          <reference field="4294967294" count="1" selected="0">
            <x v="0"/>
          </reference>
          <reference field="2" count="1">
            <x v="0"/>
          </reference>
        </references>
      </pivotArea>
    </format>
    <format dxfId="49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91">
      <pivotArea field="3" type="button" dataOnly="0" labelOnly="1" outline="0" axis="axisRow" fieldPosition="1"/>
    </format>
    <format dxfId="490">
      <pivotArea dataOnly="0" labelOnly="1" outline="0" fieldPosition="0">
        <references count="1">
          <reference field="4294967294" count="8">
            <x v="0"/>
            <x v="1"/>
            <x v="2"/>
            <x v="4"/>
            <x v="6"/>
            <x v="11"/>
            <x v="14"/>
            <x v="15"/>
          </reference>
        </references>
      </pivotArea>
    </format>
    <format dxfId="489">
      <pivotArea outline="0" fieldPosition="0">
        <references count="1">
          <reference field="4294967294" count="1">
            <x v="7"/>
          </reference>
        </references>
      </pivotArea>
    </format>
    <format dxfId="488">
      <pivotArea dataOnly="0" labelOnly="1" outline="0" fieldPosition="0">
        <references count="1">
          <reference field="4294967294" count="1">
            <x v="7"/>
          </reference>
        </references>
      </pivotArea>
    </format>
    <format dxfId="487">
      <pivotArea outline="0" fieldPosition="0">
        <references count="1">
          <reference field="4294967294" count="1">
            <x v="3"/>
          </reference>
        </references>
      </pivotArea>
    </format>
    <format dxfId="486">
      <pivotArea outline="0" fieldPosition="0">
        <references count="1">
          <reference field="4294967294" count="1">
            <x v="8"/>
          </reference>
        </references>
      </pivotArea>
    </format>
    <format dxfId="485">
      <pivotArea outline="0" fieldPosition="0">
        <references count="1">
          <reference field="4294967294" count="1">
            <x v="9"/>
          </reference>
        </references>
      </pivotArea>
    </format>
    <format dxfId="484">
      <pivotArea outline="0" fieldPosition="0">
        <references count="1">
          <reference field="4294967294" count="1">
            <x v="10"/>
          </reference>
        </references>
      </pivotArea>
    </format>
    <format dxfId="483">
      <pivotArea outline="0" fieldPosition="0">
        <references count="1">
          <reference field="4294967294" count="1">
            <x v="13"/>
          </reference>
        </references>
      </pivotArea>
    </format>
    <format dxfId="482">
      <pivotArea outline="0" fieldPosition="0">
        <references count="1">
          <reference field="4294967294" count="1">
            <x v="5"/>
          </reference>
        </references>
      </pivotArea>
    </format>
    <format dxfId="481">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Max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Nbr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80">
      <pivotArea field="3" type="button" dataOnly="0" labelOnly="1" outline="0" axis="axisRow" fieldPosition="0"/>
    </format>
    <format dxfId="479">
      <pivotArea dataOnly="0" labelOnly="1" outline="0" fieldPosition="0">
        <references count="1">
          <reference field="4294967294" count="8">
            <x v="0"/>
            <x v="1"/>
            <x v="2"/>
            <x v="4"/>
            <x v="6"/>
            <x v="10"/>
            <x v="13"/>
            <x v="14"/>
          </reference>
        </references>
      </pivotArea>
    </format>
    <format dxfId="478">
      <pivotArea outline="0" fieldPosition="0">
        <references count="1">
          <reference field="4294967294" count="1">
            <x v="5"/>
          </reference>
        </references>
      </pivotArea>
    </format>
    <format dxfId="477">
      <pivotArea outline="0" fieldPosition="0">
        <references count="1">
          <reference field="4294967294" count="1">
            <x v="7"/>
          </reference>
        </references>
      </pivotArea>
    </format>
    <format dxfId="476">
      <pivotArea dataOnly="0" labelOnly="1" outline="0" fieldPosition="0">
        <references count="1">
          <reference field="4294967294" count="1">
            <x v="7"/>
          </reference>
        </references>
      </pivotArea>
    </format>
    <format dxfId="475">
      <pivotArea dataOnly="0" labelOnly="1" outline="0" fieldPosition="0">
        <references count="1">
          <reference field="4294967294" count="1">
            <x v="5"/>
          </reference>
        </references>
      </pivotArea>
    </format>
    <format dxfId="474">
      <pivotArea outline="0" fieldPosition="0">
        <references count="1">
          <reference field="4294967294" count="1">
            <x v="3"/>
          </reference>
        </references>
      </pivotArea>
    </format>
    <format dxfId="473">
      <pivotArea outline="0" fieldPosition="0">
        <references count="1">
          <reference field="4294967294" count="1">
            <x v="9"/>
          </reference>
        </references>
      </pivotArea>
    </format>
    <format dxfId="472">
      <pivotArea outline="0" fieldPosition="0">
        <references count="1">
          <reference field="4294967294" count="1">
            <x v="12"/>
          </reference>
        </references>
      </pivotArea>
    </format>
    <format dxfId="471">
      <pivotArea outline="0" fieldPosition="0">
        <references count="1">
          <reference field="4294967294" count="1">
            <x v="8"/>
          </reference>
        </references>
      </pivotArea>
    </format>
    <format dxfId="470">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Max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DigestQryNbr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459">
      <pivotArea dataOnly="0" labelOnly="1" outline="0" axis="axisValues" fieldPosition="0"/>
    </format>
    <format dxfId="458">
      <pivotArea dataOnly="0" outline="0" axis="axisValues" fieldPosition="0"/>
    </format>
    <format dxfId="4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46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46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63">
      <pivotArea dataOnly="0" labelOnly="1" outline="0" fieldPosition="0">
        <references count="1">
          <reference field="4294967294" count="1">
            <x v="0"/>
          </reference>
        </references>
      </pivotArea>
    </format>
    <format dxfId="46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65">
      <pivotArea dataOnly="0" labelOnly="1" outline="0" fieldPosition="0">
        <references count="1">
          <reference field="4294967294" count="1">
            <x v="0"/>
          </reference>
        </references>
      </pivotArea>
    </format>
    <format dxfId="46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67">
      <pivotArea dataOnly="0" labelOnly="1" outline="0" fieldPosition="0">
        <references count="1">
          <reference field="4294967294" count="1">
            <x v="1"/>
          </reference>
        </references>
      </pivotArea>
    </format>
    <format dxfId="46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469">
      <pivotArea dataOnly="0" labelOnly="1" outline="0" fieldPosition="0">
        <references count="1">
          <reference field="4294967294" count="1">
            <x v="0"/>
          </reference>
        </references>
      </pivotArea>
    </format>
    <format dxfId="46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444">
      <pivotArea dataOnly="0" labelOnly="1" outline="0" fieldPosition="0">
        <references count="1">
          <reference field="4294967294" count="1">
            <x v="0"/>
          </reference>
        </references>
      </pivotArea>
    </format>
    <format dxfId="44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46">
      <pivotArea dataOnly="0" labelOnly="1" outline="0" fieldPosition="0">
        <references count="1">
          <reference field="4294967294" count="1">
            <x v="1"/>
          </reference>
        </references>
      </pivotArea>
    </format>
    <format dxfId="44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48">
      <pivotArea dataOnly="0" labelOnly="1" outline="0" fieldPosition="0">
        <references count="1">
          <reference field="4294967294" count="1">
            <x v="0"/>
          </reference>
        </references>
      </pivotArea>
    </format>
    <format dxfId="4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52">
      <pivotArea dataOnly="0" labelOnly="1" outline="0" axis="axisValues" fieldPosition="0"/>
    </format>
    <format dxfId="451">
      <pivotArea dataOnly="0" outline="0" axis="axisValues" fieldPosition="0"/>
    </format>
    <format dxfId="4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454">
      <pivotArea dataOnly="0" labelOnly="1" outline="0" fieldPosition="0">
        <references count="1">
          <reference field="4294967294" count="1">
            <x v="0"/>
          </reference>
        </references>
      </pivotArea>
    </format>
    <format dxfId="4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456">
      <pivotArea dataOnly="0" labelOnly="1" outline="0" fieldPosition="0">
        <references count="1">
          <reference field="4294967294" count="1">
            <x v="1"/>
          </reference>
        </references>
      </pivotArea>
    </format>
    <format dxfId="45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436">
      <pivotArea collapsedLevelsAreSubtotals="1" fieldPosition="0">
        <references count="1">
          <reference field="4" count="1">
            <x v="1"/>
          </reference>
        </references>
      </pivotArea>
    </format>
    <format dxfId="4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439">
      <pivotArea dataOnly="0" labelOnly="1" outline="0" axis="axisValues" fieldPosition="0"/>
    </format>
    <format dxfId="438">
      <pivotArea collapsedLevelsAreSubtotals="1" fieldPosition="0">
        <references count="1">
          <reference field="4" count="1">
            <x v="1"/>
          </reference>
        </references>
      </pivotArea>
    </format>
    <format dxfId="4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442">
      <pivotArea dataOnly="0" labelOnly="1" outline="0" axis="axisValues" fieldPosition="0"/>
    </format>
    <format dxfId="441">
      <pivotArea collapsedLevelsAreSubtotals="1" fieldPosition="0">
        <references count="1">
          <reference field="4" count="1">
            <x v="1"/>
          </reference>
        </references>
      </pivotArea>
    </format>
    <format dxfId="44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434">
      <pivotArea collapsedLevelsAreSubtotals="1" fieldPosition="0">
        <references count="1">
          <reference field="4" count="1">
            <x v="1"/>
          </reference>
        </references>
      </pivotArea>
    </format>
    <format dxfId="4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L8:AP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G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W8:B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7"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43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9">
      <pivotArea dataOnly="0" labelOnly="1" outline="0" fieldPosition="0">
        <references count="1">
          <reference field="4294967294" count="1">
            <x v="0"/>
          </reference>
        </references>
      </pivotArea>
    </format>
    <format dxfId="42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31">
      <pivotArea dataOnly="0" labelOnly="1" outline="0" fieldPosition="0">
        <references count="1">
          <reference field="4294967294" count="1">
            <x v="0"/>
          </reference>
        </references>
      </pivotArea>
    </format>
    <format dxfId="43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420">
      <pivotArea dataOnly="0" labelOnly="1" outline="0" axis="axisValues" fieldPosition="0"/>
    </format>
    <format dxfId="419">
      <pivotArea dataOnly="0" outline="0" axis="axisValues" fieldPosition="0"/>
    </format>
    <format dxfId="4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422">
      <pivotArea dataOnly="0" labelOnly="1" outline="0" axis="axisValues" fieldPosition="0"/>
    </format>
    <format dxfId="4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424">
      <pivotArea dataOnly="0" labelOnly="1" outline="0" axis="axisValues" fieldPosition="0"/>
    </format>
    <format dxfId="4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427">
      <pivotArea dataOnly="0" labelOnly="1" outline="0" axis="axisValues" fieldPosition="0"/>
    </format>
    <format dxfId="426">
      <pivotArea dataOnly="0" outline="0" axis="axisValues" fieldPosition="0"/>
    </format>
    <format dxfId="4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99">
      <pivotArea dataOnly="0" labelOnly="1" outline="0" fieldPosition="0">
        <references count="1">
          <reference field="4294967294" count="3">
            <x v="3"/>
            <x v="4"/>
            <x v="5"/>
          </reference>
        </references>
      </pivotArea>
    </format>
    <format dxfId="398">
      <pivotArea dataOnly="0" labelOnly="1" outline="0" fieldPosition="0">
        <references count="1">
          <reference field="4294967294" count="3">
            <x v="9"/>
            <x v="10"/>
            <x v="11"/>
          </reference>
        </references>
      </pivotArea>
    </format>
    <format dxfId="397">
      <pivotArea dataOnly="0" labelOnly="1" outline="0" fieldPosition="0">
        <references count="1">
          <reference field="4294967294" count="3">
            <x v="15"/>
            <x v="16"/>
            <x v="17"/>
          </reference>
        </references>
      </pivotArea>
    </format>
    <format dxfId="396">
      <pivotArea field="4" type="button" dataOnly="0" labelOnly="1" outline="0" axis="axisPage" fieldPosition="2"/>
    </format>
    <format dxfId="395">
      <pivotArea dataOnly="0" labelOnly="1" fieldPosition="0">
        <references count="1">
          <reference field="4" count="1">
            <x v="0"/>
          </reference>
        </references>
      </pivotArea>
    </format>
    <format dxfId="394">
      <pivotArea dataOnly="0" labelOnly="1" outline="0" fieldPosition="0">
        <references count="1">
          <reference field="4294967294" count="1">
            <x v="0"/>
          </reference>
        </references>
      </pivotArea>
    </format>
    <format dxfId="393">
      <pivotArea field="4" type="button" dataOnly="0" labelOnly="1" outline="0" axis="axisPage" fieldPosition="2"/>
    </format>
    <format dxfId="392">
      <pivotArea field="2" type="button" dataOnly="0" labelOnly="1" outline="0" axis="axisRow" fieldPosition="0"/>
    </format>
    <format dxfId="391">
      <pivotArea dataOnly="0" labelOnly="1" fieldPosition="0">
        <references count="1">
          <reference field="2" count="1">
            <x v="0"/>
          </reference>
        </references>
      </pivotArea>
    </format>
    <format dxfId="390">
      <pivotArea dataOnly="0" labelOnly="1" grandRow="1" outline="0" fieldPosition="0"/>
    </format>
    <format dxfId="389">
      <pivotArea outline="0" collapsedLevelsAreSubtotals="1" fieldPosition="0">
        <references count="1">
          <reference field="4294967294" count="1" selected="0">
            <x v="3"/>
          </reference>
        </references>
      </pivotArea>
    </format>
    <format dxfId="388">
      <pivotArea dataOnly="0" labelOnly="1" outline="0" fieldPosition="0">
        <references count="1">
          <reference field="4294967294" count="1">
            <x v="3"/>
          </reference>
        </references>
      </pivotArea>
    </format>
    <format dxfId="387">
      <pivotArea outline="0" collapsedLevelsAreSubtotals="1" fieldPosition="0">
        <references count="1">
          <reference field="4294967294" count="1" selected="0">
            <x v="6"/>
          </reference>
        </references>
      </pivotArea>
    </format>
    <format dxfId="386">
      <pivotArea dataOnly="0" labelOnly="1" outline="0" fieldPosition="0">
        <references count="1">
          <reference field="4294967294" count="1">
            <x v="6"/>
          </reference>
        </references>
      </pivotArea>
    </format>
    <format dxfId="385">
      <pivotArea outline="0" collapsedLevelsAreSubtotals="1" fieldPosition="0">
        <references count="1">
          <reference field="4294967294" count="1" selected="0">
            <x v="9"/>
          </reference>
        </references>
      </pivotArea>
    </format>
    <format dxfId="384">
      <pivotArea dataOnly="0" labelOnly="1" outline="0" fieldPosition="0">
        <references count="1">
          <reference field="4294967294" count="1">
            <x v="9"/>
          </reference>
        </references>
      </pivotArea>
    </format>
    <format dxfId="383">
      <pivotArea outline="0" collapsedLevelsAreSubtotals="1" fieldPosition="0">
        <references count="1">
          <reference field="4294967294" count="1" selected="0">
            <x v="12"/>
          </reference>
        </references>
      </pivotArea>
    </format>
    <format dxfId="382">
      <pivotArea dataOnly="0" labelOnly="1" outline="0" fieldPosition="0">
        <references count="1">
          <reference field="4294967294" count="1">
            <x v="12"/>
          </reference>
        </references>
      </pivotArea>
    </format>
    <format dxfId="381">
      <pivotArea outline="0" collapsedLevelsAreSubtotals="1" fieldPosition="0">
        <references count="1">
          <reference field="4294967294" count="1" selected="0">
            <x v="15"/>
          </reference>
        </references>
      </pivotArea>
    </format>
    <format dxfId="380">
      <pivotArea dataOnly="0" labelOnly="1" outline="0" fieldPosition="0">
        <references count="1">
          <reference field="4294967294" count="1">
            <x v="15"/>
          </reference>
        </references>
      </pivotArea>
    </format>
    <format dxfId="379">
      <pivotArea outline="0" collapsedLevelsAreSubtotals="1" fieldPosition="0">
        <references count="1">
          <reference field="4294967294" count="1" selected="0">
            <x v="17"/>
          </reference>
        </references>
      </pivotArea>
    </format>
    <format dxfId="37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417">
      <pivotArea outline="0" collapsedLevelsAreSubtotals="1" fieldPosition="0">
        <references count="1">
          <reference field="4294967294" count="1" selected="0">
            <x v="3"/>
          </reference>
        </references>
      </pivotArea>
    </format>
    <format dxfId="416">
      <pivotArea dataOnly="0" labelOnly="1" outline="0" fieldPosition="0">
        <references count="1">
          <reference field="4294967294" count="1">
            <x v="3"/>
          </reference>
        </references>
      </pivotArea>
    </format>
    <format dxfId="415">
      <pivotArea outline="0" collapsedLevelsAreSubtotals="1" fieldPosition="0">
        <references count="1">
          <reference field="4294967294" count="1" selected="0">
            <x v="6"/>
          </reference>
        </references>
      </pivotArea>
    </format>
    <format dxfId="414">
      <pivotArea dataOnly="0" labelOnly="1" outline="0" fieldPosition="0">
        <references count="1">
          <reference field="4294967294" count="1">
            <x v="6"/>
          </reference>
        </references>
      </pivotArea>
    </format>
    <format dxfId="413">
      <pivotArea outline="0" collapsedLevelsAreSubtotals="1" fieldPosition="0">
        <references count="1">
          <reference field="4294967294" count="1" selected="0">
            <x v="9"/>
          </reference>
        </references>
      </pivotArea>
    </format>
    <format dxfId="412">
      <pivotArea dataOnly="0" labelOnly="1" outline="0" fieldPosition="0">
        <references count="1">
          <reference field="4294967294" count="1">
            <x v="9"/>
          </reference>
        </references>
      </pivotArea>
    </format>
    <format dxfId="411">
      <pivotArea outline="0" collapsedLevelsAreSubtotals="1" fieldPosition="0">
        <references count="1">
          <reference field="4294967294" count="1" selected="0">
            <x v="12"/>
          </reference>
        </references>
      </pivotArea>
    </format>
    <format dxfId="410">
      <pivotArea dataOnly="0" labelOnly="1" outline="0" fieldPosition="0">
        <references count="1">
          <reference field="4294967294" count="1">
            <x v="12"/>
          </reference>
        </references>
      </pivotArea>
    </format>
    <format dxfId="409">
      <pivotArea outline="0" collapsedLevelsAreSubtotals="1" fieldPosition="0">
        <references count="1">
          <reference field="4294967294" count="1" selected="0">
            <x v="15"/>
          </reference>
        </references>
      </pivotArea>
    </format>
    <format dxfId="408">
      <pivotArea dataOnly="0" labelOnly="1" outline="0" fieldPosition="0">
        <references count="1">
          <reference field="4294967294" count="1">
            <x v="15"/>
          </reference>
        </references>
      </pivotArea>
    </format>
    <format dxfId="407">
      <pivotArea dataOnly="0" labelOnly="1" outline="0" fieldPosition="0">
        <references count="1">
          <reference field="4294967294" count="3">
            <x v="3"/>
            <x v="4"/>
            <x v="5"/>
          </reference>
        </references>
      </pivotArea>
    </format>
    <format dxfId="406">
      <pivotArea dataOnly="0" labelOnly="1" outline="0" fieldPosition="0">
        <references count="1">
          <reference field="4294967294" count="3">
            <x v="9"/>
            <x v="10"/>
            <x v="11"/>
          </reference>
        </references>
      </pivotArea>
    </format>
    <format dxfId="405">
      <pivotArea dataOnly="0" labelOnly="1" outline="0" fieldPosition="0">
        <references count="1">
          <reference field="4294967294" count="3">
            <x v="15"/>
            <x v="16"/>
            <x v="17"/>
          </reference>
        </references>
      </pivotArea>
    </format>
    <format dxfId="404">
      <pivotArea field="4" type="button" dataOnly="0" labelOnly="1" outline="0" axis="axisRow" fieldPosition="1"/>
    </format>
    <format dxfId="403">
      <pivotArea dataOnly="0" labelOnly="1" fieldPosition="0">
        <references count="1">
          <reference field="4" count="1">
            <x v="0"/>
          </reference>
        </references>
      </pivotArea>
    </format>
    <format dxfId="402">
      <pivotArea dataOnly="0" labelOnly="1" grandRow="1" outline="0" fieldPosition="0"/>
    </format>
    <format dxfId="401">
      <pivotArea dataOnly="0" labelOnly="1" outline="0" fieldPosition="0">
        <references count="1">
          <reference field="4294967294" count="1">
            <x v="0"/>
          </reference>
        </references>
      </pivotArea>
    </format>
    <format dxfId="40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37">
      <pivotArea outline="0" collapsedLevelsAreSubtotals="1" fieldPosition="0">
        <references count="1">
          <reference field="4294967294" count="1" selected="0">
            <x v="3"/>
          </reference>
        </references>
      </pivotArea>
    </format>
    <format dxfId="336">
      <pivotArea dataOnly="0" labelOnly="1" outline="0" fieldPosition="0">
        <references count="1">
          <reference field="4294967294" count="1">
            <x v="3"/>
          </reference>
        </references>
      </pivotArea>
    </format>
    <format dxfId="335">
      <pivotArea outline="0" collapsedLevelsAreSubtotals="1" fieldPosition="0">
        <references count="1">
          <reference field="4294967294" count="1" selected="0">
            <x v="6"/>
          </reference>
        </references>
      </pivotArea>
    </format>
    <format dxfId="334">
      <pivotArea dataOnly="0" labelOnly="1" outline="0" fieldPosition="0">
        <references count="1">
          <reference field="4294967294" count="1">
            <x v="6"/>
          </reference>
        </references>
      </pivotArea>
    </format>
    <format dxfId="333">
      <pivotArea outline="0" collapsedLevelsAreSubtotals="1" fieldPosition="0">
        <references count="1">
          <reference field="4294967294" count="1" selected="0">
            <x v="9"/>
          </reference>
        </references>
      </pivotArea>
    </format>
    <format dxfId="332">
      <pivotArea dataOnly="0" labelOnly="1" outline="0" fieldPosition="0">
        <references count="1">
          <reference field="4294967294" count="1">
            <x v="9"/>
          </reference>
        </references>
      </pivotArea>
    </format>
    <format dxfId="331">
      <pivotArea outline="0" collapsedLevelsAreSubtotals="1" fieldPosition="0">
        <references count="1">
          <reference field="4294967294" count="1" selected="0">
            <x v="12"/>
          </reference>
        </references>
      </pivotArea>
    </format>
    <format dxfId="330">
      <pivotArea dataOnly="0" labelOnly="1" outline="0" fieldPosition="0">
        <references count="1">
          <reference field="4294967294" count="1">
            <x v="12"/>
          </reference>
        </references>
      </pivotArea>
    </format>
    <format dxfId="329">
      <pivotArea outline="0" collapsedLevelsAreSubtotals="1" fieldPosition="0">
        <references count="1">
          <reference field="4294967294" count="1" selected="0">
            <x v="15"/>
          </reference>
        </references>
      </pivotArea>
    </format>
    <format dxfId="328">
      <pivotArea dataOnly="0" labelOnly="1" outline="0" fieldPosition="0">
        <references count="1">
          <reference field="4294967294" count="1">
            <x v="15"/>
          </reference>
        </references>
      </pivotArea>
    </format>
    <format dxfId="327">
      <pivotArea dataOnly="0" labelOnly="1" outline="0" fieldPosition="0">
        <references count="1">
          <reference field="4294967294" count="3">
            <x v="3"/>
            <x v="4"/>
            <x v="5"/>
          </reference>
        </references>
      </pivotArea>
    </format>
    <format dxfId="326">
      <pivotArea dataOnly="0" labelOnly="1" outline="0" fieldPosition="0">
        <references count="1">
          <reference field="4294967294" count="3">
            <x v="9"/>
            <x v="10"/>
            <x v="11"/>
          </reference>
        </references>
      </pivotArea>
    </format>
    <format dxfId="325">
      <pivotArea dataOnly="0" labelOnly="1" outline="0" fieldPosition="0">
        <references count="1">
          <reference field="4294967294" count="3">
            <x v="15"/>
            <x v="16"/>
            <x v="17"/>
          </reference>
        </references>
      </pivotArea>
    </format>
    <format dxfId="324">
      <pivotArea field="4" type="button" dataOnly="0" labelOnly="1" outline="0" axis="axisRow" fieldPosition="1"/>
    </format>
    <format dxfId="323">
      <pivotArea dataOnly="0" labelOnly="1" fieldPosition="0">
        <references count="1">
          <reference field="4" count="1">
            <x v="0"/>
          </reference>
        </references>
      </pivotArea>
    </format>
    <format dxfId="322">
      <pivotArea dataOnly="0" labelOnly="1" grandRow="1" outline="0" fieldPosition="0"/>
    </format>
    <format dxfId="321">
      <pivotArea dataOnly="0" labelOnly="1" outline="0" fieldPosition="0">
        <references count="1">
          <reference field="4294967294" count="1">
            <x v="0"/>
          </reference>
        </references>
      </pivotArea>
    </format>
    <format dxfId="320">
      <pivotArea field="4" type="button" dataOnly="0" labelOnly="1" outline="0" axis="axisRow" fieldPosition="1"/>
    </format>
    <format dxfId="319">
      <pivotArea outline="0" fieldPosition="0">
        <references count="1">
          <reference field="4294967294" count="1">
            <x v="0"/>
          </reference>
        </references>
      </pivotArea>
    </format>
    <format dxfId="318">
      <pivotArea outline="0" fieldPosition="0">
        <references count="1">
          <reference field="4294967294" count="1">
            <x v="1"/>
          </reference>
        </references>
      </pivotArea>
    </format>
    <format dxfId="317">
      <pivotArea outline="0" fieldPosition="0">
        <references count="1">
          <reference field="4294967294" count="1">
            <x v="2"/>
          </reference>
        </references>
      </pivotArea>
    </format>
    <format dxfId="316">
      <pivotArea outline="0" fieldPosition="0">
        <references count="1">
          <reference field="4294967294" count="1">
            <x v="3"/>
          </reference>
        </references>
      </pivotArea>
    </format>
    <format dxfId="315">
      <pivotArea outline="0" fieldPosition="0">
        <references count="1">
          <reference field="4294967294" count="1">
            <x v="4"/>
          </reference>
        </references>
      </pivotArea>
    </format>
    <format dxfId="314">
      <pivotArea outline="0" fieldPosition="0">
        <references count="1">
          <reference field="4294967294" count="1">
            <x v="5"/>
          </reference>
        </references>
      </pivotArea>
    </format>
    <format dxfId="313">
      <pivotArea outline="0" fieldPosition="0">
        <references count="1">
          <reference field="4294967294" count="1">
            <x v="6"/>
          </reference>
        </references>
      </pivotArea>
    </format>
    <format dxfId="312">
      <pivotArea outline="0" fieldPosition="0">
        <references count="1">
          <reference field="4294967294" count="1">
            <x v="7"/>
          </reference>
        </references>
      </pivotArea>
    </format>
    <format dxfId="311">
      <pivotArea outline="0" fieldPosition="0">
        <references count="1">
          <reference field="4294967294" count="1">
            <x v="8"/>
          </reference>
        </references>
      </pivotArea>
    </format>
    <format dxfId="310">
      <pivotArea outline="0" fieldPosition="0">
        <references count="1">
          <reference field="4294967294" count="1">
            <x v="9"/>
          </reference>
        </references>
      </pivotArea>
    </format>
    <format dxfId="309">
      <pivotArea outline="0" fieldPosition="0">
        <references count="1">
          <reference field="4294967294" count="1">
            <x v="10"/>
          </reference>
        </references>
      </pivotArea>
    </format>
    <format dxfId="308">
      <pivotArea outline="0" fieldPosition="0">
        <references count="1">
          <reference field="4294967294" count="1">
            <x v="11"/>
          </reference>
        </references>
      </pivotArea>
    </format>
    <format dxfId="307">
      <pivotArea outline="0" fieldPosition="0">
        <references count="1">
          <reference field="4294967294" count="1">
            <x v="12"/>
          </reference>
        </references>
      </pivotArea>
    </format>
    <format dxfId="306">
      <pivotArea outline="0" fieldPosition="0">
        <references count="1">
          <reference field="4294967294" count="1">
            <x v="13"/>
          </reference>
        </references>
      </pivotArea>
    </format>
    <format dxfId="305">
      <pivotArea outline="0" fieldPosition="0">
        <references count="1">
          <reference field="4294967294" count="1">
            <x v="14"/>
          </reference>
        </references>
      </pivotArea>
    </format>
    <format dxfId="304">
      <pivotArea outline="0" fieldPosition="0">
        <references count="1">
          <reference field="4294967294" count="1">
            <x v="15"/>
          </reference>
        </references>
      </pivotArea>
    </format>
    <format dxfId="303">
      <pivotArea outline="0" fieldPosition="0">
        <references count="1">
          <reference field="4294967294" count="1">
            <x v="16"/>
          </reference>
        </references>
      </pivotArea>
    </format>
    <format dxfId="30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77">
      <pivotArea dataOnly="0" labelOnly="1" outline="0" fieldPosition="0">
        <references count="1">
          <reference field="4294967294" count="3">
            <x v="3"/>
            <x v="4"/>
            <x v="5"/>
          </reference>
        </references>
      </pivotArea>
    </format>
    <format dxfId="376">
      <pivotArea dataOnly="0" labelOnly="1" outline="0" fieldPosition="0">
        <references count="1">
          <reference field="4294967294" count="3">
            <x v="9"/>
            <x v="10"/>
            <x v="11"/>
          </reference>
        </references>
      </pivotArea>
    </format>
    <format dxfId="375">
      <pivotArea dataOnly="0" labelOnly="1" outline="0" fieldPosition="0">
        <references count="1">
          <reference field="4294967294" count="3">
            <x v="15"/>
            <x v="16"/>
            <x v="17"/>
          </reference>
        </references>
      </pivotArea>
    </format>
    <format dxfId="374">
      <pivotArea field="4" type="button" dataOnly="0" labelOnly="1" outline="0" axis="axisPage" fieldPosition="2"/>
    </format>
    <format dxfId="373">
      <pivotArea dataOnly="0" labelOnly="1" fieldPosition="0">
        <references count="1">
          <reference field="4" count="1">
            <x v="0"/>
          </reference>
        </references>
      </pivotArea>
    </format>
    <format dxfId="372">
      <pivotArea dataOnly="0" labelOnly="1" outline="0" fieldPosition="0">
        <references count="1">
          <reference field="4294967294" count="1">
            <x v="0"/>
          </reference>
        </references>
      </pivotArea>
    </format>
    <format dxfId="371">
      <pivotArea field="4" type="button" dataOnly="0" labelOnly="1" outline="0" axis="axisPage" fieldPosition="2"/>
    </format>
    <format dxfId="370">
      <pivotArea field="2" type="button" dataOnly="0" labelOnly="1" outline="0" axis="axisRow" fieldPosition="0"/>
    </format>
    <format dxfId="369">
      <pivotArea dataOnly="0" labelOnly="1" fieldPosition="0">
        <references count="1">
          <reference field="2" count="1">
            <x v="0"/>
          </reference>
        </references>
      </pivotArea>
    </format>
    <format dxfId="368">
      <pivotArea dataOnly="0" labelOnly="1" grandRow="1" outline="0" fieldPosition="0"/>
    </format>
    <format dxfId="367">
      <pivotArea outline="0" collapsedLevelsAreSubtotals="1" fieldPosition="0">
        <references count="1">
          <reference field="4294967294" count="1" selected="0">
            <x v="3"/>
          </reference>
        </references>
      </pivotArea>
    </format>
    <format dxfId="366">
      <pivotArea dataOnly="0" labelOnly="1" outline="0" fieldPosition="0">
        <references count="1">
          <reference field="4294967294" count="1">
            <x v="3"/>
          </reference>
        </references>
      </pivotArea>
    </format>
    <format dxfId="365">
      <pivotArea outline="0" collapsedLevelsAreSubtotals="1" fieldPosition="0">
        <references count="1">
          <reference field="4294967294" count="1" selected="0">
            <x v="6"/>
          </reference>
        </references>
      </pivotArea>
    </format>
    <format dxfId="364">
      <pivotArea dataOnly="0" labelOnly="1" outline="0" fieldPosition="0">
        <references count="1">
          <reference field="4294967294" count="1">
            <x v="6"/>
          </reference>
        </references>
      </pivotArea>
    </format>
    <format dxfId="363">
      <pivotArea outline="0" collapsedLevelsAreSubtotals="1" fieldPosition="0">
        <references count="1">
          <reference field="4294967294" count="1" selected="0">
            <x v="9"/>
          </reference>
        </references>
      </pivotArea>
    </format>
    <format dxfId="362">
      <pivotArea dataOnly="0" labelOnly="1" outline="0" fieldPosition="0">
        <references count="1">
          <reference field="4294967294" count="1">
            <x v="9"/>
          </reference>
        </references>
      </pivotArea>
    </format>
    <format dxfId="361">
      <pivotArea outline="0" collapsedLevelsAreSubtotals="1" fieldPosition="0">
        <references count="1">
          <reference field="4294967294" count="1" selected="0">
            <x v="12"/>
          </reference>
        </references>
      </pivotArea>
    </format>
    <format dxfId="360">
      <pivotArea dataOnly="0" labelOnly="1" outline="0" fieldPosition="0">
        <references count="1">
          <reference field="4294967294" count="1">
            <x v="12"/>
          </reference>
        </references>
      </pivotArea>
    </format>
    <format dxfId="359">
      <pivotArea outline="0" collapsedLevelsAreSubtotals="1" fieldPosition="0">
        <references count="1">
          <reference field="4294967294" count="1" selected="0">
            <x v="15"/>
          </reference>
        </references>
      </pivotArea>
    </format>
    <format dxfId="358">
      <pivotArea dataOnly="0" labelOnly="1" outline="0" fieldPosition="0">
        <references count="1">
          <reference field="4294967294" count="1">
            <x v="15"/>
          </reference>
        </references>
      </pivotArea>
    </format>
    <format dxfId="357">
      <pivotArea outline="0" collapsedLevelsAreSubtotals="1" fieldPosition="0">
        <references count="1">
          <reference field="4294967294" count="1" selected="0">
            <x v="17"/>
          </reference>
        </references>
      </pivotArea>
    </format>
    <format dxfId="356">
      <pivotArea dataOnly="0" labelOnly="1" outline="0" fieldPosition="0">
        <references count="1">
          <reference field="4294967294" count="1">
            <x v="17"/>
          </reference>
        </references>
      </pivotArea>
    </format>
    <format dxfId="355">
      <pivotArea outline="0" fieldPosition="0">
        <references count="1">
          <reference field="4294967294" count="1">
            <x v="0"/>
          </reference>
        </references>
      </pivotArea>
    </format>
    <format dxfId="354">
      <pivotArea outline="0" fieldPosition="0">
        <references count="1">
          <reference field="4294967294" count="1">
            <x v="1"/>
          </reference>
        </references>
      </pivotArea>
    </format>
    <format dxfId="353">
      <pivotArea outline="0" fieldPosition="0">
        <references count="1">
          <reference field="4294967294" count="1">
            <x v="2"/>
          </reference>
        </references>
      </pivotArea>
    </format>
    <format dxfId="352">
      <pivotArea outline="0" fieldPosition="0">
        <references count="1">
          <reference field="4294967294" count="1">
            <x v="3"/>
          </reference>
        </references>
      </pivotArea>
    </format>
    <format dxfId="351">
      <pivotArea outline="0" fieldPosition="0">
        <references count="1">
          <reference field="4294967294" count="1">
            <x v="4"/>
          </reference>
        </references>
      </pivotArea>
    </format>
    <format dxfId="350">
      <pivotArea outline="0" fieldPosition="0">
        <references count="1">
          <reference field="4294967294" count="1">
            <x v="5"/>
          </reference>
        </references>
      </pivotArea>
    </format>
    <format dxfId="349">
      <pivotArea outline="0" fieldPosition="0">
        <references count="1">
          <reference field="4294967294" count="1">
            <x v="6"/>
          </reference>
        </references>
      </pivotArea>
    </format>
    <format dxfId="348">
      <pivotArea outline="0" fieldPosition="0">
        <references count="1">
          <reference field="4294967294" count="1">
            <x v="7"/>
          </reference>
        </references>
      </pivotArea>
    </format>
    <format dxfId="347">
      <pivotArea outline="0" fieldPosition="0">
        <references count="1">
          <reference field="4294967294" count="1">
            <x v="8"/>
          </reference>
        </references>
      </pivotArea>
    </format>
    <format dxfId="346">
      <pivotArea outline="0" fieldPosition="0">
        <references count="1">
          <reference field="4294967294" count="1">
            <x v="9"/>
          </reference>
        </references>
      </pivotArea>
    </format>
    <format dxfId="345">
      <pivotArea outline="0" fieldPosition="0">
        <references count="1">
          <reference field="4294967294" count="1">
            <x v="10"/>
          </reference>
        </references>
      </pivotArea>
    </format>
    <format dxfId="344">
      <pivotArea outline="0" fieldPosition="0">
        <references count="1">
          <reference field="4294967294" count="1">
            <x v="11"/>
          </reference>
        </references>
      </pivotArea>
    </format>
    <format dxfId="343">
      <pivotArea outline="0" fieldPosition="0">
        <references count="1">
          <reference field="4294967294" count="1">
            <x v="12"/>
          </reference>
        </references>
      </pivotArea>
    </format>
    <format dxfId="342">
      <pivotArea outline="0" fieldPosition="0">
        <references count="1">
          <reference field="4294967294" count="1">
            <x v="13"/>
          </reference>
        </references>
      </pivotArea>
    </format>
    <format dxfId="341">
      <pivotArea outline="0" fieldPosition="0">
        <references count="1">
          <reference field="4294967294" count="1">
            <x v="14"/>
          </reference>
        </references>
      </pivotArea>
    </format>
    <format dxfId="340">
      <pivotArea outline="0" fieldPosition="0">
        <references count="1">
          <reference field="4294967294" count="1">
            <x v="15"/>
          </reference>
        </references>
      </pivotArea>
    </format>
    <format dxfId="339">
      <pivotArea outline="0" fieldPosition="0">
        <references count="1">
          <reference field="4294967294" count="1">
            <x v="16"/>
          </reference>
        </references>
      </pivotArea>
    </format>
    <format dxfId="33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79">
      <pivotArea outline="0" collapsedLevelsAreSubtotals="1" fieldPosition="0">
        <references count="1">
          <reference field="4294967294" count="1" selected="0">
            <x v="3"/>
          </reference>
        </references>
      </pivotArea>
    </format>
    <format dxfId="278">
      <pivotArea dataOnly="0" labelOnly="1" outline="0" fieldPosition="0">
        <references count="1">
          <reference field="4294967294" count="1">
            <x v="3"/>
          </reference>
        </references>
      </pivotArea>
    </format>
    <format dxfId="277">
      <pivotArea outline="0" collapsedLevelsAreSubtotals="1" fieldPosition="0">
        <references count="1">
          <reference field="4294967294" count="1" selected="0">
            <x v="6"/>
          </reference>
        </references>
      </pivotArea>
    </format>
    <format dxfId="276">
      <pivotArea dataOnly="0" labelOnly="1" outline="0" fieldPosition="0">
        <references count="1">
          <reference field="4294967294" count="1">
            <x v="6"/>
          </reference>
        </references>
      </pivotArea>
    </format>
    <format dxfId="275">
      <pivotArea outline="0" collapsedLevelsAreSubtotals="1" fieldPosition="0">
        <references count="1">
          <reference field="4294967294" count="1" selected="0">
            <x v="9"/>
          </reference>
        </references>
      </pivotArea>
    </format>
    <format dxfId="274">
      <pivotArea dataOnly="0" labelOnly="1" outline="0" fieldPosition="0">
        <references count="1">
          <reference field="4294967294" count="1">
            <x v="9"/>
          </reference>
        </references>
      </pivotArea>
    </format>
    <format dxfId="273">
      <pivotArea outline="0" collapsedLevelsAreSubtotals="1" fieldPosition="0">
        <references count="1">
          <reference field="4294967294" count="1" selected="0">
            <x v="12"/>
          </reference>
        </references>
      </pivotArea>
    </format>
    <format dxfId="272">
      <pivotArea dataOnly="0" labelOnly="1" outline="0" fieldPosition="0">
        <references count="1">
          <reference field="4294967294" count="1">
            <x v="12"/>
          </reference>
        </references>
      </pivotArea>
    </format>
    <format dxfId="271">
      <pivotArea outline="0" collapsedLevelsAreSubtotals="1" fieldPosition="0">
        <references count="1">
          <reference field="4294967294" count="1" selected="0">
            <x v="15"/>
          </reference>
        </references>
      </pivotArea>
    </format>
    <format dxfId="270">
      <pivotArea dataOnly="0" labelOnly="1" outline="0" fieldPosition="0">
        <references count="1">
          <reference field="4294967294" count="1">
            <x v="15"/>
          </reference>
        </references>
      </pivotArea>
    </format>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Row" fieldPosition="1"/>
    </format>
    <format dxfId="265">
      <pivotArea dataOnly="0" labelOnly="1" fieldPosition="0">
        <references count="1">
          <reference field="4" count="1">
            <x v="0"/>
          </reference>
        </references>
      </pivotArea>
    </format>
    <format dxfId="264">
      <pivotArea dataOnly="0" labelOnly="1" grandRow="1" outline="0" fieldPosition="0"/>
    </format>
    <format dxfId="263">
      <pivotArea dataOnly="0" labelOnly="1" outline="0" fieldPosition="0">
        <references count="1">
          <reference field="4294967294" count="1">
            <x v="0"/>
          </reference>
        </references>
      </pivotArea>
    </format>
    <format dxfId="26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1">
      <pivotArea dataOnly="0" labelOnly="1" outline="0" fieldPosition="0">
        <references count="1">
          <reference field="4294967294" count="3">
            <x v="3"/>
            <x v="4"/>
            <x v="5"/>
          </reference>
        </references>
      </pivotArea>
    </format>
    <format dxfId="300">
      <pivotArea dataOnly="0" labelOnly="1" outline="0" fieldPosition="0">
        <references count="1">
          <reference field="4294967294" count="3">
            <x v="9"/>
            <x v="10"/>
            <x v="11"/>
          </reference>
        </references>
      </pivotArea>
    </format>
    <format dxfId="299">
      <pivotArea dataOnly="0" labelOnly="1" outline="0" fieldPosition="0">
        <references count="1">
          <reference field="4294967294" count="3">
            <x v="15"/>
            <x v="16"/>
            <x v="17"/>
          </reference>
        </references>
      </pivotArea>
    </format>
    <format dxfId="298">
      <pivotArea field="4" type="button" dataOnly="0" labelOnly="1" outline="0" axis="axisPage" fieldPosition="2"/>
    </format>
    <format dxfId="297">
      <pivotArea dataOnly="0" labelOnly="1" fieldPosition="0">
        <references count="1">
          <reference field="4" count="1">
            <x v="0"/>
          </reference>
        </references>
      </pivotArea>
    </format>
    <format dxfId="296">
      <pivotArea dataOnly="0" labelOnly="1" outline="0" fieldPosition="0">
        <references count="1">
          <reference field="4294967294" count="1">
            <x v="0"/>
          </reference>
        </references>
      </pivotArea>
    </format>
    <format dxfId="295">
      <pivotArea field="4" type="button" dataOnly="0" labelOnly="1" outline="0" axis="axisPage" fieldPosition="2"/>
    </format>
    <format dxfId="294">
      <pivotArea field="2" type="button" dataOnly="0" labelOnly="1" outline="0" axis="axisRow" fieldPosition="0"/>
    </format>
    <format dxfId="293">
      <pivotArea dataOnly="0" labelOnly="1" fieldPosition="0">
        <references count="1">
          <reference field="2" count="1">
            <x v="0"/>
          </reference>
        </references>
      </pivotArea>
    </format>
    <format dxfId="292">
      <pivotArea dataOnly="0" labelOnly="1" grandRow="1" outline="0" fieldPosition="0"/>
    </format>
    <format dxfId="291">
      <pivotArea outline="0" collapsedLevelsAreSubtotals="1" fieldPosition="0">
        <references count="1">
          <reference field="4294967294" count="1" selected="0">
            <x v="3"/>
          </reference>
        </references>
      </pivotArea>
    </format>
    <format dxfId="290">
      <pivotArea dataOnly="0" labelOnly="1" outline="0" fieldPosition="0">
        <references count="1">
          <reference field="4294967294" count="1">
            <x v="3"/>
          </reference>
        </references>
      </pivotArea>
    </format>
    <format dxfId="289">
      <pivotArea outline="0" collapsedLevelsAreSubtotals="1" fieldPosition="0">
        <references count="1">
          <reference field="4294967294" count="1" selected="0">
            <x v="6"/>
          </reference>
        </references>
      </pivotArea>
    </format>
    <format dxfId="288">
      <pivotArea dataOnly="0" labelOnly="1" outline="0" fieldPosition="0">
        <references count="1">
          <reference field="4294967294" count="1">
            <x v="6"/>
          </reference>
        </references>
      </pivotArea>
    </format>
    <format dxfId="287">
      <pivotArea outline="0" collapsedLevelsAreSubtotals="1" fieldPosition="0">
        <references count="1">
          <reference field="4294967294" count="1" selected="0">
            <x v="9"/>
          </reference>
        </references>
      </pivotArea>
    </format>
    <format dxfId="286">
      <pivotArea dataOnly="0" labelOnly="1" outline="0" fieldPosition="0">
        <references count="1">
          <reference field="4294967294" count="1">
            <x v="9"/>
          </reference>
        </references>
      </pivotArea>
    </format>
    <format dxfId="285">
      <pivotArea outline="0" collapsedLevelsAreSubtotals="1" fieldPosition="0">
        <references count="1">
          <reference field="4294967294" count="1" selected="0">
            <x v="12"/>
          </reference>
        </references>
      </pivotArea>
    </format>
    <format dxfId="284">
      <pivotArea dataOnly="0" labelOnly="1" outline="0" fieldPosition="0">
        <references count="1">
          <reference field="4294967294" count="1">
            <x v="12"/>
          </reference>
        </references>
      </pivotArea>
    </format>
    <format dxfId="283">
      <pivotArea outline="0" collapsedLevelsAreSubtotals="1" fieldPosition="0">
        <references count="1">
          <reference field="4294967294" count="1" selected="0">
            <x v="15"/>
          </reference>
        </references>
      </pivotArea>
    </format>
    <format dxfId="282">
      <pivotArea dataOnly="0" labelOnly="1" outline="0" fieldPosition="0">
        <references count="1">
          <reference field="4294967294" count="1">
            <x v="15"/>
          </reference>
        </references>
      </pivotArea>
    </format>
    <format dxfId="281">
      <pivotArea outline="0" collapsedLevelsAreSubtotals="1" fieldPosition="0">
        <references count="1">
          <reference field="4294967294" count="1" selected="0">
            <x v="17"/>
          </reference>
        </references>
      </pivotArea>
    </format>
    <format dxfId="28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25">
      <pivotArea dataOnly="0" labelOnly="1" outline="0" fieldPosition="0">
        <references count="1">
          <reference field="4294967294" count="3">
            <x v="3"/>
            <x v="4"/>
            <x v="5"/>
          </reference>
        </references>
      </pivotArea>
    </format>
    <format dxfId="224">
      <pivotArea dataOnly="0" labelOnly="1" outline="0" fieldPosition="0">
        <references count="1">
          <reference field="4294967294" count="3">
            <x v="9"/>
            <x v="10"/>
            <x v="11"/>
          </reference>
        </references>
      </pivotArea>
    </format>
    <format dxfId="223">
      <pivotArea dataOnly="0" labelOnly="1" outline="0" fieldPosition="0">
        <references count="1">
          <reference field="4294967294" count="3">
            <x v="15"/>
            <x v="16"/>
            <x v="17"/>
          </reference>
        </references>
      </pivotArea>
    </format>
    <format dxfId="222">
      <pivotArea field="4" type="button" dataOnly="0" labelOnly="1" outline="0" axis="axisPage" fieldPosition="2"/>
    </format>
    <format dxfId="221">
      <pivotArea dataOnly="0" labelOnly="1" fieldPosition="0">
        <references count="1">
          <reference field="4" count="1">
            <x v="0"/>
          </reference>
        </references>
      </pivotArea>
    </format>
    <format dxfId="220">
      <pivotArea dataOnly="0" labelOnly="1" outline="0" fieldPosition="0">
        <references count="1">
          <reference field="4294967294" count="1">
            <x v="0"/>
          </reference>
        </references>
      </pivotArea>
    </format>
    <format dxfId="219">
      <pivotArea field="4" type="button" dataOnly="0" labelOnly="1" outline="0" axis="axisPage" fieldPosition="2"/>
    </format>
    <format dxfId="218">
      <pivotArea field="2" type="button" dataOnly="0" labelOnly="1" outline="0" axis="axisRow" fieldPosition="0"/>
    </format>
    <format dxfId="217">
      <pivotArea dataOnly="0" labelOnly="1" fieldPosition="0">
        <references count="1">
          <reference field="2" count="1">
            <x v="0"/>
          </reference>
        </references>
      </pivotArea>
    </format>
    <format dxfId="216">
      <pivotArea dataOnly="0" labelOnly="1" grandRow="1" outline="0" fieldPosition="0"/>
    </format>
    <format dxfId="215">
      <pivotArea outline="0" collapsedLevelsAreSubtotals="1" fieldPosition="0">
        <references count="1">
          <reference field="4294967294" count="1" selected="0">
            <x v="3"/>
          </reference>
        </references>
      </pivotArea>
    </format>
    <format dxfId="214">
      <pivotArea dataOnly="0" labelOnly="1" outline="0" fieldPosition="0">
        <references count="1">
          <reference field="4294967294" count="1">
            <x v="3"/>
          </reference>
        </references>
      </pivotArea>
    </format>
    <format dxfId="213">
      <pivotArea outline="0" collapsedLevelsAreSubtotals="1" fieldPosition="0">
        <references count="1">
          <reference field="4294967294" count="1" selected="0">
            <x v="6"/>
          </reference>
        </references>
      </pivotArea>
    </format>
    <format dxfId="212">
      <pivotArea dataOnly="0" labelOnly="1" outline="0" fieldPosition="0">
        <references count="1">
          <reference field="4294967294" count="1">
            <x v="6"/>
          </reference>
        </references>
      </pivotArea>
    </format>
    <format dxfId="211">
      <pivotArea outline="0" collapsedLevelsAreSubtotals="1" fieldPosition="0">
        <references count="1">
          <reference field="4294967294" count="1" selected="0">
            <x v="9"/>
          </reference>
        </references>
      </pivotArea>
    </format>
    <format dxfId="210">
      <pivotArea dataOnly="0" labelOnly="1" outline="0" fieldPosition="0">
        <references count="1">
          <reference field="4294967294" count="1">
            <x v="9"/>
          </reference>
        </references>
      </pivotArea>
    </format>
    <format dxfId="209">
      <pivotArea outline="0" collapsedLevelsAreSubtotals="1" fieldPosition="0">
        <references count="1">
          <reference field="4294967294" count="1" selected="0">
            <x v="12"/>
          </reference>
        </references>
      </pivotArea>
    </format>
    <format dxfId="208">
      <pivotArea dataOnly="0" labelOnly="1" outline="0" fieldPosition="0">
        <references count="1">
          <reference field="4294967294" count="1">
            <x v="12"/>
          </reference>
        </references>
      </pivotArea>
    </format>
    <format dxfId="207">
      <pivotArea outline="0" collapsedLevelsAreSubtotals="1" fieldPosition="0">
        <references count="1">
          <reference field="4294967294" count="1" selected="0">
            <x v="15"/>
          </reference>
        </references>
      </pivotArea>
    </format>
    <format dxfId="206">
      <pivotArea dataOnly="0" labelOnly="1" outline="0" fieldPosition="0">
        <references count="1">
          <reference field="4294967294" count="1">
            <x v="15"/>
          </reference>
        </references>
      </pivotArea>
    </format>
    <format dxfId="205">
      <pivotArea outline="0" collapsedLevelsAreSubtotals="1" fieldPosition="0">
        <references count="1">
          <reference field="4294967294" count="1" selected="0">
            <x v="17"/>
          </reference>
        </references>
      </pivotArea>
    </format>
    <format dxfId="204">
      <pivotArea dataOnly="0" labelOnly="1" outline="0" fieldPosition="0">
        <references count="1">
          <reference field="4294967294" count="1">
            <x v="17"/>
          </reference>
        </references>
      </pivotArea>
    </format>
    <format dxfId="203">
      <pivotArea outline="0" fieldPosition="0">
        <references count="1">
          <reference field="4294967294" count="1">
            <x v="0"/>
          </reference>
        </references>
      </pivotArea>
    </format>
    <format dxfId="202">
      <pivotArea outline="0" fieldPosition="0">
        <references count="1">
          <reference field="4294967294" count="1">
            <x v="1"/>
          </reference>
        </references>
      </pivotArea>
    </format>
    <format dxfId="201">
      <pivotArea outline="0" fieldPosition="0">
        <references count="1">
          <reference field="4294967294" count="1">
            <x v="2"/>
          </reference>
        </references>
      </pivotArea>
    </format>
    <format dxfId="200">
      <pivotArea outline="0" fieldPosition="0">
        <references count="1">
          <reference field="4294967294" count="1">
            <x v="3"/>
          </reference>
        </references>
      </pivotArea>
    </format>
    <format dxfId="199">
      <pivotArea outline="0" fieldPosition="0">
        <references count="1">
          <reference field="4294967294" count="1">
            <x v="4"/>
          </reference>
        </references>
      </pivotArea>
    </format>
    <format dxfId="198">
      <pivotArea outline="0" fieldPosition="0">
        <references count="1">
          <reference field="4294967294" count="1">
            <x v="5"/>
          </reference>
        </references>
      </pivotArea>
    </format>
    <format dxfId="197">
      <pivotArea outline="0" fieldPosition="0">
        <references count="1">
          <reference field="4294967294" count="1">
            <x v="6"/>
          </reference>
        </references>
      </pivotArea>
    </format>
    <format dxfId="196">
      <pivotArea outline="0" fieldPosition="0">
        <references count="1">
          <reference field="4294967294" count="1">
            <x v="7"/>
          </reference>
        </references>
      </pivotArea>
    </format>
    <format dxfId="195">
      <pivotArea outline="0" fieldPosition="0">
        <references count="1">
          <reference field="4294967294" count="1">
            <x v="8"/>
          </reference>
        </references>
      </pivotArea>
    </format>
    <format dxfId="194">
      <pivotArea outline="0" fieldPosition="0">
        <references count="1">
          <reference field="4294967294" count="1">
            <x v="9"/>
          </reference>
        </references>
      </pivotArea>
    </format>
    <format dxfId="193">
      <pivotArea outline="0" fieldPosition="0">
        <references count="1">
          <reference field="4294967294" count="1">
            <x v="10"/>
          </reference>
        </references>
      </pivotArea>
    </format>
    <format dxfId="192">
      <pivotArea outline="0" fieldPosition="0">
        <references count="1">
          <reference field="4294967294" count="1">
            <x v="11"/>
          </reference>
        </references>
      </pivotArea>
    </format>
    <format dxfId="191">
      <pivotArea outline="0" fieldPosition="0">
        <references count="1">
          <reference field="4294967294" count="1">
            <x v="12"/>
          </reference>
        </references>
      </pivotArea>
    </format>
    <format dxfId="190">
      <pivotArea outline="0" fieldPosition="0">
        <references count="1">
          <reference field="4294967294" count="1">
            <x v="13"/>
          </reference>
        </references>
      </pivotArea>
    </format>
    <format dxfId="189">
      <pivotArea outline="0" fieldPosition="0">
        <references count="1">
          <reference field="4294967294" count="1">
            <x v="14"/>
          </reference>
        </references>
      </pivotArea>
    </format>
    <format dxfId="188">
      <pivotArea outline="0" fieldPosition="0">
        <references count="1">
          <reference field="4294967294" count="1">
            <x v="15"/>
          </reference>
        </references>
      </pivotArea>
    </format>
    <format dxfId="187">
      <pivotArea outline="0" fieldPosition="0">
        <references count="1">
          <reference field="4294967294" count="1">
            <x v="16"/>
          </reference>
        </references>
      </pivotArea>
    </format>
    <format dxfId="18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1">
      <pivotArea outline="0" collapsedLevelsAreSubtotals="1" fieldPosition="0">
        <references count="1">
          <reference field="4294967294" count="1" selected="0">
            <x v="3"/>
          </reference>
        </references>
      </pivotArea>
    </format>
    <format dxfId="260">
      <pivotArea dataOnly="0" labelOnly="1" outline="0" fieldPosition="0">
        <references count="1">
          <reference field="4294967294" count="1">
            <x v="3"/>
          </reference>
        </references>
      </pivotArea>
    </format>
    <format dxfId="259">
      <pivotArea outline="0" collapsedLevelsAreSubtotals="1" fieldPosition="0">
        <references count="1">
          <reference field="4294967294" count="1" selected="0">
            <x v="6"/>
          </reference>
        </references>
      </pivotArea>
    </format>
    <format dxfId="258">
      <pivotArea dataOnly="0" labelOnly="1" outline="0" fieldPosition="0">
        <references count="1">
          <reference field="4294967294" count="1">
            <x v="6"/>
          </reference>
        </references>
      </pivotArea>
    </format>
    <format dxfId="257">
      <pivotArea outline="0" collapsedLevelsAreSubtotals="1" fieldPosition="0">
        <references count="1">
          <reference field="4294967294" count="1" selected="0">
            <x v="9"/>
          </reference>
        </references>
      </pivotArea>
    </format>
    <format dxfId="256">
      <pivotArea dataOnly="0" labelOnly="1" outline="0" fieldPosition="0">
        <references count="1">
          <reference field="4294967294" count="1">
            <x v="9"/>
          </reference>
        </references>
      </pivotArea>
    </format>
    <format dxfId="255">
      <pivotArea outline="0" collapsedLevelsAreSubtotals="1" fieldPosition="0">
        <references count="1">
          <reference field="4294967294" count="1" selected="0">
            <x v="12"/>
          </reference>
        </references>
      </pivotArea>
    </format>
    <format dxfId="254">
      <pivotArea dataOnly="0" labelOnly="1" outline="0" fieldPosition="0">
        <references count="1">
          <reference field="4294967294" count="1">
            <x v="12"/>
          </reference>
        </references>
      </pivotArea>
    </format>
    <format dxfId="253">
      <pivotArea outline="0" collapsedLevelsAreSubtotals="1" fieldPosition="0">
        <references count="1">
          <reference field="4294967294" count="1" selected="0">
            <x v="15"/>
          </reference>
        </references>
      </pivotArea>
    </format>
    <format dxfId="252">
      <pivotArea dataOnly="0" labelOnly="1" outline="0" fieldPosition="0">
        <references count="1">
          <reference field="4294967294" count="1">
            <x v="15"/>
          </reference>
        </references>
      </pivotArea>
    </format>
    <format dxfId="251">
      <pivotArea dataOnly="0" labelOnly="1" outline="0" fieldPosition="0">
        <references count="1">
          <reference field="4294967294" count="3">
            <x v="3"/>
            <x v="4"/>
            <x v="5"/>
          </reference>
        </references>
      </pivotArea>
    </format>
    <format dxfId="250">
      <pivotArea dataOnly="0" labelOnly="1" outline="0" fieldPosition="0">
        <references count="1">
          <reference field="4294967294" count="3">
            <x v="9"/>
            <x v="10"/>
            <x v="11"/>
          </reference>
        </references>
      </pivotArea>
    </format>
    <format dxfId="249">
      <pivotArea dataOnly="0" labelOnly="1" outline="0" fieldPosition="0">
        <references count="1">
          <reference field="4294967294" count="3">
            <x v="15"/>
            <x v="16"/>
            <x v="17"/>
          </reference>
        </references>
      </pivotArea>
    </format>
    <format dxfId="248">
      <pivotArea field="4" type="button" dataOnly="0" labelOnly="1" outline="0" axis="axisRow" fieldPosition="1"/>
    </format>
    <format dxfId="247">
      <pivotArea dataOnly="0" labelOnly="1" fieldPosition="0">
        <references count="1">
          <reference field="4" count="1">
            <x v="0"/>
          </reference>
        </references>
      </pivotArea>
    </format>
    <format dxfId="246">
      <pivotArea dataOnly="0" labelOnly="1" grandRow="1" outline="0" fieldPosition="0"/>
    </format>
    <format dxfId="245">
      <pivotArea dataOnly="0" labelOnly="1" outline="0" fieldPosition="0">
        <references count="1">
          <reference field="4294967294" count="1">
            <x v="0"/>
          </reference>
        </references>
      </pivotArea>
    </format>
    <format dxfId="244">
      <pivotArea field="4" type="button" dataOnly="0" labelOnly="1" outline="0" axis="axisRow" fieldPosition="1"/>
    </format>
    <format dxfId="243">
      <pivotArea outline="0" fieldPosition="0">
        <references count="1">
          <reference field="4294967294" count="1">
            <x v="0"/>
          </reference>
        </references>
      </pivotArea>
    </format>
    <format dxfId="242">
      <pivotArea outline="0" fieldPosition="0">
        <references count="1">
          <reference field="4294967294" count="1">
            <x v="1"/>
          </reference>
        </references>
      </pivotArea>
    </format>
    <format dxfId="241">
      <pivotArea outline="0" fieldPosition="0">
        <references count="1">
          <reference field="4294967294" count="1">
            <x v="2"/>
          </reference>
        </references>
      </pivotArea>
    </format>
    <format dxfId="240">
      <pivotArea outline="0" fieldPosition="0">
        <references count="1">
          <reference field="4294967294" count="1">
            <x v="3"/>
          </reference>
        </references>
      </pivotArea>
    </format>
    <format dxfId="239">
      <pivotArea outline="0" fieldPosition="0">
        <references count="1">
          <reference field="4294967294" count="1">
            <x v="4"/>
          </reference>
        </references>
      </pivotArea>
    </format>
    <format dxfId="238">
      <pivotArea outline="0" fieldPosition="0">
        <references count="1">
          <reference field="4294967294" count="1">
            <x v="5"/>
          </reference>
        </references>
      </pivotArea>
    </format>
    <format dxfId="237">
      <pivotArea outline="0" fieldPosition="0">
        <references count="1">
          <reference field="4294967294" count="1">
            <x v="6"/>
          </reference>
        </references>
      </pivotArea>
    </format>
    <format dxfId="236">
      <pivotArea outline="0" fieldPosition="0">
        <references count="1">
          <reference field="4294967294" count="1">
            <x v="7"/>
          </reference>
        </references>
      </pivotArea>
    </format>
    <format dxfId="235">
      <pivotArea outline="0" fieldPosition="0">
        <references count="1">
          <reference field="4294967294" count="1">
            <x v="8"/>
          </reference>
        </references>
      </pivotArea>
    </format>
    <format dxfId="234">
      <pivotArea outline="0" fieldPosition="0">
        <references count="1">
          <reference field="4294967294" count="1">
            <x v="9"/>
          </reference>
        </references>
      </pivotArea>
    </format>
    <format dxfId="233">
      <pivotArea outline="0" fieldPosition="0">
        <references count="1">
          <reference field="4294967294" count="1">
            <x v="10"/>
          </reference>
        </references>
      </pivotArea>
    </format>
    <format dxfId="232">
      <pivotArea outline="0" fieldPosition="0">
        <references count="1">
          <reference field="4294967294" count="1">
            <x v="11"/>
          </reference>
        </references>
      </pivotArea>
    </format>
    <format dxfId="231">
      <pivotArea outline="0" fieldPosition="0">
        <references count="1">
          <reference field="4294967294" count="1">
            <x v="12"/>
          </reference>
        </references>
      </pivotArea>
    </format>
    <format dxfId="230">
      <pivotArea outline="0" fieldPosition="0">
        <references count="1">
          <reference field="4294967294" count="1">
            <x v="13"/>
          </reference>
        </references>
      </pivotArea>
    </format>
    <format dxfId="229">
      <pivotArea outline="0" fieldPosition="0">
        <references count="1">
          <reference field="4294967294" count="1">
            <x v="14"/>
          </reference>
        </references>
      </pivotArea>
    </format>
    <format dxfId="228">
      <pivotArea outline="0" fieldPosition="0">
        <references count="1">
          <reference field="4294967294" count="1">
            <x v="15"/>
          </reference>
        </references>
      </pivotArea>
    </format>
    <format dxfId="227">
      <pivotArea outline="0" fieldPosition="0">
        <references count="1">
          <reference field="4294967294" count="1">
            <x v="16"/>
          </reference>
        </references>
      </pivotArea>
    </format>
    <format dxfId="2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dataOnly="0" labelOnly="1" outline="0" fieldPosition="0">
        <references count="1">
          <reference field="4294967294" count="3">
            <x v="3"/>
            <x v="4"/>
            <x v="5"/>
          </reference>
        </references>
      </pivotArea>
    </format>
    <format dxfId="132">
      <pivotArea dataOnly="0" labelOnly="1" outline="0" fieldPosition="0">
        <references count="1">
          <reference field="4294967294" count="3">
            <x v="9"/>
            <x v="10"/>
            <x v="11"/>
          </reference>
        </references>
      </pivotArea>
    </format>
    <format dxfId="131">
      <pivotArea dataOnly="0" labelOnly="1" outline="0" fieldPosition="0">
        <references count="1">
          <reference field="4294967294" count="3">
            <x v="15"/>
            <x v="16"/>
            <x v="17"/>
          </reference>
        </references>
      </pivotArea>
    </format>
    <format dxfId="130">
      <pivotArea field="4" type="button" dataOnly="0" labelOnly="1" outline="0" axis="axisRow" fieldPosition="1"/>
    </format>
    <format dxfId="129">
      <pivotArea dataOnly="0" labelOnly="1" fieldPosition="0">
        <references count="1">
          <reference field="4" count="1">
            <x v="0"/>
          </reference>
        </references>
      </pivotArea>
    </format>
    <format dxfId="128">
      <pivotArea dataOnly="0" labelOnly="1" grandRow="1" outline="0" fieldPosition="0"/>
    </format>
    <format dxfId="127">
      <pivotArea dataOnly="0" labelOnly="1" outline="0" fieldPosition="0">
        <references count="1">
          <reference field="4294967294" count="1">
            <x v="0"/>
          </reference>
        </references>
      </pivotArea>
    </format>
    <format dxfId="126">
      <pivotArea field="4" type="button" dataOnly="0" labelOnly="1" outline="0" axis="axisRow" fieldPosition="1"/>
    </format>
    <format dxfId="125">
      <pivotArea outline="0" fieldPosition="0">
        <references count="1">
          <reference field="4294967294" count="1">
            <x v="0"/>
          </reference>
        </references>
      </pivotArea>
    </format>
    <format dxfId="124">
      <pivotArea outline="0" fieldPosition="0">
        <references count="1">
          <reference field="4294967294" count="1">
            <x v="1"/>
          </reference>
        </references>
      </pivotArea>
    </format>
    <format dxfId="123">
      <pivotArea outline="0" fieldPosition="0">
        <references count="1">
          <reference field="4294967294" count="1">
            <x v="2"/>
          </reference>
        </references>
      </pivotArea>
    </format>
    <format dxfId="122">
      <pivotArea outline="0" fieldPosition="0">
        <references count="1">
          <reference field="4294967294" count="1">
            <x v="3"/>
          </reference>
        </references>
      </pivotArea>
    </format>
    <format dxfId="121">
      <pivotArea outline="0" fieldPosition="0">
        <references count="1">
          <reference field="4294967294" count="1">
            <x v="4"/>
          </reference>
        </references>
      </pivotArea>
    </format>
    <format dxfId="120">
      <pivotArea outline="0" fieldPosition="0">
        <references count="1">
          <reference field="4294967294" count="1">
            <x v="5"/>
          </reference>
        </references>
      </pivotArea>
    </format>
    <format dxfId="119">
      <pivotArea outline="0" fieldPosition="0">
        <references count="1">
          <reference field="4294967294" count="1">
            <x v="6"/>
          </reference>
        </references>
      </pivotArea>
    </format>
    <format dxfId="118">
      <pivotArea outline="0" fieldPosition="0">
        <references count="1">
          <reference field="4294967294" count="1">
            <x v="7"/>
          </reference>
        </references>
      </pivotArea>
    </format>
    <format dxfId="117">
      <pivotArea outline="0" fieldPosition="0">
        <references count="1">
          <reference field="4294967294" count="1">
            <x v="8"/>
          </reference>
        </references>
      </pivotArea>
    </format>
    <format dxfId="116">
      <pivotArea outline="0" fieldPosition="0">
        <references count="1">
          <reference field="4294967294" count="1">
            <x v="9"/>
          </reference>
        </references>
      </pivotArea>
    </format>
    <format dxfId="115">
      <pivotArea outline="0" fieldPosition="0">
        <references count="1">
          <reference field="4294967294" count="1">
            <x v="10"/>
          </reference>
        </references>
      </pivotArea>
    </format>
    <format dxfId="114">
      <pivotArea outline="0" fieldPosition="0">
        <references count="1">
          <reference field="4294967294" count="1">
            <x v="11"/>
          </reference>
        </references>
      </pivotArea>
    </format>
    <format dxfId="113">
      <pivotArea outline="0" fieldPosition="0">
        <references count="1">
          <reference field="4294967294" count="1">
            <x v="12"/>
          </reference>
        </references>
      </pivotArea>
    </format>
    <format dxfId="112">
      <pivotArea outline="0" fieldPosition="0">
        <references count="1">
          <reference field="4294967294" count="1">
            <x v="13"/>
          </reference>
        </references>
      </pivotArea>
    </format>
    <format dxfId="111">
      <pivotArea outline="0" fieldPosition="0">
        <references count="1">
          <reference field="4294967294" count="1">
            <x v="14"/>
          </reference>
        </references>
      </pivotArea>
    </format>
    <format dxfId="110">
      <pivotArea outline="0" fieldPosition="0">
        <references count="1">
          <reference field="4294967294" count="1">
            <x v="15"/>
          </reference>
        </references>
      </pivotArea>
    </format>
    <format dxfId="109">
      <pivotArea outline="0" fieldPosition="0">
        <references count="1">
          <reference field="4294967294" count="1">
            <x v="16"/>
          </reference>
        </references>
      </pivotArea>
    </format>
    <format dxfId="10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85">
      <pivotArea dataOnly="0" labelOnly="1" outline="0" fieldPosition="0">
        <references count="1">
          <reference field="4294967294" count="3">
            <x v="3"/>
            <x v="4"/>
            <x v="5"/>
          </reference>
        </references>
      </pivotArea>
    </format>
    <format dxfId="184">
      <pivotArea dataOnly="0" labelOnly="1" outline="0" fieldPosition="0">
        <references count="1">
          <reference field="4294967294" count="3">
            <x v="9"/>
            <x v="10"/>
            <x v="11"/>
          </reference>
        </references>
      </pivotArea>
    </format>
    <format dxfId="183">
      <pivotArea dataOnly="0" labelOnly="1" outline="0" fieldPosition="0">
        <references count="1">
          <reference field="4294967294" count="3">
            <x v="15"/>
            <x v="16"/>
            <x v="17"/>
          </reference>
        </references>
      </pivotArea>
    </format>
    <format dxfId="182">
      <pivotArea field="4" type="button" dataOnly="0" labelOnly="1" outline="0" axis="axisPage" fieldPosition="2"/>
    </format>
    <format dxfId="181">
      <pivotArea dataOnly="0" labelOnly="1" fieldPosition="0">
        <references count="1">
          <reference field="4" count="1">
            <x v="0"/>
          </reference>
        </references>
      </pivotArea>
    </format>
    <format dxfId="180">
      <pivotArea dataOnly="0" labelOnly="1" outline="0" fieldPosition="0">
        <references count="1">
          <reference field="4294967294" count="1">
            <x v="0"/>
          </reference>
        </references>
      </pivotArea>
    </format>
    <format dxfId="179">
      <pivotArea field="4" type="button" dataOnly="0" labelOnly="1" outline="0" axis="axisPage" fieldPosition="2"/>
    </format>
    <format dxfId="178">
      <pivotArea field="2" type="button" dataOnly="0" labelOnly="1" outline="0" axis="axisRow" fieldPosition="0"/>
    </format>
    <format dxfId="177">
      <pivotArea dataOnly="0" labelOnly="1" fieldPosition="0">
        <references count="1">
          <reference field="2" count="1">
            <x v="0"/>
          </reference>
        </references>
      </pivotArea>
    </format>
    <format dxfId="176">
      <pivotArea dataOnly="0" labelOnly="1" grandRow="1" outline="0" fieldPosition="0"/>
    </format>
    <format dxfId="175">
      <pivotArea outline="0" collapsedLevelsAreSubtotals="1" fieldPosition="0">
        <references count="1">
          <reference field="4294967294" count="1" selected="0">
            <x v="3"/>
          </reference>
        </references>
      </pivotArea>
    </format>
    <format dxfId="174">
      <pivotArea dataOnly="0" labelOnly="1" outline="0" fieldPosition="0">
        <references count="1">
          <reference field="4294967294" count="1">
            <x v="3"/>
          </reference>
        </references>
      </pivotArea>
    </format>
    <format dxfId="173">
      <pivotArea outline="0" collapsedLevelsAreSubtotals="1" fieldPosition="0">
        <references count="1">
          <reference field="4294967294" count="1" selected="0">
            <x v="6"/>
          </reference>
        </references>
      </pivotArea>
    </format>
    <format dxfId="172">
      <pivotArea dataOnly="0" labelOnly="1" outline="0" fieldPosition="0">
        <references count="1">
          <reference field="4294967294" count="1">
            <x v="6"/>
          </reference>
        </references>
      </pivotArea>
    </format>
    <format dxfId="171">
      <pivotArea outline="0" collapsedLevelsAreSubtotals="1" fieldPosition="0">
        <references count="1">
          <reference field="4294967294" count="1" selected="0">
            <x v="9"/>
          </reference>
        </references>
      </pivotArea>
    </format>
    <format dxfId="170">
      <pivotArea dataOnly="0" labelOnly="1" outline="0" fieldPosition="0">
        <references count="1">
          <reference field="4294967294" count="1">
            <x v="9"/>
          </reference>
        </references>
      </pivotArea>
    </format>
    <format dxfId="169">
      <pivotArea outline="0" collapsedLevelsAreSubtotals="1" fieldPosition="0">
        <references count="1">
          <reference field="4294967294" count="1" selected="0">
            <x v="12"/>
          </reference>
        </references>
      </pivotArea>
    </format>
    <format dxfId="168">
      <pivotArea dataOnly="0" labelOnly="1" outline="0" fieldPosition="0">
        <references count="1">
          <reference field="4294967294" count="1">
            <x v="12"/>
          </reference>
        </references>
      </pivotArea>
    </format>
    <format dxfId="167">
      <pivotArea outline="0" collapsedLevelsAreSubtotals="1" fieldPosition="0">
        <references count="1">
          <reference field="4294967294" count="1" selected="0">
            <x v="15"/>
          </reference>
        </references>
      </pivotArea>
    </format>
    <format dxfId="166">
      <pivotArea dataOnly="0" labelOnly="1" outline="0" fieldPosition="0">
        <references count="1">
          <reference field="4294967294" count="1">
            <x v="15"/>
          </reference>
        </references>
      </pivotArea>
    </format>
    <format dxfId="165">
      <pivotArea outline="0" collapsedLevelsAreSubtotals="1" fieldPosition="0">
        <references count="1">
          <reference field="4294967294" count="1" selected="0">
            <x v="17"/>
          </reference>
        </references>
      </pivotArea>
    </format>
    <format dxfId="164">
      <pivotArea dataOnly="0" labelOnly="1" outline="0" fieldPosition="0">
        <references count="1">
          <reference field="4294967294" count="1">
            <x v="17"/>
          </reference>
        </references>
      </pivotArea>
    </format>
    <format dxfId="163">
      <pivotArea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collapsedLevelsAreSubtotals="1" fieldPosition="0">
        <references count="2">
          <reference field="4294967294" count="1" selected="0">
            <x v="0"/>
          </reference>
          <reference field="2" count="1">
            <x v="2"/>
          </reference>
        </references>
      </pivotArea>
    </format>
    <format dxfId="160">
      <pivotArea collapsedLevelsAreSubtotals="1" fieldPosition="0">
        <references count="2">
          <reference field="4294967294" count="1" selected="0">
            <x v="1"/>
          </reference>
          <reference field="2" count="1">
            <x v="2"/>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98">
      <pivotArea dataOnly="0" labelOnly="1" outline="0" axis="axisValues" fieldPosition="0"/>
    </format>
    <format dxfId="97">
      <pivotArea outline="0" fieldPosition="0">
        <references count="1">
          <reference field="4294967294" count="1">
            <x v="0"/>
          </reference>
        </references>
      </pivotArea>
    </format>
    <format dxfId="96">
      <pivotArea outline="0" fieldPosition="0">
        <references count="1">
          <reference field="4294967294" count="1">
            <x v="1"/>
          </reference>
        </references>
      </pivotArea>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01">
      <pivotArea dataOnly="0" labelOnly="1" outline="0" axis="axisValues" fieldPosition="0"/>
    </format>
    <format dxfId="100">
      <pivotArea outline="0" fieldPosition="0">
        <references count="1">
          <reference field="4294967294" count="1">
            <x v="0"/>
          </reference>
        </references>
      </pivotArea>
    </format>
    <format dxfId="9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104">
      <pivotArea dataOnly="0" labelOnly="1" outline="0" axis="axisValues" fieldPosition="0"/>
    </format>
    <format dxfId="103">
      <pivotArea dataOnly="0" outline="0" axis="axisValues" fieldPosition="0"/>
    </format>
    <format dxfId="10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07">
      <pivotArea dataOnly="0" labelOnly="1" outline="0" axis="axisValues" fieldPosition="0"/>
    </format>
    <format dxfId="106">
      <pivotArea dataOnly="0" outline="0" axis="axisValues" fieldPosition="0"/>
    </format>
    <format dxfId="10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84">
      <pivotArea dataOnly="0" labelOnly="1" outline="0" axis="axisValues" fieldPosition="0"/>
    </format>
    <format dxfId="83">
      <pivotArea dataOnly="0" outline="0" axis="axisValues" fieldPosition="0"/>
    </format>
    <format dxfId="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7">
      <pivotArea dataOnly="0" labelOnly="1" outline="0" axis="axisValues" fieldPosition="0"/>
    </format>
    <format dxfId="86">
      <pivotArea dataOnly="0" outline="0" axis="axisValues" fieldPosition="0"/>
    </format>
    <format dxfId="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90">
      <pivotArea dataOnly="0" labelOnly="1" outline="0" axis="axisValues" fieldPosition="0"/>
    </format>
    <format dxfId="89">
      <pivotArea outline="0" fieldPosition="0">
        <references count="1">
          <reference field="4294967294" count="1">
            <x v="0"/>
          </reference>
        </references>
      </pivotArea>
    </format>
    <format dxfId="8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93">
      <pivotArea dataOnly="0" labelOnly="1" outline="0" axis="axisValues" fieldPosition="0"/>
    </format>
    <format dxfId="92">
      <pivotArea outline="0" fieldPosition="0">
        <references count="1">
          <reference field="4294967294" count="1">
            <x v="0"/>
          </reference>
        </references>
      </pivotArea>
    </format>
    <format dxfId="9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3" Type="http://schemas.openxmlformats.org/officeDocument/2006/relationships/pivotTable" Target="../pivotTables/pivotTable174.xml"/><Relationship Id="rId7" Type="http://schemas.openxmlformats.org/officeDocument/2006/relationships/printerSettings" Target="../printerSettings/printerSettings39.bin"/><Relationship Id="rId2" Type="http://schemas.openxmlformats.org/officeDocument/2006/relationships/pivotTable" Target="../pivotTables/pivotTable173.xml"/><Relationship Id="rId1" Type="http://schemas.openxmlformats.org/officeDocument/2006/relationships/pivotTable" Target="../pivotTables/pivotTable172.xml"/><Relationship Id="rId6" Type="http://schemas.openxmlformats.org/officeDocument/2006/relationships/pivotTable" Target="../pivotTables/pivotTable177.xml"/><Relationship Id="rId5" Type="http://schemas.openxmlformats.org/officeDocument/2006/relationships/pivotTable" Target="../pivotTables/pivotTable176.xml"/><Relationship Id="rId4" Type="http://schemas.openxmlformats.org/officeDocument/2006/relationships/pivotTable" Target="../pivotTables/pivotTable175.xml"/></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180.xml"/><Relationship Id="rId7" Type="http://schemas.openxmlformats.org/officeDocument/2006/relationships/printerSettings" Target="../printerSettings/printerSettings40.bin"/><Relationship Id="rId2" Type="http://schemas.openxmlformats.org/officeDocument/2006/relationships/pivotTable" Target="../pivotTables/pivotTable179.xml"/><Relationship Id="rId1" Type="http://schemas.openxmlformats.org/officeDocument/2006/relationships/pivotTable" Target="../pivotTables/pivotTable178.xml"/><Relationship Id="rId6" Type="http://schemas.openxmlformats.org/officeDocument/2006/relationships/pivotTable" Target="../pivotTables/pivotTable183.xml"/><Relationship Id="rId5" Type="http://schemas.openxmlformats.org/officeDocument/2006/relationships/pivotTable" Target="../pivotTables/pivotTable182.xml"/><Relationship Id="rId4" Type="http://schemas.openxmlformats.org/officeDocument/2006/relationships/pivotTable" Target="../pivotTables/pivotTable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0" t="s">
        <v>509</v>
      </c>
      <c r="C5" s="190"/>
      <c r="D5" s="190"/>
      <c r="F5" s="190" t="s">
        <v>510</v>
      </c>
      <c r="G5" s="190"/>
      <c r="H5" s="190"/>
      <c r="J5" s="190" t="s">
        <v>356</v>
      </c>
      <c r="K5" s="190"/>
      <c r="L5" s="190"/>
      <c r="N5" s="190" t="s">
        <v>503</v>
      </c>
      <c r="O5" s="190"/>
      <c r="P5" s="190"/>
      <c r="Q5" s="191"/>
      <c r="R5" s="191"/>
      <c r="S5" s="191"/>
      <c r="T5" s="191"/>
      <c r="U5" s="191"/>
      <c r="V5" s="191"/>
      <c r="W5" s="191"/>
      <c r="X5" s="191"/>
      <c r="Y5" s="191"/>
      <c r="Z5" s="191"/>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96" t="s">
        <v>228</v>
      </c>
      <c r="K1" s="194" t="s">
        <v>228</v>
      </c>
      <c r="L1" s="194" t="s">
        <v>228</v>
      </c>
      <c r="M1" s="195" t="s">
        <v>228</v>
      </c>
      <c r="N1" s="192" t="s">
        <v>229</v>
      </c>
      <c r="O1" s="193" t="s">
        <v>229</v>
      </c>
      <c r="P1" s="193" t="s">
        <v>229</v>
      </c>
      <c r="Q1" s="193" t="s">
        <v>229</v>
      </c>
      <c r="R1" s="193" t="s">
        <v>229</v>
      </c>
      <c r="S1" s="197" t="s">
        <v>229</v>
      </c>
      <c r="T1" s="198" t="s">
        <v>230</v>
      </c>
      <c r="U1" s="199" t="s">
        <v>230</v>
      </c>
      <c r="V1" s="199" t="s">
        <v>230</v>
      </c>
      <c r="W1" s="199" t="s">
        <v>230</v>
      </c>
      <c r="X1" s="200" t="s">
        <v>230</v>
      </c>
      <c r="Y1" s="201" t="s">
        <v>231</v>
      </c>
      <c r="Z1" s="199" t="s">
        <v>231</v>
      </c>
      <c r="AA1" s="194" t="s">
        <v>231</v>
      </c>
      <c r="AB1" s="200" t="s">
        <v>231</v>
      </c>
      <c r="AC1" s="201" t="s">
        <v>232</v>
      </c>
      <c r="AD1" s="194" t="s">
        <v>232</v>
      </c>
      <c r="AE1" s="194" t="s">
        <v>232</v>
      </c>
      <c r="AF1" s="195" t="s">
        <v>232</v>
      </c>
      <c r="AG1" s="198" t="s">
        <v>233</v>
      </c>
      <c r="AH1" s="199" t="s">
        <v>233</v>
      </c>
      <c r="AI1" s="199" t="s">
        <v>233</v>
      </c>
      <c r="AJ1" s="199" t="s">
        <v>233</v>
      </c>
      <c r="AK1" s="202" t="s">
        <v>233</v>
      </c>
      <c r="AL1" s="192" t="s">
        <v>234</v>
      </c>
      <c r="AM1" s="193" t="s">
        <v>234</v>
      </c>
      <c r="AN1" s="193" t="s">
        <v>234</v>
      </c>
      <c r="AO1" s="193" t="s">
        <v>234</v>
      </c>
      <c r="AP1" s="193" t="s">
        <v>234</v>
      </c>
      <c r="AQ1" s="194" t="s">
        <v>234</v>
      </c>
      <c r="AR1" s="194" t="s">
        <v>234</v>
      </c>
      <c r="AS1" s="195" t="s">
        <v>234</v>
      </c>
    </row>
    <row r="2" spans="1:45" s="16" customFormat="1">
      <c r="A2" s="12" t="s">
        <v>87</v>
      </c>
      <c r="B2" s="12" t="s">
        <v>0</v>
      </c>
      <c r="C2" s="12" t="s">
        <v>117</v>
      </c>
      <c r="D2" s="12" t="s">
        <v>235</v>
      </c>
      <c r="E2" s="12" t="s">
        <v>236</v>
      </c>
      <c r="F2" s="12" t="s">
        <v>237</v>
      </c>
      <c r="G2" s="12" t="s">
        <v>238</v>
      </c>
      <c r="H2" s="12" t="s">
        <v>239</v>
      </c>
      <c r="I2" s="12" t="s">
        <v>240</v>
      </c>
      <c r="J2" s="38" t="s">
        <v>241</v>
      </c>
      <c r="K2" s="25" t="s">
        <v>242</v>
      </c>
      <c r="L2" s="25" t="s">
        <v>243</v>
      </c>
      <c r="M2" s="39" t="s">
        <v>244</v>
      </c>
      <c r="N2" s="40" t="s">
        <v>245</v>
      </c>
      <c r="O2" s="12" t="s">
        <v>246</v>
      </c>
      <c r="P2" s="12" t="s">
        <v>247</v>
      </c>
      <c r="Q2" s="12" t="s">
        <v>248</v>
      </c>
      <c r="R2" s="12" t="s">
        <v>249</v>
      </c>
      <c r="S2" s="41" t="s">
        <v>250</v>
      </c>
      <c r="T2" s="42" t="s">
        <v>251</v>
      </c>
      <c r="U2" s="12" t="s">
        <v>252</v>
      </c>
      <c r="V2" s="12" t="s">
        <v>253</v>
      </c>
      <c r="W2" s="12" t="s">
        <v>254</v>
      </c>
      <c r="X2" s="43" t="s">
        <v>255</v>
      </c>
      <c r="Y2" s="44" t="s">
        <v>256</v>
      </c>
      <c r="Z2" s="12" t="s">
        <v>257</v>
      </c>
      <c r="AA2" s="25" t="s">
        <v>258</v>
      </c>
      <c r="AB2" s="43" t="s">
        <v>259</v>
      </c>
      <c r="AC2" s="44" t="s">
        <v>260</v>
      </c>
      <c r="AD2" s="25" t="s">
        <v>261</v>
      </c>
      <c r="AE2" s="25" t="s">
        <v>262</v>
      </c>
      <c r="AF2" s="39" t="s">
        <v>263</v>
      </c>
      <c r="AG2" s="42" t="s">
        <v>264</v>
      </c>
      <c r="AH2" s="12" t="s">
        <v>135</v>
      </c>
      <c r="AI2" s="12" t="s">
        <v>265</v>
      </c>
      <c r="AJ2" s="12" t="s">
        <v>266</v>
      </c>
      <c r="AK2" s="17" t="s">
        <v>267</v>
      </c>
      <c r="AL2" s="40" t="s">
        <v>268</v>
      </c>
      <c r="AM2" s="12" t="s">
        <v>269</v>
      </c>
      <c r="AN2" s="12" t="s">
        <v>270</v>
      </c>
      <c r="AO2" s="12" t="s">
        <v>271</v>
      </c>
      <c r="AP2" s="12" t="s">
        <v>272</v>
      </c>
      <c r="AQ2" s="25" t="s">
        <v>273</v>
      </c>
      <c r="AR2" s="25" t="s">
        <v>274</v>
      </c>
      <c r="AS2" s="39" t="s">
        <v>275</v>
      </c>
    </row>
    <row r="3" spans="1:45" s="10" customFormat="1">
      <c r="A3" s="10" t="s">
        <v>48</v>
      </c>
      <c r="B3" s="10" t="s">
        <v>50</v>
      </c>
      <c r="C3" s="10" t="s">
        <v>276</v>
      </c>
      <c r="D3" s="10" t="s">
        <v>277</v>
      </c>
      <c r="E3" s="11">
        <v>8</v>
      </c>
      <c r="F3" s="11">
        <v>31982</v>
      </c>
      <c r="I3" s="10" t="s">
        <v>278</v>
      </c>
      <c r="J3" s="27">
        <v>1.04</v>
      </c>
      <c r="K3" s="27">
        <v>99.12</v>
      </c>
      <c r="L3" s="27">
        <v>0.25</v>
      </c>
      <c r="M3" s="27">
        <v>0.63</v>
      </c>
      <c r="N3" s="11"/>
      <c r="O3" s="11">
        <v>13660</v>
      </c>
      <c r="P3" s="11">
        <v>38</v>
      </c>
      <c r="Q3" s="11">
        <v>0</v>
      </c>
      <c r="R3" s="11">
        <v>627</v>
      </c>
      <c r="S3" s="11">
        <v>17656</v>
      </c>
      <c r="T3" s="10" t="s">
        <v>279</v>
      </c>
      <c r="U3" s="10" t="s">
        <v>280</v>
      </c>
      <c r="V3" s="10" t="s">
        <v>281</v>
      </c>
      <c r="W3" s="10" t="s">
        <v>282</v>
      </c>
      <c r="X3" s="27" t="s">
        <v>283</v>
      </c>
      <c r="Y3" s="27">
        <v>109.75</v>
      </c>
      <c r="Z3" s="10">
        <v>23.1875</v>
      </c>
      <c r="AA3" s="27">
        <v>130</v>
      </c>
      <c r="AB3" s="27">
        <v>93.845298767089844</v>
      </c>
      <c r="AC3" s="27">
        <v>14131.25</v>
      </c>
      <c r="AD3" s="27">
        <v>14336</v>
      </c>
      <c r="AE3" s="27">
        <v>14131.25</v>
      </c>
      <c r="AF3" s="27">
        <v>9760.1462020874023</v>
      </c>
      <c r="AG3" s="10" t="s">
        <v>284</v>
      </c>
      <c r="AH3" s="10" t="s">
        <v>285</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 min="10" max="11" width="8.88671875" style="186"/>
    <col min="12" max="12" width="9.5546875" style="164" bestFit="1" customWidth="1"/>
    <col min="13" max="13" width="13.77734375" style="164" customWidth="1"/>
    <col min="14" max="14" width="12.77734375" style="164" customWidth="1"/>
    <col min="15" max="15" width="9.5546875" style="186" customWidth="1"/>
  </cols>
  <sheetData>
    <row r="1" spans="1:26" s="16" customFormat="1">
      <c r="A1" s="25" t="s">
        <v>87</v>
      </c>
      <c r="B1" s="25" t="s">
        <v>0</v>
      </c>
      <c r="C1" s="25" t="s">
        <v>115</v>
      </c>
      <c r="D1" s="25" t="s">
        <v>116</v>
      </c>
      <c r="E1" s="25" t="s">
        <v>117</v>
      </c>
      <c r="F1" s="25" t="s">
        <v>118</v>
      </c>
      <c r="G1" s="25" t="s">
        <v>119</v>
      </c>
      <c r="H1" s="26" t="s">
        <v>120</v>
      </c>
      <c r="I1" s="111" t="s">
        <v>544</v>
      </c>
      <c r="J1" s="108" t="s">
        <v>762</v>
      </c>
      <c r="K1" s="168" t="s">
        <v>763</v>
      </c>
      <c r="L1" s="168" t="s">
        <v>722</v>
      </c>
      <c r="M1" s="168" t="s">
        <v>723</v>
      </c>
      <c r="N1" s="168" t="s">
        <v>724</v>
      </c>
      <c r="O1" s="168" t="s">
        <v>764</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7">
        <v>1597.44</v>
      </c>
      <c r="H2" s="28">
        <v>0.22289999999999999</v>
      </c>
      <c r="I2" s="112">
        <v>0.9</v>
      </c>
      <c r="J2" s="10">
        <v>6.5428240740740704E-2</v>
      </c>
      <c r="K2" s="19" t="str">
        <f>CONCATENATE(TEXT(FLOOR(J2,1),"@")," ",TEXT(J2,"hh:mm:ss"))</f>
        <v>0 01:34:13</v>
      </c>
      <c r="L2" s="169">
        <v>42705</v>
      </c>
      <c r="M2" s="169">
        <v>42706</v>
      </c>
      <c r="N2" s="170">
        <v>2.89</v>
      </c>
      <c r="O2" s="170"/>
      <c r="P2" s="10" t="s">
        <v>137</v>
      </c>
      <c r="Q2" s="27">
        <v>1.01</v>
      </c>
      <c r="R2" s="11">
        <v>256</v>
      </c>
      <c r="S2" s="11">
        <v>0</v>
      </c>
      <c r="U2" s="10" t="b">
        <v>1</v>
      </c>
      <c r="V2" s="10" t="b">
        <v>1</v>
      </c>
      <c r="W2" s="10" t="b">
        <v>1</v>
      </c>
      <c r="X2" s="10" t="s">
        <v>138</v>
      </c>
      <c r="Y2" s="10" t="s">
        <v>139</v>
      </c>
      <c r="Z2" s="10" t="s">
        <v>140</v>
      </c>
    </row>
  </sheetData>
  <conditionalFormatting sqref="D1:D1048576">
    <cfRule type="cellIs" dxfId="4" priority="3" operator="equal">
      <formula>"Down"</formula>
    </cfRule>
  </conditionalFormatting>
  <conditionalFormatting sqref="J1:J1048576">
    <cfRule type="colorScale" priority="2">
      <colorScale>
        <cfvo type="num" val="0"/>
        <cfvo type="num" val="4"/>
        <color rgb="FFFF0000"/>
        <color rgb="FFFFEF9C"/>
      </colorScale>
    </cfRule>
  </conditionalFormatting>
  <conditionalFormatting sqref="N1:N1048576">
    <cfRule type="colorScale" priority="1">
      <colorScale>
        <cfvo type="formula" val="0"/>
        <cfvo type="num" val="4"/>
        <color rgb="FFFF0000"/>
        <color rgb="FFFFEF9C"/>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526</v>
      </c>
      <c r="D1" s="25" t="s">
        <v>527</v>
      </c>
      <c r="E1" s="25" t="s">
        <v>528</v>
      </c>
      <c r="F1" s="25" t="s">
        <v>529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426</v>
      </c>
      <c r="D1" s="16" t="s">
        <v>427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90</v>
      </c>
      <c r="B1" s="80" t="s">
        <v>417</v>
      </c>
      <c r="C1" s="80" t="s">
        <v>0</v>
      </c>
      <c r="D1" s="80" t="s">
        <v>418</v>
      </c>
      <c r="E1" s="80" t="s">
        <v>101</v>
      </c>
    </row>
    <row r="2" spans="1:5">
      <c r="A2" s="22" t="s">
        <v>47</v>
      </c>
      <c r="B2" s="81" t="s">
        <v>419</v>
      </c>
      <c r="C2" s="81" t="s">
        <v>107</v>
      </c>
      <c r="D2" s="81">
        <v>3</v>
      </c>
      <c r="E2" s="81" t="s">
        <v>420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98" t="s">
        <v>88</v>
      </c>
      <c r="H1" s="203" t="s">
        <v>88</v>
      </c>
      <c r="I1" s="203" t="s">
        <v>88</v>
      </c>
      <c r="J1" s="202" t="s">
        <v>88</v>
      </c>
      <c r="K1" s="14"/>
      <c r="L1" s="204" t="s">
        <v>421</v>
      </c>
      <c r="M1" s="205" t="s">
        <v>421</v>
      </c>
      <c r="N1" s="205" t="s">
        <v>421</v>
      </c>
      <c r="O1" s="205"/>
      <c r="P1" s="205"/>
      <c r="Q1" s="206" t="s">
        <v>421</v>
      </c>
    </row>
    <row r="2" spans="1:19" s="16" customFormat="1">
      <c r="A2" s="16" t="s">
        <v>51</v>
      </c>
      <c r="B2" s="13" t="s">
        <v>89</v>
      </c>
      <c r="C2" s="13" t="s">
        <v>90</v>
      </c>
      <c r="D2" s="13" t="s">
        <v>91</v>
      </c>
      <c r="E2" s="13" t="s">
        <v>92</v>
      </c>
      <c r="F2" s="13" t="s">
        <v>93</v>
      </c>
      <c r="G2" s="42" t="s">
        <v>422</v>
      </c>
      <c r="H2" s="13" t="s">
        <v>94</v>
      </c>
      <c r="I2" s="13" t="s">
        <v>95</v>
      </c>
      <c r="J2" s="17" t="s">
        <v>96</v>
      </c>
      <c r="K2" s="14" t="s">
        <v>97</v>
      </c>
      <c r="L2" s="83" t="s">
        <v>98</v>
      </c>
      <c r="M2" s="15" t="s">
        <v>99</v>
      </c>
      <c r="N2" s="15" t="s">
        <v>423</v>
      </c>
      <c r="O2" s="114" t="s">
        <v>545</v>
      </c>
      <c r="P2" s="114" t="s">
        <v>546</v>
      </c>
      <c r="Q2" s="84" t="s">
        <v>424</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07" t="s">
        <v>293</v>
      </c>
      <c r="B1" s="208"/>
      <c r="C1" s="208"/>
      <c r="D1" s="208"/>
      <c r="E1" s="208"/>
      <c r="F1" s="208"/>
      <c r="G1" s="208"/>
      <c r="H1" s="208"/>
      <c r="I1" s="208"/>
      <c r="J1" s="208"/>
      <c r="K1" s="208"/>
    </row>
    <row r="2" spans="1:11">
      <c r="A2" s="188" t="s">
        <v>0</v>
      </c>
      <c r="B2" s="189" t="s">
        <v>16</v>
      </c>
      <c r="C2" s="186"/>
      <c r="D2" s="188" t="s">
        <v>0</v>
      </c>
      <c r="E2" s="189" t="s">
        <v>16</v>
      </c>
      <c r="G2" s="188" t="s">
        <v>0</v>
      </c>
      <c r="H2" s="189" t="s">
        <v>16</v>
      </c>
    </row>
    <row r="3" spans="1:11">
      <c r="A3" s="188" t="s">
        <v>51</v>
      </c>
      <c r="B3" s="189" t="s">
        <v>16</v>
      </c>
      <c r="C3" s="186"/>
      <c r="D3" s="188" t="s">
        <v>51</v>
      </c>
      <c r="E3" s="189" t="s">
        <v>16</v>
      </c>
      <c r="G3" s="188" t="s">
        <v>51</v>
      </c>
      <c r="H3" s="189" t="s">
        <v>16</v>
      </c>
    </row>
    <row r="4" spans="1:11">
      <c r="A4" s="188" t="s">
        <v>3</v>
      </c>
      <c r="B4" s="189" t="s">
        <v>757</v>
      </c>
      <c r="C4" s="186"/>
      <c r="D4" s="188" t="s">
        <v>3</v>
      </c>
      <c r="E4" s="189" t="s">
        <v>759</v>
      </c>
      <c r="G4" s="188" t="s">
        <v>3</v>
      </c>
      <c r="H4" s="189" t="s">
        <v>758</v>
      </c>
    </row>
    <row r="5" spans="1:11">
      <c r="A5" s="186"/>
      <c r="B5" s="186"/>
      <c r="C5" s="186"/>
      <c r="D5" s="186"/>
      <c r="E5" s="186"/>
      <c r="G5" s="186"/>
      <c r="H5" s="186"/>
    </row>
    <row r="6" spans="1:11">
      <c r="A6" s="188" t="s">
        <v>725</v>
      </c>
      <c r="B6" t="s">
        <v>424</v>
      </c>
      <c r="D6" s="188" t="s">
        <v>725</v>
      </c>
      <c r="E6" t="s">
        <v>424</v>
      </c>
      <c r="G6" s="188" t="s">
        <v>725</v>
      </c>
      <c r="H6" t="s">
        <v>424</v>
      </c>
    </row>
    <row r="7" spans="1:11">
      <c r="A7" s="4" t="s">
        <v>486</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sqref="A1:K1"/>
    </sheetView>
  </sheetViews>
  <sheetFormatPr defaultRowHeight="14.4"/>
  <cols>
    <col min="1" max="1" width="16.44140625" style="186" customWidth="1"/>
    <col min="2" max="2" width="27.109375" style="186" customWidth="1"/>
    <col min="3" max="3" width="5.77734375" style="186" customWidth="1"/>
    <col min="4" max="4" width="16.44140625" style="186" customWidth="1"/>
    <col min="5" max="5" width="27.77734375" style="186" customWidth="1"/>
    <col min="6" max="6" width="8.88671875" style="186"/>
    <col min="7" max="7" width="16.44140625" style="186" customWidth="1"/>
    <col min="8" max="8" width="27.77734375" style="186" customWidth="1"/>
    <col min="9" max="9" width="8.88671875" style="186"/>
    <col min="10" max="10" width="10.77734375" style="186" bestFit="1" customWidth="1"/>
    <col min="11" max="11" width="26" style="186" bestFit="1" customWidth="1"/>
    <col min="12" max="12" width="4.44140625" style="186" customWidth="1"/>
    <col min="13" max="13" width="10.77734375" style="186" customWidth="1"/>
    <col min="14" max="14" width="28.88671875" style="186" bestFit="1" customWidth="1"/>
    <col min="15" max="16384" width="8.88671875" style="186"/>
  </cols>
  <sheetData>
    <row r="1" spans="1:14">
      <c r="A1" s="207" t="s">
        <v>293</v>
      </c>
      <c r="B1" s="208"/>
      <c r="C1" s="208"/>
      <c r="D1" s="208"/>
      <c r="E1" s="208"/>
      <c r="F1" s="208"/>
      <c r="G1" s="208"/>
      <c r="H1" s="208"/>
      <c r="I1" s="208"/>
      <c r="J1" s="208"/>
      <c r="K1" s="208"/>
      <c r="L1" s="207"/>
      <c r="M1" s="208"/>
      <c r="N1" s="208"/>
    </row>
    <row r="2" spans="1:14">
      <c r="A2" s="188" t="s">
        <v>0</v>
      </c>
      <c r="B2" s="189" t="s">
        <v>16</v>
      </c>
      <c r="D2" s="188" t="s">
        <v>0</v>
      </c>
      <c r="E2" s="189" t="s">
        <v>16</v>
      </c>
      <c r="G2" s="188" t="s">
        <v>0</v>
      </c>
      <c r="H2" s="189" t="s">
        <v>16</v>
      </c>
      <c r="J2" s="207"/>
      <c r="K2" s="208"/>
      <c r="L2" s="208"/>
      <c r="M2" s="207"/>
      <c r="N2" s="208"/>
    </row>
    <row r="3" spans="1:14">
      <c r="A3" s="188" t="s">
        <v>51</v>
      </c>
      <c r="B3" s="189" t="s">
        <v>16</v>
      </c>
      <c r="D3" s="188" t="s">
        <v>51</v>
      </c>
      <c r="E3" s="189" t="s">
        <v>16</v>
      </c>
      <c r="G3" s="188" t="s">
        <v>51</v>
      </c>
      <c r="H3" s="189" t="s">
        <v>16</v>
      </c>
      <c r="J3" s="185" t="s">
        <v>0</v>
      </c>
      <c r="K3" s="186" t="s">
        <v>16</v>
      </c>
      <c r="M3" s="185" t="s">
        <v>0</v>
      </c>
      <c r="N3" s="186" t="s">
        <v>16</v>
      </c>
    </row>
    <row r="4" spans="1:14">
      <c r="A4" s="188" t="s">
        <v>3</v>
      </c>
      <c r="B4" s="189" t="s">
        <v>757</v>
      </c>
      <c r="D4" s="188" t="s">
        <v>3</v>
      </c>
      <c r="E4" s="189" t="s">
        <v>759</v>
      </c>
      <c r="G4" s="188" t="s">
        <v>3</v>
      </c>
      <c r="H4" s="189" t="s">
        <v>758</v>
      </c>
      <c r="J4" s="185" t="s">
        <v>3</v>
      </c>
      <c r="K4" s="186" t="s">
        <v>755</v>
      </c>
      <c r="M4" s="185" t="s">
        <v>3</v>
      </c>
      <c r="N4" s="186" t="s">
        <v>756</v>
      </c>
    </row>
    <row r="5" spans="1:14">
      <c r="L5"/>
    </row>
    <row r="6" spans="1:14">
      <c r="A6" s="188" t="s">
        <v>725</v>
      </c>
      <c r="B6" t="s">
        <v>424</v>
      </c>
      <c r="D6" s="188" t="s">
        <v>725</v>
      </c>
      <c r="E6" t="s">
        <v>424</v>
      </c>
      <c r="G6" s="188" t="s">
        <v>725</v>
      </c>
      <c r="H6" t="s">
        <v>424</v>
      </c>
      <c r="J6" s="185" t="s">
        <v>288</v>
      </c>
      <c r="K6" t="s">
        <v>760</v>
      </c>
      <c r="L6"/>
      <c r="M6" s="185" t="s">
        <v>288</v>
      </c>
      <c r="N6" t="s">
        <v>761</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0"/>
  <sheetViews>
    <sheetView workbookViewId="0">
      <selection activeCell="C23" sqref="C23"/>
    </sheetView>
  </sheetViews>
  <sheetFormatPr defaultRowHeight="14.4"/>
  <cols>
    <col min="1" max="1" width="32.109375" customWidth="1"/>
    <col min="2" max="2" width="16.44140625" customWidth="1"/>
    <col min="3" max="3" width="18.109375" customWidth="1"/>
    <col min="4" max="4" width="7.88671875" customWidth="1"/>
    <col min="5" max="5" width="23.109375" style="177" customWidth="1"/>
    <col min="7" max="7" width="16.44140625" customWidth="1"/>
    <col min="8" max="8" width="16.88671875" customWidth="1"/>
    <col min="9" max="9" width="25.5546875" customWidth="1"/>
    <col min="10" max="10" width="22.77734375" style="57" customWidth="1"/>
    <col min="11" max="11" width="6.5546875" style="57" customWidth="1"/>
    <col min="12" max="12" width="8.5546875" style="57" customWidth="1"/>
    <col min="13" max="13" width="11.44140625" customWidth="1"/>
    <col min="14" max="14" width="26" customWidth="1"/>
    <col min="15" max="15" width="20.44140625" customWidth="1"/>
    <col min="16" max="16" width="19.88671875" bestFit="1" customWidth="1"/>
  </cols>
  <sheetData>
    <row r="1" spans="1:16" s="52" customFormat="1">
      <c r="A1" s="31"/>
      <c r="B1" s="209" t="s">
        <v>367</v>
      </c>
      <c r="C1" s="210"/>
      <c r="D1" s="210"/>
      <c r="E1" s="210"/>
      <c r="F1" s="210"/>
      <c r="G1" s="210"/>
      <c r="H1" s="210"/>
      <c r="I1" s="210"/>
      <c r="J1" s="210"/>
      <c r="L1" s="61"/>
      <c r="M1" s="209"/>
      <c r="N1" s="210"/>
      <c r="O1" s="210"/>
      <c r="P1" s="210"/>
    </row>
    <row r="2" spans="1:16">
      <c r="A2" s="31"/>
      <c r="D2" s="53"/>
      <c r="E2" s="176"/>
      <c r="F2" s="53"/>
      <c r="I2" s="53"/>
      <c r="J2" s="61"/>
      <c r="K2" s="61"/>
      <c r="L2" s="61"/>
      <c r="M2" s="160"/>
      <c r="N2" s="155"/>
      <c r="O2" s="133"/>
    </row>
    <row r="3" spans="1:16">
      <c r="A3" s="30"/>
      <c r="B3" s="188" t="s">
        <v>0</v>
      </c>
      <c r="C3" s="189" t="s">
        <v>16</v>
      </c>
      <c r="G3" s="188" t="s">
        <v>0</v>
      </c>
      <c r="H3" s="189" t="s">
        <v>16</v>
      </c>
      <c r="M3" s="160"/>
      <c r="N3" s="155"/>
      <c r="O3" s="134"/>
    </row>
    <row r="4" spans="1:16">
      <c r="A4" s="30"/>
      <c r="B4" s="188" t="s">
        <v>51</v>
      </c>
      <c r="C4" s="189" t="s">
        <v>16</v>
      </c>
      <c r="G4" s="188" t="s">
        <v>51</v>
      </c>
      <c r="H4" s="189" t="s">
        <v>16</v>
      </c>
      <c r="M4" s="160"/>
      <c r="N4" s="155"/>
      <c r="O4" s="134"/>
    </row>
    <row r="5" spans="1:16">
      <c r="A5" s="30"/>
      <c r="B5" s="188" t="s">
        <v>3</v>
      </c>
      <c r="C5" s="189" t="s">
        <v>10</v>
      </c>
      <c r="G5" s="188" t="s">
        <v>3</v>
      </c>
      <c r="H5" s="189" t="s">
        <v>9</v>
      </c>
      <c r="M5" s="160"/>
      <c r="N5" s="155"/>
      <c r="O5" s="134"/>
    </row>
    <row r="6" spans="1:16">
      <c r="A6" s="30"/>
      <c r="M6" s="134"/>
      <c r="N6" s="134"/>
      <c r="O6" s="134"/>
    </row>
    <row r="7" spans="1:16">
      <c r="A7" s="24" t="s">
        <v>93</v>
      </c>
      <c r="B7" s="188" t="s">
        <v>725</v>
      </c>
      <c r="C7" s="189" t="s">
        <v>294</v>
      </c>
      <c r="D7" s="189" t="s">
        <v>241</v>
      </c>
      <c r="E7" s="189" t="s">
        <v>405</v>
      </c>
      <c r="G7" s="188" t="s">
        <v>725</v>
      </c>
      <c r="H7" s="189" t="s">
        <v>370</v>
      </c>
      <c r="I7" s="189" t="s">
        <v>366</v>
      </c>
      <c r="J7" s="189" t="s">
        <v>371</v>
      </c>
      <c r="M7" s="160"/>
      <c r="N7" s="155"/>
      <c r="O7" s="155"/>
      <c r="P7" s="155"/>
    </row>
    <row r="8" spans="1:16">
      <c r="A8" s="23" t="e">
        <f>INDEX('DDL Tables'!$F:$F,MATCH(SUBSTITUTE(B8," (index)", ""),'DDL Tables'!$C:$C,0))</f>
        <v>#N/A</v>
      </c>
      <c r="B8" s="4" t="s">
        <v>47</v>
      </c>
      <c r="C8" s="9">
        <v>2.5000000000000001E-2</v>
      </c>
      <c r="D8" s="9">
        <v>2.5000000000000001E-2</v>
      </c>
      <c r="E8" s="9">
        <v>0</v>
      </c>
      <c r="G8" s="4" t="s">
        <v>47</v>
      </c>
      <c r="H8" s="5">
        <v>23</v>
      </c>
      <c r="I8" s="5">
        <v>23</v>
      </c>
      <c r="J8" s="189">
        <v>23</v>
      </c>
      <c r="K8" s="5"/>
      <c r="L8" s="5"/>
      <c r="M8" s="4"/>
      <c r="N8" s="5"/>
      <c r="O8" s="5"/>
      <c r="P8" s="5"/>
    </row>
    <row r="9" spans="1:16">
      <c r="B9" s="4" t="s">
        <v>17</v>
      </c>
      <c r="C9" s="9">
        <v>2.5000000000000001E-2</v>
      </c>
      <c r="D9" s="9">
        <v>2.5000000000000001E-2</v>
      </c>
      <c r="E9" s="9">
        <v>0</v>
      </c>
      <c r="G9" s="4" t="s">
        <v>17</v>
      </c>
      <c r="H9" s="5">
        <v>23</v>
      </c>
      <c r="I9" s="5">
        <v>23</v>
      </c>
      <c r="J9" s="189">
        <v>23</v>
      </c>
      <c r="K9" s="5"/>
      <c r="L9" s="5"/>
      <c r="M9" s="4"/>
      <c r="N9" s="5"/>
      <c r="O9" s="5"/>
      <c r="P9" s="5"/>
    </row>
    <row r="10" spans="1:16">
      <c r="J10"/>
    </row>
  </sheetData>
  <mergeCells count="2">
    <mergeCell ref="B1:J1"/>
    <mergeCell ref="M1:P1"/>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22"/>
  <sheetViews>
    <sheetView topLeftCell="H1" workbookViewId="0">
      <selection activeCell="K5" sqref="K5:O10"/>
    </sheetView>
  </sheetViews>
  <sheetFormatPr defaultColWidth="9.109375" defaultRowHeight="14.4"/>
  <cols>
    <col min="1" max="1" width="12.109375" style="154" customWidth="1"/>
    <col min="2" max="2" width="9.109375" style="57"/>
    <col min="3" max="3" width="10.77734375" style="57" customWidth="1"/>
    <col min="4" max="4" width="18.109375" style="57" customWidth="1"/>
    <col min="5" max="5" width="7.88671875" style="57" customWidth="1"/>
    <col min="6" max="6" width="23.109375" style="177" customWidth="1"/>
    <col min="7" max="7" width="9.109375" style="57"/>
    <col min="8" max="8" width="10.77734375" style="57" customWidth="1"/>
    <col min="9" max="9" width="16.88671875" style="57" customWidth="1"/>
    <col min="10" max="10" width="8" style="57" customWidth="1"/>
    <col min="11" max="11" width="10.77734375" style="57" customWidth="1"/>
    <col min="12" max="12" width="16.109375" style="57" customWidth="1"/>
    <col min="13" max="13" width="11.109375" style="57" customWidth="1"/>
    <col min="14" max="14" width="16.6640625" style="57" customWidth="1"/>
    <col min="15" max="15" width="18.6640625" style="57" customWidth="1"/>
    <col min="16" max="16" width="6.88671875" style="57" customWidth="1"/>
    <col min="17" max="17" width="10.77734375" style="57" customWidth="1"/>
    <col min="18" max="18" width="18.5546875" style="57" customWidth="1"/>
    <col min="19" max="19" width="15.88671875" style="57" customWidth="1"/>
    <col min="20" max="20" width="22.88671875" style="57" customWidth="1"/>
    <col min="21" max="16384" width="9.109375" style="57"/>
  </cols>
  <sheetData>
    <row r="1" spans="1:22">
      <c r="A1" s="31"/>
      <c r="B1" s="31"/>
      <c r="C1" s="209" t="s">
        <v>367</v>
      </c>
      <c r="D1" s="210"/>
      <c r="E1" s="210"/>
      <c r="F1" s="210"/>
      <c r="G1" s="210"/>
      <c r="H1" s="210"/>
      <c r="I1" s="210"/>
      <c r="J1" s="61"/>
      <c r="K1" s="211" t="s">
        <v>476</v>
      </c>
      <c r="L1" s="212"/>
      <c r="M1" s="210"/>
      <c r="N1" s="210"/>
      <c r="O1" s="210"/>
      <c r="P1" s="210"/>
      <c r="Q1" s="210"/>
      <c r="R1" s="210"/>
      <c r="S1" s="210"/>
      <c r="T1" s="210"/>
      <c r="U1" s="210"/>
      <c r="V1" s="210"/>
    </row>
    <row r="2" spans="1:22">
      <c r="A2" s="31"/>
      <c r="B2" s="31"/>
      <c r="C2" s="188" t="s">
        <v>0</v>
      </c>
      <c r="D2" s="189" t="s">
        <v>16</v>
      </c>
      <c r="E2" s="31"/>
      <c r="F2" s="31"/>
      <c r="G2" s="31"/>
      <c r="H2" s="188" t="s">
        <v>0</v>
      </c>
      <c r="I2" s="189" t="s">
        <v>16</v>
      </c>
      <c r="K2" s="62"/>
      <c r="L2" s="62"/>
      <c r="M2" s="62"/>
      <c r="N2" s="62"/>
      <c r="O2" s="62"/>
      <c r="P2" s="62"/>
      <c r="Q2" s="62"/>
      <c r="R2" s="62"/>
      <c r="S2" s="62"/>
      <c r="T2" s="62"/>
      <c r="U2" s="62"/>
      <c r="V2" s="62"/>
    </row>
    <row r="3" spans="1:22">
      <c r="A3" s="31"/>
      <c r="B3" s="31"/>
      <c r="C3" s="188" t="s">
        <v>1</v>
      </c>
      <c r="D3" s="189" t="s">
        <v>16</v>
      </c>
      <c r="E3" s="31"/>
      <c r="F3" s="31"/>
      <c r="G3" s="31"/>
      <c r="H3" s="188" t="s">
        <v>1</v>
      </c>
      <c r="I3" s="189" t="s">
        <v>16</v>
      </c>
      <c r="K3" s="62"/>
      <c r="L3" s="63"/>
      <c r="M3" s="63"/>
      <c r="N3" s="63"/>
      <c r="O3" s="63"/>
      <c r="P3" s="63"/>
      <c r="Q3" s="63"/>
      <c r="R3" s="63"/>
      <c r="S3" s="63"/>
      <c r="T3" s="63"/>
      <c r="U3" s="63"/>
      <c r="V3" s="63"/>
    </row>
    <row r="4" spans="1:22">
      <c r="A4" s="31"/>
      <c r="B4" s="31"/>
      <c r="C4" s="188" t="s">
        <v>2</v>
      </c>
      <c r="D4" s="189" t="s">
        <v>16</v>
      </c>
      <c r="H4" s="188" t="s">
        <v>2</v>
      </c>
      <c r="I4" s="189" t="s">
        <v>16</v>
      </c>
      <c r="K4" s="31"/>
      <c r="L4" s="31"/>
      <c r="Q4" s="31"/>
      <c r="R4" s="31"/>
    </row>
    <row r="5" spans="1:22">
      <c r="A5" s="31"/>
      <c r="B5" s="31"/>
      <c r="C5" s="188" t="s">
        <v>51</v>
      </c>
      <c r="D5" s="189" t="s">
        <v>16</v>
      </c>
      <c r="H5" s="188" t="s">
        <v>51</v>
      </c>
      <c r="I5" s="189" t="s">
        <v>16</v>
      </c>
      <c r="K5" s="185" t="s">
        <v>0</v>
      </c>
      <c r="L5" s="186" t="s">
        <v>16</v>
      </c>
      <c r="Q5" s="185" t="s">
        <v>0</v>
      </c>
      <c r="R5" s="186" t="s">
        <v>16</v>
      </c>
    </row>
    <row r="6" spans="1:22">
      <c r="A6" s="31"/>
      <c r="B6" s="31"/>
      <c r="C6" s="188" t="s">
        <v>3</v>
      </c>
      <c r="D6" s="189" t="s">
        <v>10</v>
      </c>
      <c r="H6" s="188" t="s">
        <v>3</v>
      </c>
      <c r="I6" s="189" t="s">
        <v>9</v>
      </c>
      <c r="K6" s="185" t="s">
        <v>3</v>
      </c>
      <c r="L6" s="186" t="s">
        <v>302</v>
      </c>
      <c r="Q6" s="185" t="s">
        <v>3</v>
      </c>
      <c r="R6" s="186" t="s">
        <v>302</v>
      </c>
    </row>
    <row r="7" spans="1:22">
      <c r="A7" s="31"/>
      <c r="B7" s="31"/>
    </row>
    <row r="8" spans="1:22">
      <c r="A8" s="24" t="s">
        <v>685</v>
      </c>
      <c r="B8" s="24" t="s">
        <v>121</v>
      </c>
      <c r="C8" s="188" t="s">
        <v>288</v>
      </c>
      <c r="D8" s="189" t="s">
        <v>294</v>
      </c>
      <c r="E8" s="189" t="s">
        <v>241</v>
      </c>
      <c r="F8" s="189" t="s">
        <v>405</v>
      </c>
      <c r="H8" s="188" t="s">
        <v>288</v>
      </c>
      <c r="I8" t="s">
        <v>372</v>
      </c>
      <c r="K8" s="185" t="s">
        <v>288</v>
      </c>
      <c r="L8" s="186" t="s">
        <v>304</v>
      </c>
      <c r="M8" s="186" t="s">
        <v>398</v>
      </c>
      <c r="N8" s="186" t="s">
        <v>303</v>
      </c>
      <c r="O8" s="186" t="s">
        <v>406</v>
      </c>
      <c r="Q8" s="185" t="s">
        <v>288</v>
      </c>
      <c r="R8" s="186" t="s">
        <v>305</v>
      </c>
      <c r="S8" s="186" t="s">
        <v>306</v>
      </c>
      <c r="T8" s="186" t="s">
        <v>307</v>
      </c>
    </row>
    <row r="9" spans="1:22">
      <c r="A9" s="29" t="str">
        <f>INDEX('OS-Machine Info'!$B:$B,MATCH(C9,'OS-Machine Info'!$A:$A,0))</f>
        <v>TestDC</v>
      </c>
      <c r="B9" s="29">
        <f>INDEX('Node Information'!$J:$J,MATCH(C9,'Node Information'!$A:$A,0))</f>
        <v>6.5428240740740704E-2</v>
      </c>
      <c r="C9" s="4" t="s">
        <v>48</v>
      </c>
      <c r="D9" s="9">
        <v>2.5000000000000001E-2</v>
      </c>
      <c r="E9" s="9">
        <v>2.5000000000000001E-2</v>
      </c>
      <c r="F9" s="9">
        <v>0</v>
      </c>
      <c r="G9" s="9"/>
      <c r="H9" s="4" t="s">
        <v>48</v>
      </c>
      <c r="I9" s="5">
        <v>23</v>
      </c>
      <c r="J9" s="5"/>
      <c r="K9" s="4" t="s">
        <v>48</v>
      </c>
      <c r="L9" s="5">
        <v>1</v>
      </c>
      <c r="M9" s="5">
        <v>0.5</v>
      </c>
      <c r="N9" s="5">
        <v>0</v>
      </c>
      <c r="O9" s="5">
        <v>0</v>
      </c>
      <c r="Q9" s="4" t="s">
        <v>48</v>
      </c>
      <c r="R9" s="5">
        <v>20388021892</v>
      </c>
      <c r="S9" s="5">
        <v>0</v>
      </c>
      <c r="T9" s="5">
        <v>0</v>
      </c>
    </row>
    <row r="10" spans="1:22">
      <c r="C10" s="4" t="s">
        <v>17</v>
      </c>
      <c r="D10" s="9">
        <v>2.5000000000000001E-2</v>
      </c>
      <c r="E10" s="9">
        <v>2.5000000000000001E-2</v>
      </c>
      <c r="F10" s="9">
        <v>0</v>
      </c>
      <c r="G10" s="9"/>
      <c r="H10" s="4" t="s">
        <v>17</v>
      </c>
      <c r="I10" s="5">
        <v>23</v>
      </c>
      <c r="J10" s="5"/>
      <c r="K10" s="4" t="s">
        <v>17</v>
      </c>
      <c r="L10" s="5">
        <v>1</v>
      </c>
      <c r="M10" s="5">
        <v>0.5</v>
      </c>
      <c r="N10" s="5">
        <v>0</v>
      </c>
      <c r="O10" s="5">
        <v>0</v>
      </c>
      <c r="Q10" s="4" t="s">
        <v>17</v>
      </c>
      <c r="R10" s="5">
        <v>20388021892</v>
      </c>
      <c r="S10" s="5">
        <v>0</v>
      </c>
      <c r="T10" s="5">
        <v>0</v>
      </c>
    </row>
    <row r="15" spans="1:22">
      <c r="H15" s="61"/>
    </row>
    <row r="21" spans="5:8">
      <c r="E21" s="4"/>
      <c r="F21" s="4"/>
      <c r="G21" s="5"/>
      <c r="H21" s="5"/>
    </row>
    <row r="22" spans="5:8">
      <c r="E22" s="4"/>
      <c r="F22" s="4"/>
      <c r="G22" s="5"/>
      <c r="H22" s="5"/>
    </row>
  </sheetData>
  <mergeCells count="4">
    <mergeCell ref="H2:I2"/>
    <mergeCell ref="K1:V1"/>
    <mergeCell ref="H3:I3"/>
    <mergeCell ref="C1:I1"/>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2" customWidth="1"/>
    <col min="11" max="11" width="11.21875" style="172" customWidth="1"/>
    <col min="12" max="12" width="10.77734375" style="172" customWidth="1"/>
    <col min="13" max="13" width="24.5546875" style="172" customWidth="1"/>
    <col min="14" max="14" width="19.44140625" style="172" customWidth="1"/>
    <col min="15" max="15" width="19" style="172" customWidth="1"/>
    <col min="16" max="16" width="6.5546875" customWidth="1"/>
    <col min="17" max="17" width="26.5546875" customWidth="1"/>
    <col min="18" max="18" width="20.88671875" customWidth="1"/>
    <col min="19" max="19" width="11.21875" customWidth="1"/>
    <col min="20" max="20" width="10.77734375" customWidth="1"/>
    <col min="21" max="21" width="10.77734375" style="172"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1"/>
      <c r="B1" s="209" t="s">
        <v>610</v>
      </c>
      <c r="C1" s="210"/>
      <c r="D1" s="210"/>
      <c r="E1" s="210"/>
      <c r="F1" s="210"/>
      <c r="G1" s="210"/>
      <c r="H1" s="210"/>
      <c r="I1" s="210"/>
      <c r="J1" s="210"/>
      <c r="K1" s="210"/>
      <c r="L1" s="210"/>
      <c r="M1" s="210"/>
      <c r="N1" s="210"/>
      <c r="O1" s="210"/>
      <c r="P1" s="210"/>
      <c r="Q1" s="210"/>
      <c r="R1" s="210"/>
      <c r="S1" s="162"/>
      <c r="T1" s="162"/>
      <c r="U1" s="171"/>
    </row>
    <row r="2" spans="1:21">
      <c r="A2" s="31"/>
      <c r="D2" s="161"/>
      <c r="E2" s="160"/>
      <c r="I2" s="161"/>
      <c r="J2" s="171"/>
      <c r="K2" s="171"/>
      <c r="L2" s="188" t="s">
        <v>0</v>
      </c>
      <c r="M2" s="189" t="s">
        <v>16</v>
      </c>
      <c r="N2" s="134"/>
      <c r="O2" s="57"/>
      <c r="P2" s="160"/>
      <c r="S2" s="161"/>
    </row>
    <row r="3" spans="1:21">
      <c r="A3" s="30"/>
      <c r="B3" s="188" t="s">
        <v>0</v>
      </c>
      <c r="C3" s="189" t="s">
        <v>16</v>
      </c>
      <c r="D3" s="160"/>
      <c r="E3" s="160"/>
      <c r="G3" s="188" t="s">
        <v>0</v>
      </c>
      <c r="H3" s="189" t="s">
        <v>16</v>
      </c>
      <c r="I3" s="160"/>
      <c r="L3" s="188" t="s">
        <v>1</v>
      </c>
      <c r="M3" s="189" t="s">
        <v>16</v>
      </c>
      <c r="N3" s="133"/>
      <c r="O3" s="134"/>
      <c r="P3" s="160"/>
      <c r="Q3" s="188" t="s">
        <v>0</v>
      </c>
      <c r="R3" s="189" t="s">
        <v>16</v>
      </c>
      <c r="S3" s="160"/>
    </row>
    <row r="4" spans="1:21">
      <c r="A4" s="30"/>
      <c r="B4" s="188" t="s">
        <v>51</v>
      </c>
      <c r="C4" s="189" t="s">
        <v>16</v>
      </c>
      <c r="D4" s="160"/>
      <c r="E4" s="160"/>
      <c r="G4" s="188" t="s">
        <v>51</v>
      </c>
      <c r="H4" s="189" t="s">
        <v>16</v>
      </c>
      <c r="I4" s="160"/>
      <c r="L4" s="188" t="s">
        <v>2</v>
      </c>
      <c r="M4" s="189" t="s">
        <v>16</v>
      </c>
      <c r="N4" s="134"/>
      <c r="O4" s="134"/>
      <c r="P4" s="160"/>
      <c r="Q4" s="188" t="s">
        <v>51</v>
      </c>
      <c r="R4" s="189" t="s">
        <v>16</v>
      </c>
      <c r="S4" s="160"/>
    </row>
    <row r="5" spans="1:21">
      <c r="A5" s="30"/>
      <c r="B5" s="188" t="s">
        <v>3</v>
      </c>
      <c r="C5" s="189" t="s">
        <v>25</v>
      </c>
      <c r="D5" s="160"/>
      <c r="E5" s="160"/>
      <c r="G5" s="188" t="s">
        <v>3</v>
      </c>
      <c r="H5" s="189" t="s">
        <v>431</v>
      </c>
      <c r="I5" s="160"/>
      <c r="L5" s="188" t="s">
        <v>51</v>
      </c>
      <c r="M5" s="189" t="s">
        <v>16</v>
      </c>
      <c r="N5" s="134"/>
      <c r="O5" s="134"/>
      <c r="P5" s="160"/>
      <c r="Q5" s="188" t="s">
        <v>3</v>
      </c>
      <c r="R5" s="189" t="s">
        <v>708</v>
      </c>
      <c r="S5" s="160"/>
    </row>
    <row r="6" spans="1:21">
      <c r="A6" s="30"/>
      <c r="B6" s="160"/>
      <c r="C6" s="160"/>
      <c r="D6" s="160"/>
      <c r="E6" s="160"/>
      <c r="G6" s="160"/>
      <c r="H6" s="160"/>
      <c r="I6" s="160"/>
      <c r="L6" s="188" t="s">
        <v>3</v>
      </c>
      <c r="M6" s="189" t="s">
        <v>25</v>
      </c>
      <c r="N6" s="134"/>
      <c r="O6" s="134"/>
      <c r="P6" s="160"/>
      <c r="Q6" s="160"/>
      <c r="R6" s="160"/>
      <c r="S6" s="160"/>
    </row>
    <row r="7" spans="1:21">
      <c r="A7" s="24" t="s">
        <v>93</v>
      </c>
      <c r="B7" s="188" t="s">
        <v>725</v>
      </c>
      <c r="C7" s="189" t="s">
        <v>607</v>
      </c>
      <c r="D7" s="189" t="s">
        <v>608</v>
      </c>
      <c r="E7" s="189" t="s">
        <v>609</v>
      </c>
      <c r="G7" s="188" t="s">
        <v>725</v>
      </c>
      <c r="H7" s="189" t="s">
        <v>706</v>
      </c>
      <c r="I7" s="189" t="s">
        <v>707</v>
      </c>
      <c r="L7" s="134"/>
      <c r="M7" s="134"/>
      <c r="N7" s="134"/>
      <c r="O7" s="134"/>
      <c r="Q7" s="188" t="s">
        <v>716</v>
      </c>
      <c r="R7" s="188" t="s">
        <v>725</v>
      </c>
    </row>
    <row r="8" spans="1:21">
      <c r="A8" s="23" t="e">
        <f>INDEX('DDL Tables'!$F:$F,MATCH(SUBSTITUTE(B8," (index)", ""),'DDL Tables'!$C:$C,0))</f>
        <v>#N/A</v>
      </c>
      <c r="B8" s="4" t="s">
        <v>47</v>
      </c>
      <c r="C8" s="5">
        <v>0</v>
      </c>
      <c r="D8" s="5">
        <v>0</v>
      </c>
      <c r="E8" s="5">
        <v>0</v>
      </c>
      <c r="G8" s="4" t="s">
        <v>47</v>
      </c>
      <c r="H8" s="104">
        <v>35</v>
      </c>
      <c r="I8" s="104">
        <v>35</v>
      </c>
      <c r="J8" s="104"/>
      <c r="K8" s="24" t="s">
        <v>685</v>
      </c>
      <c r="L8" s="188" t="s">
        <v>288</v>
      </c>
      <c r="M8" s="189" t="s">
        <v>611</v>
      </c>
      <c r="N8" s="189" t="s">
        <v>608</v>
      </c>
      <c r="O8" s="189" t="s">
        <v>609</v>
      </c>
      <c r="R8" s="189" t="s">
        <v>47</v>
      </c>
      <c r="S8" s="189" t="s">
        <v>726</v>
      </c>
      <c r="T8" s="189" t="s">
        <v>17</v>
      </c>
    </row>
    <row r="9" spans="1:21">
      <c r="B9" s="4" t="s">
        <v>17</v>
      </c>
      <c r="C9" s="5">
        <v>0</v>
      </c>
      <c r="D9" s="5">
        <v>0</v>
      </c>
      <c r="E9" s="5">
        <v>0</v>
      </c>
      <c r="G9" s="4" t="s">
        <v>17</v>
      </c>
      <c r="H9" s="104">
        <v>35</v>
      </c>
      <c r="I9" s="104">
        <v>35</v>
      </c>
      <c r="J9" s="104"/>
      <c r="K9" s="29" t="e">
        <f>INDEX('OS-Machine Info'!$B:$B,MATCH(M9,'OS-Machine Info'!$A:$A,0))</f>
        <v>#N/A</v>
      </c>
      <c r="L9" s="4" t="s">
        <v>48</v>
      </c>
      <c r="M9" s="5">
        <v>0</v>
      </c>
      <c r="N9" s="5">
        <v>0</v>
      </c>
      <c r="O9" s="5">
        <v>0</v>
      </c>
      <c r="Q9" s="188" t="s">
        <v>2</v>
      </c>
      <c r="R9" s="189" t="s">
        <v>49</v>
      </c>
    </row>
    <row r="10" spans="1:21">
      <c r="L10" s="4" t="s">
        <v>17</v>
      </c>
      <c r="M10" s="5">
        <v>0</v>
      </c>
      <c r="N10" s="5">
        <v>0</v>
      </c>
      <c r="O10" s="5">
        <v>0</v>
      </c>
      <c r="Q10" s="4" t="s">
        <v>712</v>
      </c>
      <c r="R10" s="189">
        <v>1</v>
      </c>
      <c r="S10" s="189">
        <v>1</v>
      </c>
      <c r="T10" s="189">
        <v>1</v>
      </c>
    </row>
    <row r="11" spans="1:21">
      <c r="Q11" s="4" t="s">
        <v>714</v>
      </c>
      <c r="R11" s="189">
        <v>1</v>
      </c>
      <c r="S11" s="189">
        <v>1</v>
      </c>
      <c r="T11" s="189">
        <v>1</v>
      </c>
    </row>
    <row r="12" spans="1:21">
      <c r="Q12" s="4" t="s">
        <v>713</v>
      </c>
      <c r="R12" s="189">
        <v>1</v>
      </c>
      <c r="S12" s="189">
        <v>1</v>
      </c>
      <c r="T12" s="189">
        <v>1</v>
      </c>
    </row>
    <row r="13" spans="1:21">
      <c r="Q13" s="4" t="s">
        <v>711</v>
      </c>
      <c r="R13" s="189">
        <v>1</v>
      </c>
      <c r="S13" s="189">
        <v>1</v>
      </c>
      <c r="T13" s="189">
        <v>1</v>
      </c>
    </row>
    <row r="14" spans="1:21">
      <c r="Q14" s="4" t="s">
        <v>709</v>
      </c>
      <c r="R14" s="189">
        <v>3</v>
      </c>
      <c r="S14" s="189">
        <v>3</v>
      </c>
      <c r="T14" s="189">
        <v>3</v>
      </c>
    </row>
    <row r="15" spans="1:21">
      <c r="Q15" s="4" t="s">
        <v>710</v>
      </c>
      <c r="R15" s="189">
        <v>1</v>
      </c>
      <c r="S15" s="189">
        <v>1</v>
      </c>
      <c r="T15" s="189">
        <v>1</v>
      </c>
    </row>
    <row r="16" spans="1:21">
      <c r="Q16" s="4" t="s">
        <v>715</v>
      </c>
      <c r="R16" s="189">
        <v>1</v>
      </c>
      <c r="S16" s="189">
        <v>1</v>
      </c>
      <c r="T16" s="189">
        <v>1</v>
      </c>
    </row>
    <row r="17" spans="17:20">
      <c r="Q17" s="4" t="s">
        <v>17</v>
      </c>
      <c r="R17" s="189">
        <v>9</v>
      </c>
      <c r="S17" s="189">
        <v>9</v>
      </c>
      <c r="T17" s="189">
        <v>9</v>
      </c>
    </row>
  </sheetData>
  <mergeCells count="1">
    <mergeCell ref="B1:R1"/>
  </mergeCells>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10"/>
  <sheetViews>
    <sheetView workbookViewId="0"/>
  </sheetViews>
  <sheetFormatPr defaultRowHeight="14.4"/>
  <cols>
    <col min="1" max="1" width="31.44140625" style="23" customWidth="1"/>
    <col min="2" max="2" width="16.44140625" customWidth="1"/>
    <col min="3" max="3" width="18.6640625" customWidth="1"/>
    <col min="4" max="4" width="7.88671875" customWidth="1"/>
    <col min="5" max="5" width="23.109375" style="177" customWidth="1"/>
    <col min="7" max="7" width="16.44140625" customWidth="1"/>
    <col min="8" max="8" width="17.44140625" customWidth="1"/>
    <col min="9" max="9" width="26.77734375" customWidth="1"/>
    <col min="10" max="10" width="24.88671875" style="57" customWidth="1"/>
    <col min="11" max="11" width="6.88671875" style="57" customWidth="1"/>
    <col min="12" max="12" width="9.33203125" customWidth="1"/>
  </cols>
  <sheetData>
    <row r="1" spans="1:37" s="31" customFormat="1">
      <c r="A1" s="30"/>
      <c r="B1" s="209" t="s">
        <v>367</v>
      </c>
      <c r="C1" s="210"/>
      <c r="D1" s="210"/>
      <c r="E1" s="210"/>
      <c r="F1" s="210"/>
      <c r="G1" s="210"/>
      <c r="H1" s="210"/>
      <c r="I1" s="210"/>
      <c r="J1" s="210"/>
      <c r="K1" s="61"/>
      <c r="L1" s="53"/>
      <c r="M1" s="90"/>
      <c r="N1" s="90"/>
      <c r="O1" s="90"/>
      <c r="P1" s="90"/>
      <c r="Q1" s="90"/>
      <c r="R1" s="90"/>
      <c r="S1" s="90"/>
      <c r="T1" s="90"/>
      <c r="U1" s="90"/>
      <c r="V1" s="90"/>
      <c r="W1" s="90"/>
      <c r="X1" s="90"/>
      <c r="Y1" s="90"/>
      <c r="Z1" s="90"/>
      <c r="AA1" s="90"/>
      <c r="AB1" s="90"/>
      <c r="AC1" s="90"/>
      <c r="AD1" s="90"/>
      <c r="AE1" s="90"/>
      <c r="AF1" s="90"/>
      <c r="AG1" s="90"/>
      <c r="AH1" s="90"/>
      <c r="AI1" s="90"/>
      <c r="AJ1" s="90"/>
      <c r="AK1" s="90"/>
    </row>
    <row r="2" spans="1:37" s="31" customFormat="1">
      <c r="A2" s="30"/>
      <c r="B2"/>
      <c r="C2"/>
      <c r="D2" s="53"/>
      <c r="E2" s="176"/>
      <c r="F2" s="53"/>
      <c r="G2"/>
      <c r="H2"/>
      <c r="I2" s="53"/>
      <c r="J2" s="61"/>
      <c r="K2" s="61"/>
      <c r="L2" s="49"/>
      <c r="M2" s="90"/>
      <c r="N2" s="90"/>
      <c r="O2" s="90"/>
      <c r="P2" s="90"/>
      <c r="Q2" s="90"/>
      <c r="R2" s="90"/>
      <c r="S2" s="90"/>
      <c r="T2" s="90"/>
      <c r="U2" s="90"/>
      <c r="V2" s="90"/>
      <c r="W2" s="90"/>
      <c r="X2" s="90"/>
      <c r="Y2" s="90"/>
      <c r="Z2" s="90"/>
      <c r="AA2" s="90"/>
      <c r="AB2" s="90"/>
      <c r="AC2" s="90"/>
      <c r="AD2" s="90"/>
      <c r="AE2" s="90"/>
      <c r="AF2" s="90"/>
      <c r="AG2" s="90"/>
      <c r="AH2" s="90"/>
      <c r="AI2" s="90"/>
      <c r="AJ2" s="90"/>
      <c r="AK2" s="90"/>
    </row>
    <row r="3" spans="1:37">
      <c r="A3" s="30"/>
      <c r="B3" s="188" t="s">
        <v>0</v>
      </c>
      <c r="C3" s="189" t="s">
        <v>16</v>
      </c>
      <c r="G3" s="188" t="s">
        <v>0</v>
      </c>
      <c r="H3" s="189" t="s">
        <v>16</v>
      </c>
    </row>
    <row r="4" spans="1:37">
      <c r="A4" s="30"/>
      <c r="B4" s="188" t="s">
        <v>51</v>
      </c>
      <c r="C4" s="189" t="s">
        <v>16</v>
      </c>
      <c r="G4" s="188" t="s">
        <v>51</v>
      </c>
      <c r="H4" s="189" t="s">
        <v>16</v>
      </c>
    </row>
    <row r="5" spans="1:37">
      <c r="A5" s="30"/>
      <c r="B5" s="188" t="s">
        <v>3</v>
      </c>
      <c r="C5" s="189" t="s">
        <v>12</v>
      </c>
      <c r="G5" s="188" t="s">
        <v>3</v>
      </c>
      <c r="H5" s="189" t="s">
        <v>11</v>
      </c>
    </row>
    <row r="6" spans="1:37">
      <c r="A6" s="30"/>
    </row>
    <row r="7" spans="1:37">
      <c r="A7" s="24" t="s">
        <v>93</v>
      </c>
      <c r="B7" s="188" t="s">
        <v>725</v>
      </c>
      <c r="C7" s="189" t="s">
        <v>294</v>
      </c>
      <c r="D7" s="189" t="s">
        <v>241</v>
      </c>
      <c r="E7" s="189" t="s">
        <v>405</v>
      </c>
      <c r="G7" s="188" t="s">
        <v>725</v>
      </c>
      <c r="H7" s="189" t="s">
        <v>368</v>
      </c>
      <c r="I7" s="189" t="s">
        <v>369</v>
      </c>
      <c r="J7" s="189" t="s">
        <v>373</v>
      </c>
    </row>
    <row r="8" spans="1:37">
      <c r="A8" s="23" t="e">
        <f>INDEX('DDL Tables'!$F:$F,MATCH(SUBSTITUTE(B8," (index)", ""),'DDL Tables'!$C:$C,0))</f>
        <v>#N/A</v>
      </c>
      <c r="B8" s="4" t="s">
        <v>47</v>
      </c>
      <c r="C8" s="9">
        <v>0.03</v>
      </c>
      <c r="D8" s="9">
        <v>0.03</v>
      </c>
      <c r="E8" s="9">
        <v>0</v>
      </c>
      <c r="G8" s="4" t="s">
        <v>47</v>
      </c>
      <c r="H8" s="5">
        <v>2</v>
      </c>
      <c r="I8" s="5">
        <v>2</v>
      </c>
      <c r="J8" s="189">
        <v>2</v>
      </c>
      <c r="K8" s="5"/>
      <c r="L8" s="5"/>
    </row>
    <row r="9" spans="1:37">
      <c r="B9" s="4" t="s">
        <v>17</v>
      </c>
      <c r="C9" s="9">
        <v>0.03</v>
      </c>
      <c r="D9" s="9">
        <v>0.03</v>
      </c>
      <c r="E9" s="9">
        <v>0</v>
      </c>
      <c r="G9" s="4" t="s">
        <v>17</v>
      </c>
      <c r="H9" s="5">
        <v>2</v>
      </c>
      <c r="I9" s="5">
        <v>2</v>
      </c>
      <c r="J9" s="189">
        <v>2</v>
      </c>
      <c r="K9" s="5"/>
      <c r="L9" s="5"/>
    </row>
    <row r="10" spans="1:37">
      <c r="J10"/>
    </row>
  </sheetData>
  <mergeCells count="1">
    <mergeCell ref="B1:J1"/>
  </mergeCells>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0"/>
  <sheetViews>
    <sheetView workbookViewId="0"/>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7.88671875" style="57" customWidth="1"/>
    <col min="6" max="6" width="23.109375" style="177" customWidth="1"/>
    <col min="7" max="7" width="9.109375" style="57"/>
    <col min="8" max="8" width="10.77734375" style="57" customWidth="1"/>
    <col min="9" max="9" width="17.44140625" style="57" customWidth="1"/>
    <col min="10" max="10" width="7.44140625" style="57" customWidth="1"/>
    <col min="11" max="11" width="10.77734375" style="57" customWidth="1"/>
    <col min="12" max="12" width="16.109375" style="57" customWidth="1"/>
    <col min="13" max="13" width="16.88671875" style="57" customWidth="1"/>
    <col min="14" max="14" width="16.6640625" style="57" customWidth="1"/>
    <col min="15" max="15" width="18.6640625" style="57" customWidth="1"/>
    <col min="16" max="16" width="7.44140625" style="57" customWidth="1"/>
    <col min="17" max="17" width="10.77734375" style="57" customWidth="1"/>
    <col min="18" max="18" width="18.5546875" style="57" customWidth="1"/>
    <col min="19" max="19" width="15.88671875" style="57" customWidth="1"/>
    <col min="20" max="20" width="22.88671875" style="57" customWidth="1"/>
    <col min="21" max="16384" width="9.109375" style="57"/>
  </cols>
  <sheetData>
    <row r="1" spans="1:20">
      <c r="A1" s="31"/>
      <c r="B1" s="31"/>
      <c r="C1" s="209" t="s">
        <v>367</v>
      </c>
      <c r="D1" s="210"/>
      <c r="E1" s="210"/>
      <c r="F1" s="210"/>
      <c r="G1" s="210"/>
      <c r="H1" s="210"/>
      <c r="I1" s="210"/>
      <c r="J1" s="61"/>
      <c r="K1" s="211" t="s">
        <v>477</v>
      </c>
      <c r="L1" s="212"/>
      <c r="M1" s="210"/>
      <c r="N1" s="210"/>
      <c r="O1" s="210"/>
      <c r="P1" s="210"/>
      <c r="Q1" s="210"/>
      <c r="R1" s="210"/>
      <c r="S1" s="210"/>
      <c r="T1" s="210"/>
    </row>
    <row r="2" spans="1:20" s="31" customFormat="1">
      <c r="C2" s="188" t="s">
        <v>0</v>
      </c>
      <c r="D2" s="189" t="s">
        <v>16</v>
      </c>
      <c r="H2" s="188" t="s">
        <v>0</v>
      </c>
      <c r="I2" s="189" t="s">
        <v>16</v>
      </c>
      <c r="J2" s="57"/>
      <c r="K2" s="62"/>
      <c r="L2" s="62"/>
      <c r="M2" s="62"/>
      <c r="N2" s="62"/>
      <c r="O2" s="62"/>
      <c r="P2" s="62"/>
      <c r="Q2" s="62"/>
      <c r="R2" s="62"/>
      <c r="S2" s="62"/>
      <c r="T2" s="62"/>
    </row>
    <row r="3" spans="1:20" s="31" customFormat="1">
      <c r="C3" s="188" t="s">
        <v>1</v>
      </c>
      <c r="D3" s="189" t="s">
        <v>16</v>
      </c>
      <c r="H3" s="188" t="s">
        <v>1</v>
      </c>
      <c r="I3" s="189" t="s">
        <v>16</v>
      </c>
      <c r="J3" s="57"/>
      <c r="K3" s="62"/>
      <c r="L3" s="63"/>
      <c r="M3" s="63"/>
      <c r="N3" s="63"/>
      <c r="O3" s="63"/>
      <c r="P3" s="63"/>
      <c r="Q3" s="63"/>
      <c r="R3" s="63"/>
      <c r="S3" s="63"/>
      <c r="T3" s="63"/>
    </row>
    <row r="4" spans="1:20">
      <c r="A4" s="31"/>
      <c r="B4" s="31"/>
      <c r="C4" s="188" t="s">
        <v>2</v>
      </c>
      <c r="D4" s="189" t="s">
        <v>16</v>
      </c>
      <c r="H4" s="188" t="s">
        <v>2</v>
      </c>
      <c r="I4" s="189" t="s">
        <v>16</v>
      </c>
      <c r="K4" s="31"/>
      <c r="L4" s="31"/>
    </row>
    <row r="5" spans="1:20">
      <c r="A5" s="31"/>
      <c r="B5" s="31"/>
      <c r="C5" s="188" t="s">
        <v>51</v>
      </c>
      <c r="D5" s="189" t="s">
        <v>16</v>
      </c>
      <c r="H5" s="188" t="s">
        <v>51</v>
      </c>
      <c r="I5" s="189" t="s">
        <v>16</v>
      </c>
      <c r="K5" s="185" t="s">
        <v>0</v>
      </c>
      <c r="L5" s="186" t="s">
        <v>16</v>
      </c>
      <c r="Q5" s="166" t="s">
        <v>0</v>
      </c>
      <c r="R5" s="167" t="s">
        <v>16</v>
      </c>
    </row>
    <row r="6" spans="1:20">
      <c r="A6" s="31"/>
      <c r="B6" s="31"/>
      <c r="C6" s="188" t="s">
        <v>3</v>
      </c>
      <c r="D6" s="189" t="s">
        <v>12</v>
      </c>
      <c r="H6" s="188" t="s">
        <v>3</v>
      </c>
      <c r="I6" s="189" t="s">
        <v>11</v>
      </c>
      <c r="K6" s="185" t="s">
        <v>3</v>
      </c>
      <c r="L6" s="186" t="s">
        <v>302</v>
      </c>
      <c r="Q6" s="166" t="s">
        <v>3</v>
      </c>
      <c r="R6" s="167" t="s">
        <v>302</v>
      </c>
    </row>
    <row r="7" spans="1:20">
      <c r="A7" s="31"/>
      <c r="B7" s="31"/>
    </row>
    <row r="8" spans="1:20">
      <c r="A8" s="24" t="s">
        <v>685</v>
      </c>
      <c r="B8" s="24" t="s">
        <v>121</v>
      </c>
      <c r="C8" s="188" t="s">
        <v>288</v>
      </c>
      <c r="D8" s="189" t="s">
        <v>294</v>
      </c>
      <c r="E8" s="189" t="s">
        <v>241</v>
      </c>
      <c r="F8" s="189" t="s">
        <v>405</v>
      </c>
      <c r="H8" s="188" t="s">
        <v>288</v>
      </c>
      <c r="I8" t="s">
        <v>374</v>
      </c>
      <c r="K8" s="185" t="s">
        <v>288</v>
      </c>
      <c r="L8" s="186" t="s">
        <v>304</v>
      </c>
      <c r="M8" s="186" t="s">
        <v>407</v>
      </c>
      <c r="N8" s="186" t="s">
        <v>303</v>
      </c>
      <c r="O8" s="186" t="s">
        <v>406</v>
      </c>
      <c r="Q8" s="166" t="s">
        <v>288</v>
      </c>
      <c r="R8" s="167" t="s">
        <v>305</v>
      </c>
      <c r="S8" s="167" t="s">
        <v>306</v>
      </c>
      <c r="T8" s="167" t="s">
        <v>307</v>
      </c>
    </row>
    <row r="9" spans="1:20">
      <c r="A9" s="29" t="str">
        <f>INDEX('OS-Machine Info'!$B:$B,MATCH(C9,'OS-Machine Info'!$A:$A,0))</f>
        <v>TestDC</v>
      </c>
      <c r="B9" s="29">
        <f>INDEX('Node Information'!J:$J,MATCH(C9,'Node Information'!$A:$A,0))</f>
        <v>6.5428240740740704E-2</v>
      </c>
      <c r="C9" s="4" t="s">
        <v>48</v>
      </c>
      <c r="D9" s="9">
        <v>0.03</v>
      </c>
      <c r="E9" s="9">
        <v>0.03</v>
      </c>
      <c r="F9" s="9">
        <v>0</v>
      </c>
      <c r="G9" s="9"/>
      <c r="H9" s="4" t="s">
        <v>48</v>
      </c>
      <c r="I9" s="5">
        <v>2</v>
      </c>
      <c r="J9" s="5"/>
      <c r="K9" s="4" t="s">
        <v>48</v>
      </c>
      <c r="L9" s="5">
        <v>45</v>
      </c>
      <c r="M9" s="5">
        <v>22.5</v>
      </c>
      <c r="N9" s="5">
        <v>175</v>
      </c>
      <c r="O9" s="5">
        <v>87.5</v>
      </c>
      <c r="P9" s="5"/>
      <c r="Q9" s="4" t="s">
        <v>48</v>
      </c>
      <c r="R9" s="5">
        <v>96947910173</v>
      </c>
      <c r="S9" s="5">
        <v>0</v>
      </c>
      <c r="T9" s="5">
        <v>0</v>
      </c>
    </row>
    <row r="10" spans="1:20">
      <c r="C10" s="4" t="s">
        <v>17</v>
      </c>
      <c r="D10" s="9">
        <v>0.03</v>
      </c>
      <c r="E10" s="9">
        <v>0.03</v>
      </c>
      <c r="F10" s="9">
        <v>0</v>
      </c>
      <c r="G10" s="9"/>
      <c r="H10" s="4" t="s">
        <v>17</v>
      </c>
      <c r="I10" s="5">
        <v>2</v>
      </c>
      <c r="J10" s="5"/>
      <c r="K10" s="4" t="s">
        <v>17</v>
      </c>
      <c r="L10" s="5">
        <v>45</v>
      </c>
      <c r="M10" s="5">
        <v>22.5</v>
      </c>
      <c r="N10" s="5">
        <v>175</v>
      </c>
      <c r="O10" s="5">
        <v>87.5</v>
      </c>
      <c r="P10" s="5"/>
      <c r="Q10" s="4" t="s">
        <v>17</v>
      </c>
      <c r="R10" s="5">
        <v>96947910173</v>
      </c>
      <c r="S10" s="5">
        <v>0</v>
      </c>
      <c r="T10" s="5">
        <v>0</v>
      </c>
    </row>
  </sheetData>
  <mergeCells count="4">
    <mergeCell ref="H2:I2"/>
    <mergeCell ref="K1:T1"/>
    <mergeCell ref="H3:I3"/>
    <mergeCell ref="C1:I1"/>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12"/>
      <c r="B1" s="210"/>
      <c r="C1" s="210"/>
      <c r="D1" s="210"/>
      <c r="E1" s="210"/>
      <c r="F1" s="210"/>
      <c r="G1" s="210"/>
      <c r="H1" s="210"/>
      <c r="I1" s="210"/>
      <c r="J1" s="211"/>
      <c r="K1" s="212"/>
      <c r="L1" s="210"/>
      <c r="M1" s="210"/>
      <c r="N1" s="210"/>
      <c r="O1" s="210"/>
      <c r="P1" s="210"/>
      <c r="Q1" s="210"/>
      <c r="R1" s="210"/>
      <c r="S1" s="210"/>
      <c r="T1" s="211"/>
      <c r="U1" s="212"/>
      <c r="V1" s="210"/>
      <c r="W1" s="210"/>
      <c r="X1" s="210"/>
      <c r="Y1" s="210"/>
      <c r="Z1" s="210"/>
      <c r="AA1" s="210"/>
      <c r="AB1" s="210"/>
      <c r="AC1" s="210"/>
      <c r="AD1" s="211"/>
      <c r="AE1" s="212"/>
      <c r="AF1" s="210"/>
    </row>
    <row r="2" spans="1:34">
      <c r="A2" s="189"/>
      <c r="B2" s="189"/>
      <c r="C2" s="187"/>
      <c r="D2" s="187"/>
      <c r="E2" s="187"/>
      <c r="F2" s="189"/>
      <c r="G2" s="189"/>
      <c r="H2" s="187"/>
      <c r="I2" s="187"/>
      <c r="K2" s="189"/>
      <c r="L2" s="189"/>
      <c r="M2" s="187"/>
      <c r="N2" s="187"/>
      <c r="P2" s="189"/>
      <c r="Q2" s="189"/>
      <c r="R2" s="187"/>
      <c r="S2" s="187"/>
      <c r="T2" s="187"/>
      <c r="U2" s="189"/>
      <c r="V2" s="189"/>
      <c r="W2" s="187"/>
      <c r="X2" s="187"/>
      <c r="Y2" s="189"/>
      <c r="Z2" s="189"/>
      <c r="AA2" s="189"/>
      <c r="AB2" s="187"/>
      <c r="AC2" s="187"/>
      <c r="AE2" s="189"/>
      <c r="AF2" s="189"/>
      <c r="AG2" s="187"/>
      <c r="AH2" s="187"/>
    </row>
    <row r="3" spans="1:34">
      <c r="A3" s="188" t="s">
        <v>0</v>
      </c>
      <c r="B3" s="189" t="s">
        <v>16</v>
      </c>
      <c r="C3" s="189"/>
      <c r="D3" s="189"/>
      <c r="E3" s="189"/>
      <c r="F3" s="188" t="s">
        <v>0</v>
      </c>
      <c r="G3" s="189" t="s">
        <v>16</v>
      </c>
      <c r="H3" s="189"/>
      <c r="I3" s="189"/>
      <c r="K3" s="188" t="s">
        <v>0</v>
      </c>
      <c r="L3" s="189" t="s">
        <v>16</v>
      </c>
      <c r="M3" s="189"/>
      <c r="N3" s="189"/>
      <c r="P3" s="188" t="s">
        <v>0</v>
      </c>
      <c r="Q3" s="189" t="s">
        <v>16</v>
      </c>
      <c r="R3" s="189"/>
      <c r="S3" s="189"/>
      <c r="T3" s="189"/>
      <c r="U3" s="188" t="s">
        <v>0</v>
      </c>
      <c r="V3" s="189" t="s">
        <v>16</v>
      </c>
      <c r="W3" s="189"/>
      <c r="X3" s="189"/>
      <c r="Y3" s="189"/>
      <c r="Z3" s="188" t="s">
        <v>0</v>
      </c>
      <c r="AA3" s="189" t="s">
        <v>16</v>
      </c>
      <c r="AB3" s="189"/>
      <c r="AC3" s="189"/>
      <c r="AE3" s="188" t="s">
        <v>0</v>
      </c>
      <c r="AF3" s="189" t="s">
        <v>16</v>
      </c>
      <c r="AG3" s="189"/>
      <c r="AH3" s="189"/>
    </row>
    <row r="4" spans="1:34">
      <c r="A4" s="188" t="s">
        <v>51</v>
      </c>
      <c r="B4" s="189" t="s">
        <v>16</v>
      </c>
      <c r="C4" s="189"/>
      <c r="D4" s="189"/>
      <c r="E4" s="189"/>
      <c r="F4" s="188" t="s">
        <v>51</v>
      </c>
      <c r="G4" s="189" t="s">
        <v>16</v>
      </c>
      <c r="H4" s="189"/>
      <c r="I4" s="189"/>
      <c r="K4" s="188" t="s">
        <v>51</v>
      </c>
      <c r="L4" s="189" t="s">
        <v>16</v>
      </c>
      <c r="M4" s="189"/>
      <c r="N4" s="189"/>
      <c r="P4" s="188" t="s">
        <v>51</v>
      </c>
      <c r="Q4" s="189" t="s">
        <v>16</v>
      </c>
      <c r="R4" s="189"/>
      <c r="S4" s="189"/>
      <c r="T4" s="189"/>
      <c r="U4" s="188" t="s">
        <v>51</v>
      </c>
      <c r="V4" s="189" t="s">
        <v>16</v>
      </c>
      <c r="W4" s="189"/>
      <c r="X4" s="189"/>
      <c r="Y4" s="189"/>
      <c r="Z4" s="188" t="s">
        <v>51</v>
      </c>
      <c r="AA4" s="189" t="s">
        <v>16</v>
      </c>
      <c r="AB4" s="189"/>
      <c r="AC4" s="189"/>
      <c r="AE4" s="188" t="s">
        <v>51</v>
      </c>
      <c r="AF4" s="189" t="s">
        <v>16</v>
      </c>
      <c r="AG4" s="189"/>
      <c r="AH4" s="189"/>
    </row>
    <row r="5" spans="1:34">
      <c r="A5" s="188" t="s">
        <v>3</v>
      </c>
      <c r="B5" s="189" t="s">
        <v>772</v>
      </c>
      <c r="C5" s="189"/>
      <c r="D5" s="189"/>
      <c r="E5" s="189"/>
      <c r="F5" s="188" t="s">
        <v>3</v>
      </c>
      <c r="G5" s="189" t="s">
        <v>773</v>
      </c>
      <c r="H5" s="189"/>
      <c r="I5" s="189"/>
      <c r="K5" s="188" t="s">
        <v>3</v>
      </c>
      <c r="L5" s="189" t="s">
        <v>774</v>
      </c>
      <c r="M5" s="189"/>
      <c r="N5" s="189"/>
      <c r="P5" s="188" t="s">
        <v>3</v>
      </c>
      <c r="Q5" s="189" t="s">
        <v>775</v>
      </c>
      <c r="R5" s="189"/>
      <c r="S5" s="189"/>
      <c r="T5" s="189"/>
      <c r="U5" s="188" t="s">
        <v>3</v>
      </c>
      <c r="V5" s="189" t="s">
        <v>776</v>
      </c>
      <c r="W5" s="189"/>
      <c r="X5" s="189"/>
      <c r="Y5" s="189"/>
      <c r="Z5" s="188" t="s">
        <v>3</v>
      </c>
      <c r="AA5" s="189" t="s">
        <v>777</v>
      </c>
      <c r="AB5" s="189"/>
      <c r="AC5" s="189"/>
      <c r="AE5" s="188" t="s">
        <v>3</v>
      </c>
      <c r="AF5" s="189" t="s">
        <v>778</v>
      </c>
      <c r="AG5" s="189"/>
      <c r="AH5" s="189"/>
    </row>
    <row r="6" spans="1:34">
      <c r="A6" s="189"/>
      <c r="B6" s="189"/>
      <c r="C6" s="189"/>
      <c r="D6" s="189"/>
      <c r="E6" s="189"/>
      <c r="F6" s="189"/>
      <c r="G6" s="189"/>
      <c r="H6" s="189"/>
      <c r="I6" s="189"/>
      <c r="K6" s="189"/>
      <c r="L6" s="189"/>
      <c r="M6" s="189"/>
      <c r="N6" s="189"/>
      <c r="P6" s="189"/>
      <c r="Q6" s="189"/>
      <c r="R6" s="189"/>
      <c r="S6" s="189"/>
      <c r="T6" s="189"/>
      <c r="U6" s="189"/>
      <c r="V6" s="189"/>
      <c r="W6" s="189"/>
      <c r="X6" s="189"/>
      <c r="Y6" s="189"/>
      <c r="Z6" s="189"/>
      <c r="AA6" s="189"/>
      <c r="AB6" s="189"/>
      <c r="AC6" s="189"/>
      <c r="AE6" s="189"/>
      <c r="AF6" s="189"/>
      <c r="AG6" s="189"/>
      <c r="AH6" s="189"/>
    </row>
    <row r="7" spans="1:34">
      <c r="A7" s="188" t="s">
        <v>725</v>
      </c>
      <c r="B7" s="189" t="s">
        <v>781</v>
      </c>
      <c r="C7" s="189" t="s">
        <v>782</v>
      </c>
      <c r="D7" s="189" t="s">
        <v>783</v>
      </c>
      <c r="E7" s="189"/>
      <c r="F7" s="188" t="s">
        <v>725</v>
      </c>
      <c r="G7" s="189" t="s">
        <v>786</v>
      </c>
      <c r="H7" s="189" t="s">
        <v>784</v>
      </c>
      <c r="I7" s="189" t="s">
        <v>785</v>
      </c>
      <c r="K7" s="188" t="s">
        <v>725</v>
      </c>
      <c r="L7" s="189" t="s">
        <v>787</v>
      </c>
      <c r="M7" s="189" t="s">
        <v>241</v>
      </c>
      <c r="N7" s="189" t="s">
        <v>788</v>
      </c>
      <c r="P7" s="188" t="s">
        <v>725</v>
      </c>
      <c r="Q7" s="189" t="s">
        <v>789</v>
      </c>
      <c r="R7" s="189" t="s">
        <v>783</v>
      </c>
      <c r="S7" s="189" t="s">
        <v>790</v>
      </c>
      <c r="T7" s="189"/>
      <c r="U7" s="188" t="s">
        <v>725</v>
      </c>
      <c r="V7" s="189" t="s">
        <v>791</v>
      </c>
      <c r="W7" s="189" t="s">
        <v>785</v>
      </c>
      <c r="X7" s="189" t="s">
        <v>792</v>
      </c>
      <c r="Y7" s="189"/>
      <c r="Z7" s="188" t="s">
        <v>725</v>
      </c>
      <c r="AA7" s="189" t="s">
        <v>793</v>
      </c>
      <c r="AB7" s="189" t="s">
        <v>788</v>
      </c>
      <c r="AC7" s="189" t="s">
        <v>794</v>
      </c>
      <c r="AE7" s="188" t="s">
        <v>725</v>
      </c>
      <c r="AF7" t="s">
        <v>795</v>
      </c>
    </row>
    <row r="8" spans="1:34">
      <c r="A8" s="4" t="s">
        <v>47</v>
      </c>
      <c r="B8" s="5">
        <v>10149889</v>
      </c>
      <c r="C8" s="5">
        <v>10149889</v>
      </c>
      <c r="D8" s="5">
        <v>10149889</v>
      </c>
      <c r="E8" s="189"/>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9"/>
      <c r="U8" s="4" t="s">
        <v>47</v>
      </c>
      <c r="V8" s="6">
        <v>7.90240478515625</v>
      </c>
      <c r="W8" s="6">
        <v>7.90240478515625</v>
      </c>
      <c r="X8" s="6">
        <v>7.90240478515625</v>
      </c>
      <c r="Y8" s="189"/>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9"/>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9"/>
      <c r="U9" s="4" t="s">
        <v>17</v>
      </c>
      <c r="V9" s="6">
        <v>7.90240478515625</v>
      </c>
      <c r="W9" s="6">
        <v>7.90240478515625</v>
      </c>
      <c r="X9" s="6">
        <v>7.90240478515625</v>
      </c>
      <c r="Y9" s="189"/>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9" customFormat="1">
      <c r="A1" s="211" t="s">
        <v>780</v>
      </c>
      <c r="B1" s="212"/>
      <c r="C1" s="210"/>
      <c r="D1" s="210"/>
      <c r="E1" s="210"/>
      <c r="F1" s="210"/>
      <c r="G1" s="210"/>
      <c r="H1" s="210"/>
      <c r="I1" s="210"/>
      <c r="J1" s="210"/>
      <c r="K1" s="211"/>
      <c r="L1" s="212"/>
      <c r="M1" s="210"/>
      <c r="N1" s="210"/>
      <c r="O1" s="210"/>
      <c r="P1" s="210"/>
      <c r="Q1" s="210"/>
      <c r="R1" s="210"/>
      <c r="S1" s="210"/>
      <c r="T1" s="210"/>
      <c r="U1" s="211"/>
      <c r="V1" s="212"/>
      <c r="W1" s="210"/>
      <c r="X1" s="210"/>
      <c r="Y1" s="210"/>
      <c r="Z1" s="210"/>
      <c r="AA1" s="210"/>
      <c r="AB1" s="210"/>
      <c r="AC1" s="210"/>
      <c r="AD1" s="210"/>
      <c r="AE1" s="211"/>
      <c r="AF1" s="212"/>
      <c r="AG1" s="210"/>
    </row>
    <row r="2" spans="1:33">
      <c r="A2" s="189"/>
      <c r="B2" s="189"/>
      <c r="C2" s="187"/>
      <c r="D2" s="187"/>
      <c r="E2" s="187"/>
      <c r="F2" s="189"/>
      <c r="G2" s="189"/>
      <c r="H2" s="187"/>
      <c r="I2" s="187"/>
      <c r="J2" s="189"/>
      <c r="K2" s="189"/>
      <c r="L2" s="189"/>
      <c r="M2" s="187"/>
      <c r="N2" s="187"/>
      <c r="O2" s="189"/>
      <c r="P2" s="189"/>
      <c r="Q2" s="189"/>
      <c r="R2" s="187"/>
      <c r="S2" s="187"/>
      <c r="T2" s="187"/>
      <c r="U2" s="189"/>
      <c r="V2" s="189"/>
      <c r="W2" s="187"/>
      <c r="X2" s="187"/>
      <c r="Y2" s="189"/>
      <c r="Z2" s="189"/>
      <c r="AA2" s="189"/>
      <c r="AB2" s="187"/>
      <c r="AC2" s="187"/>
      <c r="AD2" s="189"/>
      <c r="AE2" s="189"/>
      <c r="AF2" s="189"/>
    </row>
    <row r="3" spans="1:33">
      <c r="A3" s="188" t="s">
        <v>0</v>
      </c>
      <c r="B3" s="189" t="s">
        <v>16</v>
      </c>
      <c r="C3" s="189"/>
      <c r="D3" s="189"/>
      <c r="E3" s="189"/>
      <c r="F3" s="188" t="s">
        <v>0</v>
      </c>
      <c r="G3" s="189" t="s">
        <v>16</v>
      </c>
      <c r="H3" s="189"/>
      <c r="I3" s="189"/>
      <c r="J3" s="189"/>
      <c r="K3" s="188" t="s">
        <v>0</v>
      </c>
      <c r="L3" s="189" t="s">
        <v>16</v>
      </c>
      <c r="M3" s="189"/>
      <c r="N3" s="189"/>
      <c r="O3" s="189"/>
      <c r="P3" s="188" t="s">
        <v>0</v>
      </c>
      <c r="Q3" s="189" t="s">
        <v>16</v>
      </c>
      <c r="R3" s="189"/>
      <c r="S3" s="189"/>
      <c r="T3" s="189"/>
      <c r="U3" s="188" t="s">
        <v>0</v>
      </c>
      <c r="V3" s="189" t="s">
        <v>16</v>
      </c>
      <c r="W3" s="189"/>
      <c r="X3" s="189"/>
      <c r="Y3" s="189"/>
      <c r="Z3" s="188" t="s">
        <v>0</v>
      </c>
      <c r="AA3" s="189" t="s">
        <v>16</v>
      </c>
      <c r="AB3" s="189"/>
      <c r="AC3" s="189"/>
      <c r="AD3" s="189"/>
      <c r="AE3" s="188" t="s">
        <v>0</v>
      </c>
      <c r="AF3" s="189" t="s">
        <v>16</v>
      </c>
    </row>
    <row r="4" spans="1:33">
      <c r="A4" s="188" t="s">
        <v>51</v>
      </c>
      <c r="B4" s="189" t="s">
        <v>16</v>
      </c>
      <c r="C4" s="189"/>
      <c r="D4" s="189"/>
      <c r="E4" s="189"/>
      <c r="F4" s="188" t="s">
        <v>51</v>
      </c>
      <c r="G4" s="189" t="s">
        <v>16</v>
      </c>
      <c r="H4" s="189"/>
      <c r="I4" s="189"/>
      <c r="J4" s="189"/>
      <c r="K4" s="188" t="s">
        <v>51</v>
      </c>
      <c r="L4" s="189" t="s">
        <v>16</v>
      </c>
      <c r="M4" s="189"/>
      <c r="N4" s="189"/>
      <c r="O4" s="189"/>
      <c r="P4" s="188" t="s">
        <v>51</v>
      </c>
      <c r="Q4" s="189" t="s">
        <v>16</v>
      </c>
      <c r="R4" s="189"/>
      <c r="S4" s="189"/>
      <c r="T4" s="189"/>
      <c r="U4" s="188" t="s">
        <v>51</v>
      </c>
      <c r="V4" s="189" t="s">
        <v>16</v>
      </c>
      <c r="W4" s="189"/>
      <c r="X4" s="189"/>
      <c r="Y4" s="189"/>
      <c r="Z4" s="188" t="s">
        <v>51</v>
      </c>
      <c r="AA4" s="189" t="s">
        <v>16</v>
      </c>
      <c r="AB4" s="189"/>
      <c r="AC4" s="189"/>
      <c r="AD4" s="189"/>
      <c r="AE4" s="188" t="s">
        <v>51</v>
      </c>
      <c r="AF4" s="189" t="s">
        <v>16</v>
      </c>
    </row>
    <row r="5" spans="1:33">
      <c r="A5" s="188" t="s">
        <v>3</v>
      </c>
      <c r="B5" s="189" t="s">
        <v>772</v>
      </c>
      <c r="C5" s="189"/>
      <c r="D5" s="189"/>
      <c r="E5" s="189"/>
      <c r="F5" s="188" t="s">
        <v>3</v>
      </c>
      <c r="G5" s="189" t="s">
        <v>773</v>
      </c>
      <c r="H5" s="189"/>
      <c r="I5" s="189"/>
      <c r="J5" s="189"/>
      <c r="K5" s="188" t="s">
        <v>3</v>
      </c>
      <c r="L5" s="189" t="s">
        <v>774</v>
      </c>
      <c r="M5" s="189"/>
      <c r="N5" s="189"/>
      <c r="O5" s="189"/>
      <c r="P5" s="188" t="s">
        <v>3</v>
      </c>
      <c r="Q5" s="189" t="s">
        <v>775</v>
      </c>
      <c r="R5" s="189"/>
      <c r="S5" s="189"/>
      <c r="T5" s="189"/>
      <c r="U5" s="188" t="s">
        <v>3</v>
      </c>
      <c r="V5" s="189" t="s">
        <v>776</v>
      </c>
      <c r="W5" s="189"/>
      <c r="X5" s="189"/>
      <c r="Y5" s="189"/>
      <c r="Z5" s="188" t="s">
        <v>3</v>
      </c>
      <c r="AA5" s="189" t="s">
        <v>777</v>
      </c>
      <c r="AB5" s="189"/>
      <c r="AC5" s="189"/>
      <c r="AD5" s="189"/>
      <c r="AE5" s="188" t="s">
        <v>3</v>
      </c>
      <c r="AF5" s="189" t="s">
        <v>778</v>
      </c>
    </row>
    <row r="6" spans="1:33">
      <c r="A6" s="189"/>
      <c r="B6" s="189"/>
      <c r="C6" s="189"/>
      <c r="D6" s="189"/>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row>
    <row r="7" spans="1:33">
      <c r="A7" s="188" t="s">
        <v>725</v>
      </c>
      <c r="B7" s="189" t="s">
        <v>781</v>
      </c>
      <c r="C7" s="189" t="s">
        <v>782</v>
      </c>
      <c r="D7" s="189" t="s">
        <v>783</v>
      </c>
      <c r="E7" s="189"/>
      <c r="F7" s="188" t="s">
        <v>725</v>
      </c>
      <c r="G7" s="189" t="s">
        <v>786</v>
      </c>
      <c r="H7" s="189" t="s">
        <v>784</v>
      </c>
      <c r="I7" s="189" t="s">
        <v>785</v>
      </c>
      <c r="J7" s="189"/>
      <c r="K7" s="188" t="s">
        <v>725</v>
      </c>
      <c r="L7" s="189" t="s">
        <v>787</v>
      </c>
      <c r="M7" s="189" t="s">
        <v>241</v>
      </c>
      <c r="N7" s="189" t="s">
        <v>788</v>
      </c>
      <c r="O7" s="189"/>
      <c r="P7" s="188" t="s">
        <v>725</v>
      </c>
      <c r="Q7" s="189" t="s">
        <v>789</v>
      </c>
      <c r="R7" s="189" t="s">
        <v>783</v>
      </c>
      <c r="S7" s="189" t="s">
        <v>790</v>
      </c>
      <c r="T7" s="189"/>
      <c r="U7" s="188" t="s">
        <v>725</v>
      </c>
      <c r="V7" s="189" t="s">
        <v>791</v>
      </c>
      <c r="W7" s="189" t="s">
        <v>785</v>
      </c>
      <c r="X7" s="189" t="s">
        <v>792</v>
      </c>
      <c r="Y7" s="189"/>
      <c r="Z7" s="188" t="s">
        <v>725</v>
      </c>
      <c r="AA7" s="189" t="s">
        <v>793</v>
      </c>
      <c r="AB7" s="189" t="s">
        <v>788</v>
      </c>
      <c r="AC7" s="189" t="s">
        <v>794</v>
      </c>
      <c r="AD7" s="189"/>
      <c r="AE7" s="188" t="s">
        <v>725</v>
      </c>
      <c r="AF7" t="s">
        <v>795</v>
      </c>
    </row>
    <row r="8" spans="1:33">
      <c r="A8" s="4" t="s">
        <v>48</v>
      </c>
      <c r="B8" s="5">
        <v>10149889</v>
      </c>
      <c r="C8" s="5">
        <v>10149889</v>
      </c>
      <c r="D8" s="5">
        <v>10149889</v>
      </c>
      <c r="E8" s="189"/>
      <c r="F8" s="4" t="s">
        <v>48</v>
      </c>
      <c r="G8" s="5">
        <v>216159</v>
      </c>
      <c r="H8" s="5">
        <v>216159</v>
      </c>
      <c r="I8" s="5">
        <v>216159</v>
      </c>
      <c r="J8" s="189"/>
      <c r="K8" s="4" t="s">
        <v>48</v>
      </c>
      <c r="L8" s="5">
        <v>5706858</v>
      </c>
      <c r="M8" s="5">
        <v>5706858</v>
      </c>
      <c r="N8" s="5">
        <v>5706858</v>
      </c>
      <c r="O8" s="189"/>
      <c r="P8" s="4" t="s">
        <v>48</v>
      </c>
      <c r="Q8" s="6">
        <v>240.49652033003522</v>
      </c>
      <c r="R8" s="6">
        <v>240.49652033003522</v>
      </c>
      <c r="S8" s="6">
        <v>240.49652033003522</v>
      </c>
      <c r="T8" s="189"/>
      <c r="U8" s="4" t="s">
        <v>48</v>
      </c>
      <c r="V8" s="6">
        <v>7.90240478515625</v>
      </c>
      <c r="W8" s="6">
        <v>7.90240478515625</v>
      </c>
      <c r="X8" s="6">
        <v>7.90240478515625</v>
      </c>
      <c r="Y8" s="189"/>
      <c r="Z8" s="4" t="s">
        <v>48</v>
      </c>
      <c r="AA8" s="6">
        <v>240.49652033003522</v>
      </c>
      <c r="AB8" s="6">
        <v>240.49652033003522</v>
      </c>
      <c r="AC8" s="6">
        <v>240.49652033003522</v>
      </c>
      <c r="AD8" s="189"/>
      <c r="AE8" s="4" t="s">
        <v>48</v>
      </c>
      <c r="AF8" s="6">
        <v>15151.280780792236</v>
      </c>
    </row>
    <row r="9" spans="1:33">
      <c r="A9" s="4" t="s">
        <v>17</v>
      </c>
      <c r="B9" s="5">
        <v>10149889</v>
      </c>
      <c r="C9" s="5">
        <v>10149889</v>
      </c>
      <c r="D9" s="5">
        <v>10149889</v>
      </c>
      <c r="E9" s="189"/>
      <c r="F9" s="4" t="s">
        <v>17</v>
      </c>
      <c r="G9" s="5">
        <v>216159</v>
      </c>
      <c r="H9" s="5">
        <v>216159</v>
      </c>
      <c r="I9" s="5">
        <v>216159</v>
      </c>
      <c r="J9" s="189"/>
      <c r="K9" s="4" t="s">
        <v>17</v>
      </c>
      <c r="L9" s="5">
        <v>5706858</v>
      </c>
      <c r="M9" s="5">
        <v>5706858</v>
      </c>
      <c r="N9" s="5">
        <v>5706858</v>
      </c>
      <c r="O9" s="189"/>
      <c r="P9" s="4" t="s">
        <v>17</v>
      </c>
      <c r="Q9" s="6">
        <v>240.49652033003522</v>
      </c>
      <c r="R9" s="6">
        <v>240.49652033003522</v>
      </c>
      <c r="S9" s="6">
        <v>240.49652033003522</v>
      </c>
      <c r="T9" s="189"/>
      <c r="U9" s="4" t="s">
        <v>17</v>
      </c>
      <c r="V9" s="6">
        <v>7.90240478515625</v>
      </c>
      <c r="W9" s="6">
        <v>7.90240478515625</v>
      </c>
      <c r="X9" s="6">
        <v>7.90240478515625</v>
      </c>
      <c r="Y9" s="189"/>
      <c r="Z9" s="4" t="s">
        <v>17</v>
      </c>
      <c r="AA9" s="6">
        <v>240.49652033003522</v>
      </c>
      <c r="AB9" s="6">
        <v>240.49652033003522</v>
      </c>
      <c r="AC9" s="6">
        <v>240.49652033003522</v>
      </c>
      <c r="AD9" s="189"/>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30" customFormat="1"/>
    <row r="2" spans="1:18" s="52" customFormat="1">
      <c r="A2" s="207" t="s">
        <v>145</v>
      </c>
      <c r="B2" s="208"/>
      <c r="C2" s="208"/>
      <c r="D2" s="208"/>
      <c r="E2" s="208"/>
      <c r="F2" s="208"/>
      <c r="G2" s="208"/>
      <c r="H2" s="208"/>
      <c r="I2" s="208"/>
      <c r="J2" s="208"/>
      <c r="K2" s="208"/>
      <c r="L2" s="209" t="s">
        <v>367</v>
      </c>
      <c r="M2" s="210"/>
      <c r="N2" s="210"/>
      <c r="O2" s="210"/>
      <c r="P2" s="210"/>
      <c r="Q2" s="210"/>
      <c r="R2" s="210"/>
    </row>
    <row r="3" spans="1:18">
      <c r="A3" s="54"/>
      <c r="B3" s="55"/>
      <c r="C3" s="55"/>
      <c r="D3" s="178"/>
      <c r="E3" s="55"/>
      <c r="F3" s="55"/>
      <c r="G3" s="55"/>
      <c r="H3" s="55"/>
      <c r="I3" s="55"/>
      <c r="J3" s="55"/>
      <c r="K3" s="55"/>
      <c r="N3" s="53"/>
      <c r="O3" s="49"/>
      <c r="R3" s="159"/>
    </row>
    <row r="4" spans="1:18">
      <c r="C4" s="33"/>
      <c r="D4" s="33"/>
      <c r="E4" s="33"/>
      <c r="K4" s="33"/>
      <c r="L4" s="188" t="s">
        <v>0</v>
      </c>
      <c r="M4" s="189" t="s">
        <v>16</v>
      </c>
      <c r="P4" s="188" t="s">
        <v>0</v>
      </c>
      <c r="Q4" s="189" t="s">
        <v>16</v>
      </c>
      <c r="R4" s="160"/>
    </row>
    <row r="5" spans="1:18">
      <c r="A5" s="188" t="s">
        <v>0</v>
      </c>
      <c r="B5" s="189" t="s">
        <v>16</v>
      </c>
      <c r="C5" s="33"/>
      <c r="D5" s="33"/>
      <c r="E5" s="33"/>
      <c r="F5" s="188" t="s">
        <v>0</v>
      </c>
      <c r="G5" s="189" t="s">
        <v>16</v>
      </c>
      <c r="I5" s="188" t="s">
        <v>0</v>
      </c>
      <c r="J5" s="189" t="s">
        <v>16</v>
      </c>
      <c r="K5" s="33"/>
      <c r="L5" s="188" t="s">
        <v>51</v>
      </c>
      <c r="M5" s="189" t="s">
        <v>16</v>
      </c>
      <c r="P5" s="188" t="s">
        <v>51</v>
      </c>
      <c r="Q5" s="189" t="s">
        <v>16</v>
      </c>
      <c r="R5" s="160"/>
    </row>
    <row r="6" spans="1:18">
      <c r="A6" s="188" t="s">
        <v>3</v>
      </c>
      <c r="B6" s="189" t="s">
        <v>112</v>
      </c>
      <c r="C6" s="33"/>
      <c r="D6" s="33"/>
      <c r="E6" s="33"/>
      <c r="F6" s="188" t="s">
        <v>3</v>
      </c>
      <c r="G6" s="189" t="s">
        <v>114</v>
      </c>
      <c r="I6" s="188" t="s">
        <v>3</v>
      </c>
      <c r="J6" s="189" t="s">
        <v>143</v>
      </c>
      <c r="K6" s="33"/>
      <c r="L6" s="188" t="s">
        <v>3</v>
      </c>
      <c r="M6" s="189" t="s">
        <v>15</v>
      </c>
      <c r="P6" s="188" t="s">
        <v>3</v>
      </c>
      <c r="Q6" s="189" t="s">
        <v>45</v>
      </c>
      <c r="R6" s="160"/>
    </row>
    <row r="7" spans="1:18">
      <c r="P7" s="160"/>
      <c r="Q7" s="160"/>
      <c r="R7" s="160"/>
    </row>
    <row r="8" spans="1:18">
      <c r="A8" s="188" t="s">
        <v>725</v>
      </c>
      <c r="B8" s="189" t="s">
        <v>291</v>
      </c>
      <c r="C8" s="189" t="s">
        <v>241</v>
      </c>
      <c r="D8" s="189" t="s">
        <v>408</v>
      </c>
      <c r="F8" s="188" t="s">
        <v>725</v>
      </c>
      <c r="G8" t="s">
        <v>290</v>
      </c>
      <c r="I8" s="188" t="s">
        <v>725</v>
      </c>
      <c r="J8" t="s">
        <v>289</v>
      </c>
      <c r="L8" s="188" t="s">
        <v>725</v>
      </c>
      <c r="M8" s="189" t="s">
        <v>292</v>
      </c>
      <c r="N8" s="189" t="s">
        <v>405</v>
      </c>
      <c r="O8" s="174" t="s">
        <v>739</v>
      </c>
      <c r="P8" s="188" t="s">
        <v>725</v>
      </c>
      <c r="Q8" s="189" t="s">
        <v>705</v>
      </c>
      <c r="R8" s="189"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5"/>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7.88671875" customWidth="1"/>
    <col min="6" max="6" width="23.109375" style="17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2" customFormat="1">
      <c r="A1" s="31"/>
      <c r="B1" s="31"/>
      <c r="C1" s="207" t="s">
        <v>145</v>
      </c>
      <c r="D1" s="208"/>
      <c r="E1" s="208"/>
      <c r="F1" s="208"/>
      <c r="G1" s="208"/>
      <c r="H1" s="208"/>
      <c r="I1" s="208"/>
      <c r="J1" s="208"/>
      <c r="K1" s="208"/>
      <c r="L1" s="208"/>
      <c r="M1" s="208"/>
      <c r="N1" s="209" t="s">
        <v>367</v>
      </c>
      <c r="O1" s="210"/>
      <c r="P1" s="210"/>
      <c r="Q1" s="210"/>
      <c r="R1" s="210"/>
      <c r="S1" s="210"/>
      <c r="T1" s="210"/>
    </row>
    <row r="2" spans="1:20">
      <c r="A2" s="31"/>
      <c r="B2" s="31"/>
      <c r="C2" s="54"/>
      <c r="D2" s="55"/>
      <c r="E2" s="55"/>
      <c r="F2" s="178"/>
      <c r="G2" s="55"/>
      <c r="H2" s="55"/>
      <c r="I2" s="55"/>
      <c r="J2" s="55"/>
      <c r="K2" s="55"/>
      <c r="L2" s="55"/>
      <c r="M2" s="55"/>
      <c r="N2" s="188" t="s">
        <v>0</v>
      </c>
      <c r="O2" s="189" t="s">
        <v>16</v>
      </c>
      <c r="P2" s="53"/>
      <c r="R2" s="188" t="s">
        <v>0</v>
      </c>
      <c r="S2" s="189" t="s">
        <v>16</v>
      </c>
      <c r="T2" s="159"/>
    </row>
    <row r="3" spans="1:20">
      <c r="A3" s="31"/>
      <c r="B3" s="31"/>
      <c r="C3" s="188" t="s">
        <v>0</v>
      </c>
      <c r="D3" s="189" t="s">
        <v>16</v>
      </c>
      <c r="H3" s="188" t="s">
        <v>0</v>
      </c>
      <c r="I3" s="189" t="s">
        <v>16</v>
      </c>
      <c r="K3" s="188" t="s">
        <v>0</v>
      </c>
      <c r="L3" s="189" t="s">
        <v>16</v>
      </c>
      <c r="N3" s="188" t="s">
        <v>1</v>
      </c>
      <c r="O3" s="189" t="s">
        <v>16</v>
      </c>
      <c r="R3" s="188" t="s">
        <v>1</v>
      </c>
      <c r="S3" s="189" t="s">
        <v>16</v>
      </c>
      <c r="T3" s="160"/>
    </row>
    <row r="4" spans="1:20">
      <c r="A4" s="31"/>
      <c r="B4" s="31"/>
      <c r="C4" s="188" t="s">
        <v>1</v>
      </c>
      <c r="D4" s="189" t="s">
        <v>16</v>
      </c>
      <c r="E4" s="33"/>
      <c r="F4" s="33"/>
      <c r="G4" s="33"/>
      <c r="H4" s="188" t="s">
        <v>1</v>
      </c>
      <c r="I4" s="189" t="s">
        <v>16</v>
      </c>
      <c r="K4" s="188" t="s">
        <v>1</v>
      </c>
      <c r="L4" s="189" t="s">
        <v>16</v>
      </c>
      <c r="M4" s="33"/>
      <c r="N4" s="188" t="s">
        <v>2</v>
      </c>
      <c r="O4" s="189" t="s">
        <v>16</v>
      </c>
      <c r="R4" s="188" t="s">
        <v>2</v>
      </c>
      <c r="S4" s="189" t="s">
        <v>16</v>
      </c>
      <c r="T4" s="160"/>
    </row>
    <row r="5" spans="1:20">
      <c r="A5" s="31"/>
      <c r="B5" s="31"/>
      <c r="C5" s="188" t="s">
        <v>2</v>
      </c>
      <c r="D5" s="189" t="s">
        <v>16</v>
      </c>
      <c r="E5" s="33"/>
      <c r="F5" s="33"/>
      <c r="G5" s="33"/>
      <c r="H5" s="188" t="s">
        <v>2</v>
      </c>
      <c r="I5" s="189" t="s">
        <v>16</v>
      </c>
      <c r="K5" s="188" t="s">
        <v>2</v>
      </c>
      <c r="L5" s="189" t="s">
        <v>16</v>
      </c>
      <c r="M5" s="33"/>
      <c r="N5" s="188" t="s">
        <v>51</v>
      </c>
      <c r="O5" s="189" t="s">
        <v>16</v>
      </c>
      <c r="R5" s="188" t="s">
        <v>51</v>
      </c>
      <c r="S5" s="189" t="s">
        <v>16</v>
      </c>
      <c r="T5" s="160"/>
    </row>
    <row r="6" spans="1:20">
      <c r="A6" s="31"/>
      <c r="B6" s="31"/>
      <c r="C6" s="188" t="s">
        <v>3</v>
      </c>
      <c r="D6" s="189" t="s">
        <v>112</v>
      </c>
      <c r="E6" s="33"/>
      <c r="F6" s="33"/>
      <c r="G6" s="33"/>
      <c r="H6" s="188" t="s">
        <v>3</v>
      </c>
      <c r="I6" s="189" t="s">
        <v>114</v>
      </c>
      <c r="K6" s="188" t="s">
        <v>3</v>
      </c>
      <c r="L6" s="189" t="s">
        <v>143</v>
      </c>
      <c r="M6" s="33"/>
      <c r="N6" s="188" t="s">
        <v>3</v>
      </c>
      <c r="O6" s="189" t="s">
        <v>15</v>
      </c>
      <c r="R6" s="188" t="s">
        <v>3</v>
      </c>
      <c r="S6" s="189" t="s">
        <v>45</v>
      </c>
      <c r="T6" s="160"/>
    </row>
    <row r="7" spans="1:20">
      <c r="A7" s="31"/>
      <c r="B7" s="31"/>
      <c r="R7" s="160"/>
      <c r="S7" s="160"/>
      <c r="T7" s="160"/>
    </row>
    <row r="8" spans="1:20">
      <c r="A8" s="24" t="s">
        <v>685</v>
      </c>
      <c r="B8" s="24" t="s">
        <v>121</v>
      </c>
      <c r="C8" s="188" t="s">
        <v>288</v>
      </c>
      <c r="D8" s="189" t="s">
        <v>291</v>
      </c>
      <c r="E8" s="189" t="s">
        <v>241</v>
      </c>
      <c r="F8" s="189" t="s">
        <v>405</v>
      </c>
      <c r="H8" s="188" t="s">
        <v>288</v>
      </c>
      <c r="I8" t="s">
        <v>290</v>
      </c>
      <c r="K8" s="188" t="s">
        <v>288</v>
      </c>
      <c r="L8" t="s">
        <v>289</v>
      </c>
      <c r="N8" s="188" t="s">
        <v>288</v>
      </c>
      <c r="O8" s="189" t="s">
        <v>292</v>
      </c>
      <c r="P8" s="189" t="s">
        <v>405</v>
      </c>
      <c r="Q8" s="174" t="s">
        <v>739</v>
      </c>
      <c r="R8" s="188" t="s">
        <v>288</v>
      </c>
      <c r="S8" s="189" t="s">
        <v>705</v>
      </c>
      <c r="T8" s="189" t="s">
        <v>405</v>
      </c>
    </row>
    <row r="9" spans="1:20">
      <c r="A9" s="29" t="str">
        <f>INDEX('OS-Machine Info'!$B:$B,MATCH(C9,'OS-Machine Info'!$A:$A,0))</f>
        <v>TestDC</v>
      </c>
      <c r="B9" s="29">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4"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1" customFormat="1">
      <c r="C1" s="211" t="s">
        <v>300</v>
      </c>
      <c r="D1" s="191"/>
      <c r="E1" s="191"/>
      <c r="F1" s="191"/>
      <c r="G1" s="191"/>
      <c r="H1" s="191"/>
      <c r="I1" s="191"/>
      <c r="J1" s="191"/>
      <c r="K1" s="191"/>
      <c r="L1" s="191"/>
      <c r="M1" s="191"/>
      <c r="O1" s="210"/>
      <c r="P1" s="210"/>
      <c r="Q1" s="210"/>
      <c r="R1" s="210"/>
      <c r="S1" s="210"/>
      <c r="T1" s="210"/>
    </row>
    <row r="2" spans="1:20">
      <c r="A2" s="31"/>
      <c r="B2" s="31"/>
      <c r="C2" s="211"/>
      <c r="D2" s="191"/>
      <c r="E2" s="191"/>
      <c r="F2" s="191"/>
      <c r="G2" s="191"/>
      <c r="H2" s="191"/>
      <c r="I2" s="191"/>
      <c r="J2" s="191"/>
      <c r="K2" s="191"/>
      <c r="L2" s="191"/>
      <c r="M2" s="191"/>
      <c r="Q2" s="96"/>
      <c r="T2" s="33"/>
    </row>
    <row r="3" spans="1:20">
      <c r="A3" s="31"/>
      <c r="B3" s="31"/>
      <c r="C3" s="185" t="s">
        <v>0</v>
      </c>
      <c r="D3" s="186" t="s">
        <v>16</v>
      </c>
      <c r="F3" s="185" t="s">
        <v>0</v>
      </c>
      <c r="G3" s="186" t="s">
        <v>16</v>
      </c>
      <c r="K3" s="185" t="s">
        <v>0</v>
      </c>
      <c r="L3" s="186" t="s">
        <v>16</v>
      </c>
      <c r="M3" s="52"/>
      <c r="O3" s="188" t="s">
        <v>0</v>
      </c>
      <c r="P3" s="189" t="s">
        <v>16</v>
      </c>
      <c r="Q3" s="96"/>
      <c r="R3" s="188" t="s">
        <v>0</v>
      </c>
      <c r="S3" s="189" t="s">
        <v>16</v>
      </c>
      <c r="T3" s="33"/>
    </row>
    <row r="4" spans="1:20">
      <c r="A4" s="31"/>
      <c r="B4" s="31"/>
      <c r="C4" s="185" t="s">
        <v>3</v>
      </c>
      <c r="D4" s="186" t="s">
        <v>286</v>
      </c>
      <c r="F4" s="185" t="s">
        <v>3</v>
      </c>
      <c r="G4" s="186" t="s">
        <v>325</v>
      </c>
      <c r="K4" s="185" t="s">
        <v>3</v>
      </c>
      <c r="L4" s="186" t="s">
        <v>326</v>
      </c>
      <c r="M4" s="52"/>
      <c r="O4" s="188" t="s">
        <v>3</v>
      </c>
      <c r="P4" s="189" t="s">
        <v>455</v>
      </c>
      <c r="Q4" s="96"/>
      <c r="R4" s="188" t="s">
        <v>3</v>
      </c>
      <c r="S4" s="189" t="s">
        <v>457</v>
      </c>
      <c r="T4" s="33"/>
    </row>
    <row r="5" spans="1:20">
      <c r="A5" s="31"/>
      <c r="B5" s="31"/>
      <c r="F5" s="52"/>
      <c r="G5" s="52"/>
      <c r="K5" s="52"/>
      <c r="L5" s="52"/>
      <c r="M5" s="52"/>
      <c r="O5" s="96"/>
      <c r="P5" s="96"/>
      <c r="Q5" s="96"/>
      <c r="R5" s="96"/>
      <c r="S5" s="96"/>
      <c r="T5" s="96"/>
    </row>
    <row r="6" spans="1:20">
      <c r="A6" s="24" t="s">
        <v>685</v>
      </c>
      <c r="B6" s="24" t="s">
        <v>121</v>
      </c>
      <c r="C6" s="185" t="s">
        <v>288</v>
      </c>
      <c r="D6" t="s">
        <v>301</v>
      </c>
      <c r="F6" s="185" t="s">
        <v>288</v>
      </c>
      <c r="G6" s="186" t="s">
        <v>337</v>
      </c>
      <c r="H6" s="186" t="s">
        <v>241</v>
      </c>
      <c r="I6" s="186" t="s">
        <v>405</v>
      </c>
      <c r="K6" s="185" t="s">
        <v>288</v>
      </c>
      <c r="L6" s="186" t="s">
        <v>338</v>
      </c>
      <c r="M6" s="186" t="s">
        <v>409</v>
      </c>
      <c r="O6" s="188" t="s">
        <v>725</v>
      </c>
      <c r="P6" t="s">
        <v>461</v>
      </c>
      <c r="Q6" s="96"/>
      <c r="R6" s="188" t="s">
        <v>725</v>
      </c>
      <c r="S6" s="189" t="s">
        <v>462</v>
      </c>
      <c r="T6" s="189" t="s">
        <v>463</v>
      </c>
    </row>
    <row r="7" spans="1:20" ht="20.25" customHeight="1">
      <c r="A7" s="29" t="str">
        <f>INDEX('OS-Machine Info'!$B:$B,MATCH(C7,'OS-Machine Info'!$A:$A,0))</f>
        <v>TestDC</v>
      </c>
      <c r="B7" s="29">
        <f>INDEX('Node Information'!J:$J,MATCH(C7,'Node Information'!$A:$A,0))</f>
        <v>6.5428240740740704E-2</v>
      </c>
      <c r="C7" s="4" t="s">
        <v>48</v>
      </c>
      <c r="D7" s="5">
        <v>368</v>
      </c>
      <c r="F7" s="4" t="s">
        <v>48</v>
      </c>
      <c r="G7" s="5">
        <v>396</v>
      </c>
      <c r="H7" s="5">
        <v>396</v>
      </c>
      <c r="I7" s="186">
        <v>0</v>
      </c>
      <c r="K7" s="4" t="s">
        <v>48</v>
      </c>
      <c r="L7" s="5">
        <v>240</v>
      </c>
      <c r="M7" s="5">
        <v>0</v>
      </c>
      <c r="O7" s="4" t="s">
        <v>47</v>
      </c>
      <c r="P7" s="5">
        <v>7</v>
      </c>
      <c r="Q7" s="96"/>
      <c r="R7" s="4" t="s">
        <v>47</v>
      </c>
      <c r="S7" s="5">
        <v>2</v>
      </c>
      <c r="T7" s="5">
        <v>0</v>
      </c>
    </row>
    <row r="8" spans="1:20">
      <c r="C8" s="4" t="s">
        <v>17</v>
      </c>
      <c r="D8" s="5">
        <v>368</v>
      </c>
      <c r="F8" s="4" t="s">
        <v>17</v>
      </c>
      <c r="G8" s="186">
        <v>396</v>
      </c>
      <c r="H8" s="5">
        <v>396</v>
      </c>
      <c r="I8" s="186">
        <v>0</v>
      </c>
      <c r="K8" s="4" t="s">
        <v>17</v>
      </c>
      <c r="L8" s="186">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4.5546875" style="141" customWidth="1"/>
    <col min="9" max="9" width="25.88671875" style="141" customWidth="1"/>
    <col min="10" max="10" width="26.77734375" style="141" customWidth="1"/>
    <col min="11" max="11" width="11.77734375" style="141" customWidth="1"/>
    <col min="12" max="12" width="20.5546875" style="141" customWidth="1"/>
    <col min="13" max="13" width="21.77734375" style="141" customWidth="1"/>
    <col min="14" max="14" width="23.88671875" style="141" customWidth="1"/>
    <col min="15" max="15" width="27.21875" style="141" customWidth="1"/>
    <col min="16" max="16" width="16.44140625" style="141" customWidth="1"/>
    <col min="17" max="17" width="18.44140625" style="141" customWidth="1"/>
    <col min="18" max="18" width="23.33203125" style="141" customWidth="1"/>
    <col min="19" max="16384" width="9.109375" style="141"/>
  </cols>
  <sheetData>
    <row r="1" spans="1:18" s="45" customFormat="1"/>
    <row r="2" spans="1:18" s="45" customFormat="1"/>
    <row r="3" spans="1:18" s="45" customFormat="1"/>
    <row r="4" spans="1:18">
      <c r="A4" s="45"/>
      <c r="B4" s="213" t="s">
        <v>293</v>
      </c>
      <c r="C4" s="210"/>
      <c r="D4" s="210"/>
      <c r="E4" s="210"/>
      <c r="F4" s="210"/>
      <c r="G4" s="210"/>
      <c r="H4" s="210"/>
      <c r="I4" s="210"/>
      <c r="J4" s="210"/>
      <c r="K4" s="210"/>
      <c r="L4" s="210"/>
      <c r="M4" s="210"/>
      <c r="N4" s="210"/>
      <c r="O4" s="210"/>
      <c r="P4" s="210"/>
      <c r="Q4" s="213"/>
      <c r="R4" s="210"/>
    </row>
    <row r="5" spans="1:18">
      <c r="A5" s="45"/>
      <c r="B5" s="181" t="s">
        <v>562</v>
      </c>
      <c r="C5" s="182" t="s">
        <v>16</v>
      </c>
      <c r="D5" s="45"/>
      <c r="E5" s="45"/>
      <c r="F5" s="45"/>
      <c r="G5" s="45"/>
      <c r="H5" s="45"/>
      <c r="I5" s="45"/>
      <c r="J5" s="45"/>
      <c r="K5" s="45"/>
      <c r="L5" s="45"/>
      <c r="M5" s="45"/>
      <c r="N5" s="45"/>
      <c r="O5" s="45"/>
      <c r="P5" s="45"/>
      <c r="Q5" s="45"/>
      <c r="R5" s="45"/>
    </row>
    <row r="6" spans="1:18">
      <c r="A6" s="45"/>
      <c r="B6" s="181" t="s">
        <v>0</v>
      </c>
      <c r="C6" s="182" t="s">
        <v>16</v>
      </c>
      <c r="D6" s="140"/>
      <c r="E6" s="140"/>
      <c r="F6" s="140"/>
      <c r="G6" s="140"/>
      <c r="H6" s="142"/>
      <c r="I6" s="140"/>
      <c r="J6" s="140"/>
      <c r="K6" s="140"/>
      <c r="L6" s="140"/>
      <c r="M6" s="142"/>
    </row>
    <row r="7" spans="1:18">
      <c r="A7" s="45"/>
    </row>
    <row r="8" spans="1:18">
      <c r="A8" s="24"/>
      <c r="B8" s="130" t="s">
        <v>628</v>
      </c>
      <c r="C8" s="131" t="s">
        <v>585</v>
      </c>
      <c r="D8" s="131" t="s">
        <v>583</v>
      </c>
      <c r="E8" s="131" t="s">
        <v>584</v>
      </c>
      <c r="F8" s="182" t="s">
        <v>606</v>
      </c>
      <c r="G8" s="131" t="s">
        <v>586</v>
      </c>
      <c r="H8" s="182" t="s">
        <v>752</v>
      </c>
      <c r="I8" s="131" t="s">
        <v>587</v>
      </c>
      <c r="J8" s="131" t="s">
        <v>592</v>
      </c>
      <c r="K8" s="182" t="s">
        <v>634</v>
      </c>
      <c r="L8" s="182" t="s">
        <v>635</v>
      </c>
      <c r="M8" s="182" t="s">
        <v>636</v>
      </c>
      <c r="N8" s="131" t="s">
        <v>588</v>
      </c>
      <c r="O8" s="182" t="s">
        <v>753</v>
      </c>
      <c r="P8" s="182" t="s">
        <v>695</v>
      </c>
      <c r="Q8" s="131" t="s">
        <v>589</v>
      </c>
      <c r="R8" s="131" t="s">
        <v>590</v>
      </c>
    </row>
    <row r="9" spans="1:18">
      <c r="A9" s="29"/>
      <c r="B9" s="4" t="s">
        <v>47</v>
      </c>
      <c r="C9" s="5">
        <v>2</v>
      </c>
      <c r="D9" s="129">
        <v>4.9768518518518521E-4</v>
      </c>
      <c r="E9" s="129">
        <v>3.3564814814814818E-4</v>
      </c>
      <c r="F9" s="5"/>
      <c r="G9" s="5">
        <v>3</v>
      </c>
      <c r="H9" s="5">
        <v>2</v>
      </c>
      <c r="I9" s="5">
        <v>0</v>
      </c>
      <c r="J9" s="5">
        <v>15</v>
      </c>
      <c r="K9" s="5">
        <v>2468</v>
      </c>
      <c r="L9" s="104">
        <v>5.9</v>
      </c>
      <c r="M9" s="5">
        <v>6</v>
      </c>
      <c r="N9" s="5">
        <v>0</v>
      </c>
      <c r="O9" s="5">
        <v>1</v>
      </c>
      <c r="P9" s="5">
        <v>6928</v>
      </c>
      <c r="Q9" s="5">
        <v>1</v>
      </c>
      <c r="R9" s="5"/>
    </row>
    <row r="10" spans="1:18">
      <c r="B10" s="4" t="s">
        <v>486</v>
      </c>
      <c r="C10" s="5"/>
      <c r="D10" s="129"/>
      <c r="E10" s="129"/>
      <c r="F10" s="5"/>
      <c r="G10" s="5"/>
      <c r="H10" s="5"/>
      <c r="I10" s="5"/>
      <c r="J10" s="5"/>
      <c r="K10" s="5"/>
      <c r="L10" s="104"/>
      <c r="M10" s="5"/>
      <c r="N10" s="5"/>
      <c r="O10" s="5"/>
      <c r="P10" s="5"/>
      <c r="Q10" s="5"/>
      <c r="R10" s="5"/>
    </row>
    <row r="11" spans="1:18">
      <c r="B11" s="4" t="s">
        <v>17</v>
      </c>
      <c r="C11" s="5">
        <v>2</v>
      </c>
      <c r="D11" s="129">
        <v>4.9768518518518521E-4</v>
      </c>
      <c r="E11" s="129">
        <v>3.3564814814814818E-4</v>
      </c>
      <c r="F11" s="5"/>
      <c r="G11" s="5">
        <v>3</v>
      </c>
      <c r="H11" s="5">
        <v>2</v>
      </c>
      <c r="I11" s="5">
        <v>0</v>
      </c>
      <c r="J11" s="5">
        <v>15</v>
      </c>
      <c r="K11" s="5">
        <v>2468</v>
      </c>
      <c r="L11" s="104">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4"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5" customFormat="1">
      <c r="A1" s="31"/>
    </row>
    <row r="2" spans="1:40" s="45" customFormat="1">
      <c r="A2" s="31"/>
    </row>
    <row r="3" spans="1:40" s="45" customFormat="1">
      <c r="A3" s="31"/>
    </row>
    <row r="4" spans="1:40">
      <c r="A4" s="31"/>
      <c r="B4" s="45"/>
      <c r="C4" s="213" t="s">
        <v>516</v>
      </c>
      <c r="D4" s="214"/>
      <c r="E4" s="214"/>
      <c r="F4" s="214"/>
      <c r="G4" s="214"/>
      <c r="H4" s="214"/>
      <c r="I4" s="214"/>
      <c r="J4" s="214"/>
      <c r="K4" s="214"/>
      <c r="L4" s="214"/>
      <c r="N4" s="213" t="s">
        <v>517</v>
      </c>
      <c r="O4" s="214"/>
      <c r="P4" s="214"/>
      <c r="Q4" s="214"/>
      <c r="R4" s="214"/>
      <c r="S4" s="214"/>
      <c r="T4" s="214"/>
      <c r="U4" s="214"/>
      <c r="V4" s="214"/>
      <c r="W4" s="214"/>
      <c r="Y4" s="213" t="s">
        <v>293</v>
      </c>
      <c r="Z4" s="214"/>
      <c r="AA4" s="214"/>
      <c r="AB4" s="214"/>
      <c r="AC4" s="214"/>
      <c r="AD4" s="214"/>
      <c r="AE4" s="214"/>
      <c r="AF4" s="214"/>
      <c r="AG4" s="214"/>
      <c r="AH4" s="214"/>
      <c r="AI4" s="191"/>
      <c r="AJ4" s="191"/>
      <c r="AK4" s="191"/>
      <c r="AL4" s="213"/>
      <c r="AM4" s="214"/>
      <c r="AN4" s="214"/>
    </row>
    <row r="5" spans="1:40">
      <c r="A5" s="31"/>
      <c r="B5" s="45"/>
      <c r="C5" s="185" t="s">
        <v>0</v>
      </c>
      <c r="D5" s="186" t="s">
        <v>16</v>
      </c>
      <c r="E5" s="33"/>
      <c r="H5" s="33"/>
      <c r="I5" s="185" t="s">
        <v>0</v>
      </c>
      <c r="J5" s="186" t="s">
        <v>16</v>
      </c>
      <c r="N5" s="185" t="s">
        <v>0</v>
      </c>
      <c r="O5" s="186" t="s">
        <v>16</v>
      </c>
      <c r="P5" s="33"/>
      <c r="S5" s="33"/>
      <c r="T5" s="185" t="s">
        <v>0</v>
      </c>
      <c r="U5" s="186" t="s">
        <v>16</v>
      </c>
      <c r="Y5" s="183" t="s">
        <v>562</v>
      </c>
      <c r="Z5" s="184" t="s">
        <v>16</v>
      </c>
      <c r="AA5" s="45"/>
      <c r="AB5" s="45"/>
      <c r="AC5" s="45"/>
      <c r="AD5" s="45"/>
      <c r="AE5" s="45"/>
      <c r="AF5" s="45"/>
      <c r="AG5" s="45"/>
      <c r="AH5" s="45"/>
      <c r="AI5" s="45"/>
      <c r="AJ5" s="45"/>
      <c r="AK5" s="45"/>
      <c r="AL5" s="45"/>
      <c r="AM5" s="45"/>
      <c r="AN5" s="45"/>
    </row>
    <row r="6" spans="1:40">
      <c r="A6" s="31"/>
      <c r="B6" s="45"/>
      <c r="C6" s="185" t="s">
        <v>3</v>
      </c>
      <c r="D6" s="186" t="s">
        <v>302</v>
      </c>
      <c r="E6" s="33"/>
      <c r="H6" s="33"/>
      <c r="I6" s="185" t="s">
        <v>3</v>
      </c>
      <c r="J6" s="186" t="s">
        <v>302</v>
      </c>
      <c r="N6" s="185" t="s">
        <v>3</v>
      </c>
      <c r="O6" s="186" t="s">
        <v>302</v>
      </c>
      <c r="P6" s="33"/>
      <c r="S6" s="33"/>
      <c r="T6" s="185" t="s">
        <v>3</v>
      </c>
      <c r="U6" s="186" t="s">
        <v>302</v>
      </c>
      <c r="Y6" s="183" t="s">
        <v>0</v>
      </c>
      <c r="Z6" s="184"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685</v>
      </c>
      <c r="B8" s="24" t="s">
        <v>121</v>
      </c>
      <c r="C8" s="185" t="s">
        <v>288</v>
      </c>
      <c r="D8" s="186" t="s">
        <v>304</v>
      </c>
      <c r="E8" s="186" t="s">
        <v>407</v>
      </c>
      <c r="F8" s="186" t="s">
        <v>303</v>
      </c>
      <c r="G8" s="186" t="s">
        <v>406</v>
      </c>
      <c r="I8" s="185" t="s">
        <v>288</v>
      </c>
      <c r="J8" s="186" t="s">
        <v>308</v>
      </c>
      <c r="K8" s="186" t="s">
        <v>309</v>
      </c>
      <c r="L8" s="186" t="s">
        <v>310</v>
      </c>
      <c r="N8" s="185" t="s">
        <v>288</v>
      </c>
      <c r="O8" s="186" t="s">
        <v>304</v>
      </c>
      <c r="P8" s="186" t="s">
        <v>407</v>
      </c>
      <c r="Q8" s="186" t="s">
        <v>303</v>
      </c>
      <c r="R8" s="186" t="s">
        <v>406</v>
      </c>
      <c r="T8" s="185" t="s">
        <v>288</v>
      </c>
      <c r="U8" s="186" t="s">
        <v>308</v>
      </c>
      <c r="V8" s="186" t="s">
        <v>309</v>
      </c>
      <c r="W8" s="186" t="s">
        <v>310</v>
      </c>
      <c r="Y8" s="130" t="s">
        <v>288</v>
      </c>
      <c r="Z8" s="131" t="s">
        <v>585</v>
      </c>
      <c r="AA8" s="131" t="s">
        <v>583</v>
      </c>
      <c r="AB8" s="131" t="s">
        <v>584</v>
      </c>
      <c r="AC8" s="184" t="s">
        <v>606</v>
      </c>
      <c r="AD8" s="131" t="s">
        <v>586</v>
      </c>
      <c r="AE8" s="131" t="s">
        <v>591</v>
      </c>
      <c r="AF8" s="131" t="s">
        <v>587</v>
      </c>
      <c r="AG8" s="131" t="s">
        <v>592</v>
      </c>
      <c r="AH8" s="184" t="s">
        <v>754</v>
      </c>
      <c r="AI8" s="184" t="s">
        <v>681</v>
      </c>
      <c r="AJ8" s="131" t="s">
        <v>588</v>
      </c>
      <c r="AK8" s="184" t="s">
        <v>753</v>
      </c>
      <c r="AL8" s="184" t="s">
        <v>695</v>
      </c>
      <c r="AM8" s="131" t="s">
        <v>589</v>
      </c>
      <c r="AN8" s="131" t="s">
        <v>590</v>
      </c>
    </row>
    <row r="9" spans="1:40">
      <c r="A9" s="29" t="str">
        <f>INDEX('OS-Machine Info'!$B:$B,MATCH(C9,'OS-Machine Info'!$A:$A,0))</f>
        <v>TestDC</v>
      </c>
      <c r="B9" s="29">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9">
        <v>4.9768518518518521E-4</v>
      </c>
      <c r="AB9" s="129">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486</v>
      </c>
      <c r="Z10" s="5"/>
      <c r="AA10" s="129"/>
      <c r="AB10" s="129"/>
      <c r="AC10" s="5"/>
      <c r="AD10" s="5"/>
      <c r="AE10" s="5"/>
      <c r="AF10" s="5"/>
      <c r="AG10" s="5"/>
      <c r="AH10" s="5"/>
      <c r="AI10" s="5"/>
      <c r="AJ10" s="5"/>
      <c r="AK10" s="5"/>
      <c r="AL10" s="5"/>
      <c r="AM10" s="5"/>
      <c r="AN10" s="5"/>
    </row>
    <row r="11" spans="1:40">
      <c r="Y11" s="4" t="s">
        <v>17</v>
      </c>
      <c r="Z11" s="5">
        <v>2</v>
      </c>
      <c r="AA11" s="129">
        <v>4.9768518518518521E-4</v>
      </c>
      <c r="AB11" s="129">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2" sqref="A2:I2"/>
    </sheetView>
  </sheetViews>
  <sheetFormatPr defaultRowHeight="14.4"/>
  <cols>
    <col min="1" max="1" width="16.44140625" customWidth="1"/>
    <col min="2" max="2" width="23.33203125" customWidth="1"/>
    <col min="3" max="3" width="7.88671875" style="17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6" customWidth="1"/>
    <col min="11" max="11" width="16" style="86" customWidth="1"/>
    <col min="12" max="12" width="23.33203125" style="86"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30" customFormat="1"/>
    <row r="2" spans="1:26" s="31" customFormat="1">
      <c r="A2" s="215" t="s">
        <v>146</v>
      </c>
      <c r="B2" s="208"/>
      <c r="C2" s="208"/>
      <c r="D2" s="208"/>
      <c r="E2" s="208"/>
      <c r="F2" s="208"/>
      <c r="G2" s="208"/>
      <c r="H2" s="208"/>
      <c r="I2" s="216"/>
      <c r="J2" s="86"/>
      <c r="K2" s="209" t="s">
        <v>356</v>
      </c>
      <c r="L2" s="191"/>
      <c r="M2" s="57"/>
      <c r="N2" s="209" t="s">
        <v>367</v>
      </c>
      <c r="O2" s="191"/>
      <c r="P2" s="191"/>
      <c r="Q2" s="191"/>
      <c r="R2" s="191"/>
      <c r="S2" s="191"/>
      <c r="T2" s="191"/>
      <c r="U2" s="191"/>
      <c r="V2" s="191"/>
      <c r="W2" s="191"/>
      <c r="X2" s="191"/>
      <c r="Y2" s="191"/>
    </row>
    <row r="3" spans="1:26" s="31" customFormat="1">
      <c r="A3"/>
      <c r="B3"/>
      <c r="C3" s="177"/>
      <c r="D3" s="55"/>
      <c r="E3"/>
      <c r="F3"/>
      <c r="G3" s="55"/>
      <c r="H3"/>
      <c r="I3"/>
      <c r="J3" s="86"/>
      <c r="K3"/>
      <c r="L3"/>
      <c r="M3" s="57"/>
      <c r="N3"/>
      <c r="O3"/>
      <c r="R3"/>
      <c r="S3"/>
      <c r="T3" s="34"/>
      <c r="V3"/>
      <c r="W3"/>
    </row>
    <row r="4" spans="1:26">
      <c r="A4" s="188" t="s">
        <v>149</v>
      </c>
      <c r="B4" s="189" t="s">
        <v>16</v>
      </c>
      <c r="D4" s="33"/>
      <c r="E4" s="188" t="s">
        <v>149</v>
      </c>
      <c r="F4" s="189" t="s">
        <v>16</v>
      </c>
      <c r="G4" s="33"/>
      <c r="H4" s="188" t="s">
        <v>149</v>
      </c>
      <c r="I4" s="189" t="s">
        <v>16</v>
      </c>
      <c r="K4" s="166" t="s">
        <v>149</v>
      </c>
      <c r="L4" s="167" t="s">
        <v>356</v>
      </c>
      <c r="N4" s="188" t="s">
        <v>0</v>
      </c>
      <c r="O4" s="189" t="s">
        <v>16</v>
      </c>
      <c r="Q4" s="8"/>
      <c r="R4" s="188" t="s">
        <v>0</v>
      </c>
      <c r="S4" s="189" t="s">
        <v>16</v>
      </c>
      <c r="T4"/>
      <c r="V4" s="188" t="s">
        <v>0</v>
      </c>
      <c r="W4" s="189" t="s">
        <v>16</v>
      </c>
      <c r="Z4" s="8"/>
    </row>
    <row r="5" spans="1:26">
      <c r="A5" s="188" t="s">
        <v>0</v>
      </c>
      <c r="B5" s="189" t="s">
        <v>16</v>
      </c>
      <c r="D5" s="33"/>
      <c r="E5" s="188" t="s">
        <v>0</v>
      </c>
      <c r="F5" s="189" t="s">
        <v>16</v>
      </c>
      <c r="G5" s="33"/>
      <c r="H5" s="188" t="s">
        <v>0</v>
      </c>
      <c r="I5" s="189" t="s">
        <v>16</v>
      </c>
      <c r="K5" s="166" t="s">
        <v>0</v>
      </c>
      <c r="L5" s="167" t="s">
        <v>16</v>
      </c>
      <c r="N5" s="188" t="s">
        <v>51</v>
      </c>
      <c r="O5" s="189" t="s">
        <v>16</v>
      </c>
      <c r="Q5" s="8"/>
      <c r="R5" s="188" t="s">
        <v>51</v>
      </c>
      <c r="S5" s="189" t="s">
        <v>16</v>
      </c>
      <c r="T5"/>
      <c r="V5" s="188" t="s">
        <v>51</v>
      </c>
      <c r="W5" s="189" t="s">
        <v>16</v>
      </c>
      <c r="Z5" s="8"/>
    </row>
    <row r="6" spans="1:26">
      <c r="A6" s="188" t="s">
        <v>3</v>
      </c>
      <c r="B6" s="189" t="s">
        <v>108</v>
      </c>
      <c r="D6" s="33"/>
      <c r="E6" s="188" t="s">
        <v>3</v>
      </c>
      <c r="F6" s="189" t="s">
        <v>142</v>
      </c>
      <c r="G6" s="33"/>
      <c r="H6" s="188" t="s">
        <v>3</v>
      </c>
      <c r="I6" s="189" t="s">
        <v>111</v>
      </c>
      <c r="K6" s="166" t="s">
        <v>3</v>
      </c>
      <c r="L6" s="167" t="s">
        <v>108</v>
      </c>
      <c r="N6" s="188" t="s">
        <v>3</v>
      </c>
      <c r="O6" s="189" t="s">
        <v>13</v>
      </c>
      <c r="Q6" s="8"/>
      <c r="R6" s="188" t="s">
        <v>3</v>
      </c>
      <c r="S6" s="189" t="s">
        <v>14</v>
      </c>
      <c r="T6"/>
      <c r="V6" s="188" t="s">
        <v>3</v>
      </c>
      <c r="W6" s="189" t="s">
        <v>8</v>
      </c>
      <c r="Z6" s="8"/>
    </row>
    <row r="7" spans="1:26">
      <c r="Q7" s="8"/>
      <c r="T7"/>
      <c r="Z7" s="8"/>
    </row>
    <row r="8" spans="1:26" ht="28.8">
      <c r="A8" s="188" t="s">
        <v>725</v>
      </c>
      <c r="B8" s="32" t="s">
        <v>429</v>
      </c>
      <c r="C8" s="189" t="s">
        <v>241</v>
      </c>
      <c r="E8" s="188" t="s">
        <v>725</v>
      </c>
      <c r="F8" s="32" t="s">
        <v>378</v>
      </c>
      <c r="H8" s="188" t="s">
        <v>725</v>
      </c>
      <c r="I8" s="32" t="s">
        <v>430</v>
      </c>
      <c r="J8" s="32"/>
      <c r="K8" s="166" t="s">
        <v>725</v>
      </c>
      <c r="L8" t="s">
        <v>429</v>
      </c>
      <c r="N8" s="188" t="s">
        <v>725</v>
      </c>
      <c r="O8" s="32" t="s">
        <v>375</v>
      </c>
      <c r="P8" s="32" t="s">
        <v>405</v>
      </c>
      <c r="Q8" s="8"/>
      <c r="R8" s="188" t="s">
        <v>725</v>
      </c>
      <c r="S8" s="32" t="s">
        <v>376</v>
      </c>
      <c r="T8" s="32" t="s">
        <v>409</v>
      </c>
      <c r="V8" s="188" t="s">
        <v>725</v>
      </c>
      <c r="W8" s="189" t="s">
        <v>379</v>
      </c>
      <c r="X8" s="32" t="s">
        <v>380</v>
      </c>
      <c r="Y8" s="32" t="s">
        <v>410</v>
      </c>
      <c r="Z8" s="8"/>
    </row>
    <row r="9" spans="1:26">
      <c r="A9" s="4" t="s">
        <v>47</v>
      </c>
      <c r="B9" s="6">
        <v>311.17886066436768</v>
      </c>
      <c r="C9" s="6">
        <v>156.57443033218385</v>
      </c>
      <c r="D9" s="6"/>
      <c r="E9" s="4" t="s">
        <v>47</v>
      </c>
      <c r="F9" s="5">
        <v>531</v>
      </c>
      <c r="G9" s="6"/>
      <c r="H9" s="4" t="s">
        <v>47</v>
      </c>
      <c r="I9" s="6">
        <v>220.30964517593384</v>
      </c>
      <c r="J9" s="6"/>
      <c r="K9" s="4" t="s">
        <v>47</v>
      </c>
      <c r="L9" s="167">
        <v>1.97</v>
      </c>
      <c r="N9" s="4" t="s">
        <v>47</v>
      </c>
      <c r="O9" s="6">
        <v>0</v>
      </c>
      <c r="P9" s="6">
        <v>0</v>
      </c>
      <c r="Q9" s="48">
        <f>T9/IF(O9 = 0,1,O9)</f>
        <v>0</v>
      </c>
      <c r="R9" s="4" t="s">
        <v>47</v>
      </c>
      <c r="S9" s="6">
        <v>0</v>
      </c>
      <c r="T9" s="6">
        <v>0</v>
      </c>
      <c r="V9" s="4" t="s">
        <v>47</v>
      </c>
      <c r="W9" s="5">
        <v>0</v>
      </c>
      <c r="X9" s="5">
        <v>0</v>
      </c>
      <c r="Y9" s="5">
        <v>0</v>
      </c>
      <c r="Z9" s="48">
        <f>X9/IF(W9=0,1,W9)</f>
        <v>0</v>
      </c>
    </row>
    <row r="10" spans="1:26">
      <c r="A10" s="4" t="s">
        <v>17</v>
      </c>
      <c r="B10" s="6">
        <v>311.17886066436768</v>
      </c>
      <c r="C10" s="6">
        <v>156.57443033218385</v>
      </c>
      <c r="D10" s="6"/>
      <c r="E10" s="4" t="s">
        <v>17</v>
      </c>
      <c r="F10" s="5">
        <v>531</v>
      </c>
      <c r="G10" s="6"/>
      <c r="H10" s="4" t="s">
        <v>17</v>
      </c>
      <c r="I10" s="6">
        <v>220.30964517593384</v>
      </c>
      <c r="J10" s="6"/>
      <c r="K10" s="4" t="s">
        <v>17</v>
      </c>
      <c r="L10" s="167">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4" customWidth="1"/>
    <col min="2" max="2" width="10.77734375" customWidth="1"/>
    <col min="3" max="3" width="23.33203125" customWidth="1"/>
    <col min="4" max="4" width="7.88671875" style="17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6" customWidth="1"/>
    <col min="12" max="12" width="10.77734375" style="86" customWidth="1"/>
    <col min="13" max="13" width="23.33203125" style="86"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2" customFormat="1">
      <c r="A1" s="31"/>
      <c r="B1" s="215" t="s">
        <v>377</v>
      </c>
      <c r="C1" s="208"/>
      <c r="D1" s="208"/>
      <c r="E1" s="208"/>
      <c r="F1" s="208"/>
      <c r="G1" s="208"/>
      <c r="H1" s="208"/>
      <c r="I1" s="208"/>
      <c r="J1" s="216"/>
      <c r="K1" s="86"/>
      <c r="L1" s="209" t="s">
        <v>356</v>
      </c>
      <c r="M1" s="210"/>
      <c r="N1" s="86"/>
      <c r="O1" s="217" t="s">
        <v>367</v>
      </c>
      <c r="P1" s="210"/>
      <c r="Q1" s="210"/>
      <c r="R1" s="210"/>
      <c r="S1" s="210"/>
      <c r="T1" s="210"/>
      <c r="U1" s="210"/>
      <c r="V1" s="210"/>
      <c r="W1" s="210"/>
      <c r="X1" s="210"/>
      <c r="Y1" s="210"/>
      <c r="Z1" s="210"/>
    </row>
    <row r="2" spans="1:37">
      <c r="A2" s="31"/>
      <c r="B2" s="188" t="s">
        <v>149</v>
      </c>
      <c r="C2" s="189" t="s">
        <v>16</v>
      </c>
      <c r="E2" s="55"/>
      <c r="F2" s="188" t="s">
        <v>149</v>
      </c>
      <c r="G2" s="189" t="s">
        <v>16</v>
      </c>
      <c r="H2" s="55"/>
      <c r="I2" s="188" t="s">
        <v>149</v>
      </c>
      <c r="J2" s="189" t="s">
        <v>16</v>
      </c>
      <c r="L2" s="166" t="s">
        <v>149</v>
      </c>
      <c r="M2" s="167" t="s">
        <v>356</v>
      </c>
      <c r="N2" s="86"/>
      <c r="O2" s="188" t="s">
        <v>0</v>
      </c>
      <c r="P2" s="189" t="s">
        <v>16</v>
      </c>
      <c r="Q2" s="31"/>
      <c r="R2" s="31"/>
      <c r="S2" s="188" t="s">
        <v>0</v>
      </c>
      <c r="T2" s="189" t="s">
        <v>16</v>
      </c>
      <c r="U2" s="31"/>
      <c r="V2" s="31"/>
      <c r="W2" s="188" t="s">
        <v>0</v>
      </c>
      <c r="X2" s="189" t="s">
        <v>16</v>
      </c>
      <c r="Y2" s="86"/>
      <c r="Z2" s="86"/>
      <c r="AA2" s="86"/>
      <c r="AB2" s="86"/>
      <c r="AC2" s="86"/>
      <c r="AD2" s="86"/>
      <c r="AE2" s="86"/>
      <c r="AF2" s="86"/>
      <c r="AG2" s="86"/>
      <c r="AH2" s="86"/>
      <c r="AI2" s="86"/>
      <c r="AJ2" s="86"/>
      <c r="AK2" s="86"/>
    </row>
    <row r="3" spans="1:37" s="31" customFormat="1">
      <c r="B3" s="188" t="s">
        <v>0</v>
      </c>
      <c r="C3" s="189" t="s">
        <v>16</v>
      </c>
      <c r="D3" s="177"/>
      <c r="F3" s="188" t="s">
        <v>0</v>
      </c>
      <c r="G3" s="189" t="s">
        <v>16</v>
      </c>
      <c r="I3" s="188" t="s">
        <v>0</v>
      </c>
      <c r="J3" s="189" t="s">
        <v>16</v>
      </c>
      <c r="K3" s="86"/>
      <c r="L3" s="166" t="s">
        <v>0</v>
      </c>
      <c r="M3" s="167" t="s">
        <v>16</v>
      </c>
      <c r="N3" s="86"/>
      <c r="O3" s="188" t="s">
        <v>1</v>
      </c>
      <c r="P3" s="189" t="s">
        <v>16</v>
      </c>
      <c r="S3" s="188" t="s">
        <v>1</v>
      </c>
      <c r="T3" s="189" t="s">
        <v>16</v>
      </c>
      <c r="U3" s="34"/>
      <c r="W3" s="188" t="s">
        <v>1</v>
      </c>
      <c r="X3" s="189" t="s">
        <v>16</v>
      </c>
      <c r="Y3" s="86"/>
      <c r="Z3" s="86"/>
      <c r="AA3" s="86"/>
      <c r="AB3" s="86"/>
      <c r="AC3" s="86"/>
      <c r="AD3" s="86"/>
      <c r="AE3" s="86"/>
      <c r="AF3" s="86"/>
      <c r="AG3" s="86"/>
      <c r="AH3" s="86"/>
      <c r="AI3" s="86"/>
      <c r="AJ3" s="86"/>
      <c r="AK3" s="86"/>
    </row>
    <row r="4" spans="1:37">
      <c r="A4" s="31"/>
      <c r="B4" s="188" t="s">
        <v>1</v>
      </c>
      <c r="C4" s="189" t="s">
        <v>16</v>
      </c>
      <c r="E4" s="33"/>
      <c r="F4" s="188" t="s">
        <v>1</v>
      </c>
      <c r="G4" s="189" t="s">
        <v>16</v>
      </c>
      <c r="H4" s="33"/>
      <c r="I4" s="188" t="s">
        <v>1</v>
      </c>
      <c r="J4" s="189" t="s">
        <v>16</v>
      </c>
      <c r="L4" s="166" t="s">
        <v>1</v>
      </c>
      <c r="M4" s="167" t="s">
        <v>16</v>
      </c>
      <c r="O4" s="188" t="s">
        <v>2</v>
      </c>
      <c r="P4" s="189" t="s">
        <v>16</v>
      </c>
      <c r="R4" s="8"/>
      <c r="S4" s="188" t="s">
        <v>2</v>
      </c>
      <c r="T4" s="189" t="s">
        <v>16</v>
      </c>
      <c r="U4"/>
      <c r="W4" s="188" t="s">
        <v>2</v>
      </c>
      <c r="X4" s="189" t="s">
        <v>16</v>
      </c>
      <c r="Y4" s="86"/>
      <c r="AA4" s="86"/>
      <c r="AB4" s="86"/>
      <c r="AC4" s="86"/>
      <c r="AD4" s="86"/>
      <c r="AE4" s="86"/>
      <c r="AF4" s="86"/>
      <c r="AG4" s="86"/>
      <c r="AH4" s="86"/>
      <c r="AI4" s="86"/>
      <c r="AJ4" s="86"/>
      <c r="AK4" s="86"/>
    </row>
    <row r="5" spans="1:37">
      <c r="A5" s="31"/>
      <c r="B5" s="188" t="s">
        <v>2</v>
      </c>
      <c r="C5" s="189" t="s">
        <v>16</v>
      </c>
      <c r="E5" s="33"/>
      <c r="F5" s="188" t="s">
        <v>2</v>
      </c>
      <c r="G5" s="189" t="s">
        <v>16</v>
      </c>
      <c r="H5" s="33"/>
      <c r="I5" s="188" t="s">
        <v>2</v>
      </c>
      <c r="J5" s="189" t="s">
        <v>16</v>
      </c>
      <c r="L5" s="166" t="s">
        <v>2</v>
      </c>
      <c r="M5" s="167" t="s">
        <v>16</v>
      </c>
      <c r="O5" s="188" t="s">
        <v>51</v>
      </c>
      <c r="P5" s="189" t="s">
        <v>16</v>
      </c>
      <c r="R5" s="8"/>
      <c r="S5" s="188" t="s">
        <v>51</v>
      </c>
      <c r="T5" s="189" t="s">
        <v>16</v>
      </c>
      <c r="U5"/>
      <c r="W5" s="188" t="s">
        <v>51</v>
      </c>
      <c r="X5" s="189" t="s">
        <v>16</v>
      </c>
      <c r="AA5" s="8"/>
    </row>
    <row r="6" spans="1:37">
      <c r="A6" s="31"/>
      <c r="B6" s="188" t="s">
        <v>3</v>
      </c>
      <c r="C6" s="189" t="s">
        <v>108</v>
      </c>
      <c r="E6" s="33"/>
      <c r="F6" s="188" t="s">
        <v>3</v>
      </c>
      <c r="G6" s="189" t="s">
        <v>142</v>
      </c>
      <c r="H6" s="33"/>
      <c r="I6" s="188" t="s">
        <v>3</v>
      </c>
      <c r="J6" s="189" t="s">
        <v>111</v>
      </c>
      <c r="L6" s="166" t="s">
        <v>3</v>
      </c>
      <c r="M6" s="167" t="s">
        <v>108</v>
      </c>
      <c r="O6" s="188" t="s">
        <v>3</v>
      </c>
      <c r="P6" s="189" t="s">
        <v>13</v>
      </c>
      <c r="R6" s="8"/>
      <c r="S6" s="188" t="s">
        <v>3</v>
      </c>
      <c r="T6" s="189" t="s">
        <v>14</v>
      </c>
      <c r="U6"/>
      <c r="W6" s="188" t="s">
        <v>3</v>
      </c>
      <c r="X6" s="189" t="s">
        <v>8</v>
      </c>
      <c r="AA6" s="8"/>
    </row>
    <row r="7" spans="1:37">
      <c r="A7" s="31"/>
      <c r="R7" s="8"/>
      <c r="U7"/>
      <c r="AA7" s="8"/>
    </row>
    <row r="8" spans="1:37" ht="28.8">
      <c r="A8" s="24" t="s">
        <v>685</v>
      </c>
      <c r="B8" s="188" t="s">
        <v>288</v>
      </c>
      <c r="C8" s="32" t="s">
        <v>375</v>
      </c>
      <c r="D8" s="189" t="s">
        <v>241</v>
      </c>
      <c r="F8" s="188" t="s">
        <v>288</v>
      </c>
      <c r="G8" s="32" t="s">
        <v>378</v>
      </c>
      <c r="I8" s="188" t="s">
        <v>288</v>
      </c>
      <c r="J8" s="32" t="s">
        <v>376</v>
      </c>
      <c r="K8" s="32"/>
      <c r="L8" s="166" t="s">
        <v>288</v>
      </c>
      <c r="M8" t="s">
        <v>375</v>
      </c>
      <c r="O8" s="188" t="s">
        <v>288</v>
      </c>
      <c r="P8" s="32" t="s">
        <v>375</v>
      </c>
      <c r="Q8" s="32" t="s">
        <v>376</v>
      </c>
      <c r="R8" s="8"/>
      <c r="S8" s="188" t="s">
        <v>288</v>
      </c>
      <c r="T8" s="32" t="s">
        <v>376</v>
      </c>
      <c r="U8" s="32" t="s">
        <v>409</v>
      </c>
      <c r="W8" s="188" t="s">
        <v>288</v>
      </c>
      <c r="X8" s="189" t="s">
        <v>379</v>
      </c>
      <c r="Y8" s="32" t="s">
        <v>380</v>
      </c>
      <c r="Z8" s="32" t="s">
        <v>410</v>
      </c>
      <c r="AA8" s="8"/>
    </row>
    <row r="9" spans="1:37">
      <c r="A9" s="29"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4">
        <v>1.97</v>
      </c>
      <c r="O9" s="4" t="s">
        <v>48</v>
      </c>
      <c r="P9" s="6">
        <v>0</v>
      </c>
      <c r="Q9" s="6">
        <v>0</v>
      </c>
      <c r="R9" s="48">
        <f>U9/IF(P9 = 0,1,P9)</f>
        <v>0</v>
      </c>
      <c r="S9" s="4" t="s">
        <v>48</v>
      </c>
      <c r="T9" s="6">
        <v>0</v>
      </c>
      <c r="U9" s="6">
        <v>0</v>
      </c>
      <c r="W9" s="4" t="s">
        <v>48</v>
      </c>
      <c r="X9" s="5">
        <v>0</v>
      </c>
      <c r="Y9" s="5">
        <v>0</v>
      </c>
      <c r="Z9" s="5">
        <v>0</v>
      </c>
      <c r="AA9" s="48">
        <f>Y9/IF(X9=0,1,X9)</f>
        <v>0</v>
      </c>
    </row>
    <row r="10" spans="1:37">
      <c r="B10" s="4" t="s">
        <v>17</v>
      </c>
      <c r="C10" s="6">
        <v>311.17886066436768</v>
      </c>
      <c r="D10" s="6">
        <v>156.57443033218385</v>
      </c>
      <c r="E10" s="6"/>
      <c r="F10" s="4" t="s">
        <v>17</v>
      </c>
      <c r="G10" s="5">
        <v>531</v>
      </c>
      <c r="H10" s="6"/>
      <c r="I10" s="4" t="s">
        <v>17</v>
      </c>
      <c r="J10" s="6">
        <v>220.30964517593384</v>
      </c>
      <c r="K10" s="6"/>
      <c r="L10" s="4" t="s">
        <v>17</v>
      </c>
      <c r="M10" s="104">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4" customWidth="1"/>
    <col min="2" max="2" width="15.88671875" customWidth="1"/>
    <col min="3" max="3" width="10.77734375" customWidth="1"/>
    <col min="4" max="4" width="35.5546875" customWidth="1"/>
    <col min="5" max="5" width="7.88671875" style="177"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5" customFormat="1">
      <c r="A1" s="31"/>
    </row>
    <row r="2" spans="1:30" s="45" customFormat="1">
      <c r="A2" s="31"/>
    </row>
    <row r="3" spans="1:30" s="45" customFormat="1">
      <c r="A3" s="31"/>
    </row>
    <row r="4" spans="1:30">
      <c r="A4" s="31"/>
      <c r="B4" s="45"/>
      <c r="C4" s="207" t="s">
        <v>478</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37"/>
      <c r="AD4" s="37"/>
    </row>
    <row r="5" spans="1:30">
      <c r="A5" s="31"/>
      <c r="B5" s="45"/>
      <c r="C5" s="185" t="s">
        <v>0</v>
      </c>
      <c r="D5" s="186" t="s">
        <v>16</v>
      </c>
      <c r="F5" s="33"/>
      <c r="G5" s="185" t="s">
        <v>0</v>
      </c>
      <c r="H5" s="186" t="s">
        <v>16</v>
      </c>
      <c r="I5" s="33"/>
      <c r="J5" s="185" t="s">
        <v>0</v>
      </c>
      <c r="K5" s="186" t="s">
        <v>16</v>
      </c>
      <c r="M5" s="185" t="s">
        <v>0</v>
      </c>
      <c r="N5" s="186" t="s">
        <v>16</v>
      </c>
      <c r="O5" s="218" t="s">
        <v>540</v>
      </c>
      <c r="P5" s="191"/>
      <c r="U5" s="185" t="s">
        <v>0</v>
      </c>
      <c r="V5" s="186" t="s">
        <v>16</v>
      </c>
      <c r="W5" s="218" t="s">
        <v>541</v>
      </c>
      <c r="X5" s="191"/>
      <c r="Y5" s="191"/>
      <c r="Z5" s="109"/>
      <c r="AA5" s="109"/>
    </row>
    <row r="6" spans="1:30">
      <c r="A6" s="31"/>
      <c r="B6" s="45"/>
      <c r="C6" s="185" t="s">
        <v>3</v>
      </c>
      <c r="D6" s="186" t="s">
        <v>401</v>
      </c>
      <c r="F6" s="33"/>
      <c r="G6" s="185" t="s">
        <v>3</v>
      </c>
      <c r="H6" s="186" t="s">
        <v>144</v>
      </c>
      <c r="I6" s="33"/>
      <c r="J6" s="185" t="s">
        <v>3</v>
      </c>
      <c r="K6" s="186" t="s">
        <v>402</v>
      </c>
      <c r="M6" s="185" t="s">
        <v>3</v>
      </c>
      <c r="N6" s="186" t="s">
        <v>302</v>
      </c>
      <c r="U6" s="185" t="s">
        <v>3</v>
      </c>
      <c r="V6" s="186" t="s">
        <v>302</v>
      </c>
      <c r="W6" s="109"/>
      <c r="X6" s="109"/>
      <c r="Y6" s="109"/>
      <c r="Z6" s="109"/>
      <c r="AA6" s="109"/>
    </row>
    <row r="7" spans="1:30">
      <c r="A7" s="31"/>
      <c r="B7" s="45"/>
      <c r="M7" s="107"/>
      <c r="N7" s="107"/>
      <c r="U7" s="109"/>
      <c r="V7" s="109"/>
      <c r="W7" s="109"/>
      <c r="X7" s="109"/>
      <c r="Y7" s="109"/>
      <c r="Z7" s="109"/>
      <c r="AA7" s="109"/>
    </row>
    <row r="8" spans="1:30">
      <c r="A8" s="24" t="s">
        <v>685</v>
      </c>
      <c r="B8" s="46" t="s">
        <v>296</v>
      </c>
      <c r="C8" s="185" t="s">
        <v>288</v>
      </c>
      <c r="D8" s="186" t="s">
        <v>329</v>
      </c>
      <c r="E8" s="186" t="s">
        <v>241</v>
      </c>
      <c r="G8" s="185" t="s">
        <v>288</v>
      </c>
      <c r="H8" t="s">
        <v>336</v>
      </c>
      <c r="J8" s="185" t="s">
        <v>288</v>
      </c>
      <c r="K8" t="s">
        <v>295</v>
      </c>
      <c r="M8" s="185" t="s">
        <v>288</v>
      </c>
      <c r="N8" s="186" t="s">
        <v>537</v>
      </c>
      <c r="O8" s="186" t="s">
        <v>538</v>
      </c>
      <c r="P8" s="186" t="s">
        <v>539</v>
      </c>
      <c r="Q8" s="186" t="s">
        <v>348</v>
      </c>
      <c r="R8" s="186" t="s">
        <v>241</v>
      </c>
      <c r="S8" s="186" t="s">
        <v>525</v>
      </c>
      <c r="U8" s="185" t="s">
        <v>288</v>
      </c>
      <c r="V8" s="186" t="s">
        <v>542</v>
      </c>
      <c r="W8" s="186" t="s">
        <v>538</v>
      </c>
      <c r="X8" s="186" t="s">
        <v>543</v>
      </c>
      <c r="Y8" s="186" t="s">
        <v>539</v>
      </c>
      <c r="Z8" s="186" t="s">
        <v>348</v>
      </c>
      <c r="AA8" s="186" t="s">
        <v>241</v>
      </c>
      <c r="AB8" s="186" t="s">
        <v>525</v>
      </c>
    </row>
    <row r="9" spans="1:30">
      <c r="A9" s="29" t="str">
        <f>INDEX('OS-Machine Info'!$B:$B,MATCH(C9,'OS-Machine Info'!$A:$A,0))</f>
        <v>TestDC</v>
      </c>
      <c r="B9" s="47" t="str">
        <f>INDEX('OS-Machine Info'!$X:X,MATCH(C9,'OS-Machine Info'!$A:$A,0))</f>
        <v>GC-CMS</v>
      </c>
      <c r="C9" s="4" t="s">
        <v>48</v>
      </c>
      <c r="D9" s="5">
        <v>396</v>
      </c>
      <c r="E9" s="5">
        <v>396</v>
      </c>
      <c r="F9" s="5"/>
      <c r="G9" s="4" t="s">
        <v>48</v>
      </c>
      <c r="H9" s="186">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6">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0.77734375" style="51" customWidth="1"/>
    <col min="4" max="4" width="24.77734375" style="51" customWidth="1"/>
    <col min="5" max="5" width="9.109375" style="51"/>
    <col min="6" max="6" width="10.77734375" style="51" customWidth="1"/>
    <col min="7" max="7" width="30" style="51" customWidth="1"/>
    <col min="8" max="8" width="9.109375" style="51"/>
    <col min="9" max="9" width="10.77734375" style="51" customWidth="1"/>
    <col min="10" max="10" width="51.33203125" style="51" customWidth="1"/>
    <col min="11" max="11" width="9.109375" style="51"/>
    <col min="12" max="12" width="10.77734375" style="51" customWidth="1"/>
    <col min="13" max="13" width="34" style="51" customWidth="1"/>
    <col min="14" max="16384" width="9.109375" style="51"/>
  </cols>
  <sheetData>
    <row r="1" spans="1:13" s="45" customFormat="1">
      <c r="A1" s="31"/>
    </row>
    <row r="2" spans="1:13" s="45" customFormat="1">
      <c r="A2" s="31"/>
    </row>
    <row r="3" spans="1:13" s="45" customFormat="1">
      <c r="A3" s="31"/>
    </row>
    <row r="4" spans="1:13" s="45" customFormat="1">
      <c r="A4" s="31"/>
      <c r="C4" s="207" t="s">
        <v>293</v>
      </c>
      <c r="D4" s="210"/>
      <c r="E4" s="210"/>
      <c r="F4" s="210"/>
      <c r="G4" s="210"/>
      <c r="H4" s="210"/>
      <c r="I4" s="210"/>
      <c r="J4" s="210"/>
      <c r="K4" s="210"/>
      <c r="L4" s="210"/>
      <c r="M4" s="210"/>
    </row>
    <row r="5" spans="1:13">
      <c r="A5" s="31"/>
      <c r="B5" s="45"/>
      <c r="C5" s="185" t="s">
        <v>0</v>
      </c>
      <c r="D5" s="186" t="s">
        <v>16</v>
      </c>
      <c r="E5" s="33"/>
      <c r="F5" s="185" t="s">
        <v>0</v>
      </c>
      <c r="G5" s="186" t="s">
        <v>16</v>
      </c>
      <c r="H5" s="33"/>
      <c r="I5" s="185" t="s">
        <v>0</v>
      </c>
      <c r="J5" s="186" t="s">
        <v>16</v>
      </c>
      <c r="L5" s="185" t="s">
        <v>0</v>
      </c>
      <c r="M5" s="186" t="s">
        <v>16</v>
      </c>
    </row>
    <row r="6" spans="1:13">
      <c r="A6" s="31"/>
      <c r="B6" s="45"/>
      <c r="C6" s="185" t="s">
        <v>3</v>
      </c>
      <c r="D6" s="186" t="s">
        <v>342</v>
      </c>
      <c r="E6" s="33"/>
      <c r="F6" s="185" t="s">
        <v>3</v>
      </c>
      <c r="G6" s="186" t="s">
        <v>425</v>
      </c>
      <c r="H6" s="33"/>
      <c r="I6" s="185" t="s">
        <v>3</v>
      </c>
      <c r="J6" s="186" t="s">
        <v>453</v>
      </c>
      <c r="L6" s="185" t="s">
        <v>3</v>
      </c>
      <c r="M6" s="186" t="s">
        <v>428</v>
      </c>
    </row>
    <row r="7" spans="1:13">
      <c r="A7" s="31"/>
      <c r="B7" s="45"/>
      <c r="C7" s="57"/>
      <c r="D7" s="57"/>
      <c r="F7" s="82"/>
      <c r="G7" s="82"/>
      <c r="I7" s="85"/>
      <c r="J7" s="85"/>
      <c r="L7" s="90"/>
      <c r="M7" s="90"/>
    </row>
    <row r="8" spans="1:13">
      <c r="A8" s="24" t="s">
        <v>685</v>
      </c>
      <c r="B8" s="46" t="s">
        <v>296</v>
      </c>
      <c r="C8" s="185" t="s">
        <v>288</v>
      </c>
      <c r="D8" t="s">
        <v>469</v>
      </c>
      <c r="F8" s="185" t="s">
        <v>288</v>
      </c>
      <c r="G8" t="s">
        <v>470</v>
      </c>
      <c r="I8" s="185" t="s">
        <v>288</v>
      </c>
      <c r="J8" t="s">
        <v>472</v>
      </c>
      <c r="L8" s="185" t="s">
        <v>288</v>
      </c>
      <c r="M8" t="s">
        <v>471</v>
      </c>
    </row>
    <row r="9" spans="1:13">
      <c r="A9" s="29" t="str">
        <f>INDEX('OS-Machine Info'!$B:$B,MATCH(C9,'OS-Machine Info'!$A:$A,0))</f>
        <v>TestDC</v>
      </c>
      <c r="B9" s="47" t="str">
        <f>INDEX('OS-Machine Info'!$X:X,MATCH(C9,'OS-Machine Info'!$A:$A,0))</f>
        <v>GC-CMS</v>
      </c>
      <c r="C9" s="4" t="s">
        <v>48</v>
      </c>
      <c r="D9" s="186">
        <v>2</v>
      </c>
      <c r="E9" s="5"/>
      <c r="F9" s="4" t="s">
        <v>48</v>
      </c>
      <c r="G9" s="186">
        <v>1</v>
      </c>
      <c r="H9" s="5"/>
      <c r="I9" s="4" t="s">
        <v>48</v>
      </c>
      <c r="J9" s="186">
        <v>3</v>
      </c>
      <c r="L9" s="4" t="s">
        <v>48</v>
      </c>
      <c r="M9" s="186">
        <v>1</v>
      </c>
    </row>
    <row r="10" spans="1:13">
      <c r="C10" s="4" t="s">
        <v>17</v>
      </c>
      <c r="D10" s="186">
        <v>2</v>
      </c>
      <c r="E10" s="5"/>
      <c r="F10" s="4" t="s">
        <v>17</v>
      </c>
      <c r="G10" s="186">
        <v>1</v>
      </c>
      <c r="H10" s="5"/>
      <c r="I10" s="4" t="s">
        <v>17</v>
      </c>
      <c r="J10" s="186">
        <v>3</v>
      </c>
      <c r="L10" s="4" t="s">
        <v>17</v>
      </c>
      <c r="M10" s="186">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6" customWidth="1"/>
    <col min="2" max="2" width="16.44140625" style="146" customWidth="1"/>
    <col min="3" max="3" width="26.77734375" style="146" customWidth="1"/>
    <col min="4" max="4" width="9.109375" style="146"/>
    <col min="5" max="5" width="16.44140625" style="146" customWidth="1"/>
    <col min="6" max="6" width="35.6640625" style="146" customWidth="1"/>
    <col min="7" max="7" width="9.109375" style="146"/>
    <col min="8" max="8" width="16.44140625" style="146" customWidth="1"/>
    <col min="9" max="9" width="35.33203125" style="146" customWidth="1"/>
    <col min="10" max="10" width="9.109375" style="146"/>
    <col min="11" max="11" width="16.44140625" style="146" customWidth="1"/>
    <col min="12" max="12" width="27.6640625" style="146" customWidth="1"/>
    <col min="13" max="13" width="9.109375" style="146"/>
    <col min="14" max="14" width="16.44140625" style="146" customWidth="1"/>
    <col min="15" max="15" width="31.33203125" style="146" customWidth="1"/>
    <col min="16" max="16" width="23.109375" style="146" customWidth="1"/>
    <col min="17" max="17" width="9.109375" style="146"/>
    <col min="18" max="18" width="16.44140625" style="146" customWidth="1"/>
    <col min="19" max="19" width="27.88671875" style="146" customWidth="1"/>
    <col min="20" max="20" width="9.109375" style="146"/>
    <col min="21" max="21" width="16.44140625" style="146" customWidth="1"/>
    <col min="22" max="22" width="27.44140625" style="146" customWidth="1"/>
    <col min="23" max="23" width="9.109375" style="146"/>
    <col min="24" max="24" width="16.44140625" style="146" customWidth="1"/>
    <col min="25" max="25" width="31.77734375" style="146" customWidth="1"/>
    <col min="26" max="26" width="9.109375" style="146"/>
    <col min="27" max="27" width="16.44140625" style="146" customWidth="1"/>
    <col min="28" max="28" width="31.21875" style="146" customWidth="1"/>
    <col min="29" max="16384" width="9.109375" style="146"/>
  </cols>
  <sheetData>
    <row r="1" spans="1:28" s="31" customFormat="1"/>
    <row r="2" spans="1:28" s="31" customFormat="1">
      <c r="B2" s="207" t="s">
        <v>293</v>
      </c>
      <c r="C2" s="210"/>
      <c r="D2" s="210"/>
      <c r="E2" s="210"/>
      <c r="F2" s="210"/>
      <c r="G2" s="210"/>
      <c r="H2" s="210"/>
      <c r="I2" s="210"/>
      <c r="J2" s="210"/>
      <c r="K2" s="210"/>
      <c r="L2" s="210"/>
      <c r="M2" s="210"/>
      <c r="N2" s="210"/>
      <c r="O2" s="210"/>
      <c r="P2" s="210"/>
      <c r="Q2" s="210"/>
      <c r="R2" s="210"/>
      <c r="S2" s="210"/>
      <c r="T2" s="210"/>
      <c r="U2" s="210"/>
      <c r="V2" s="210"/>
      <c r="W2" s="210"/>
      <c r="X2" s="210"/>
      <c r="Y2" s="210"/>
      <c r="Z2" s="210"/>
      <c r="AA2" s="210"/>
      <c r="AB2" s="210"/>
    </row>
    <row r="3" spans="1:28">
      <c r="A3" s="30"/>
      <c r="B3"/>
      <c r="C3"/>
      <c r="E3"/>
      <c r="F3"/>
      <c r="H3"/>
      <c r="I3"/>
      <c r="K3"/>
      <c r="L3"/>
      <c r="N3"/>
      <c r="O3"/>
      <c r="P3" s="33"/>
      <c r="Q3" s="33"/>
      <c r="R3"/>
      <c r="S3"/>
      <c r="T3" s="33"/>
      <c r="U3"/>
      <c r="V3"/>
      <c r="X3"/>
      <c r="Y3"/>
      <c r="AA3"/>
      <c r="AB3"/>
    </row>
    <row r="4" spans="1:28">
      <c r="A4" s="30"/>
      <c r="B4" s="188" t="s">
        <v>0</v>
      </c>
      <c r="C4" s="189" t="s">
        <v>16</v>
      </c>
      <c r="E4" s="188" t="s">
        <v>0</v>
      </c>
      <c r="F4" s="189" t="s">
        <v>16</v>
      </c>
      <c r="H4" s="188" t="s">
        <v>0</v>
      </c>
      <c r="I4" s="189" t="s">
        <v>16</v>
      </c>
      <c r="K4" s="188" t="s">
        <v>0</v>
      </c>
      <c r="L4" s="189" t="s">
        <v>16</v>
      </c>
      <c r="N4" s="188" t="s">
        <v>0</v>
      </c>
      <c r="O4" s="189" t="s">
        <v>16</v>
      </c>
      <c r="P4" s="33"/>
      <c r="Q4" s="33"/>
      <c r="R4" s="188" t="s">
        <v>0</v>
      </c>
      <c r="S4" s="189" t="s">
        <v>16</v>
      </c>
      <c r="T4" s="33"/>
      <c r="U4" s="188" t="s">
        <v>0</v>
      </c>
      <c r="V4" s="189" t="s">
        <v>16</v>
      </c>
      <c r="X4" s="188" t="s">
        <v>0</v>
      </c>
      <c r="Y4" s="189" t="s">
        <v>16</v>
      </c>
      <c r="AA4" s="188" t="s">
        <v>0</v>
      </c>
      <c r="AB4" s="189" t="s">
        <v>16</v>
      </c>
    </row>
    <row r="5" spans="1:28">
      <c r="A5" s="30"/>
      <c r="B5" s="188" t="s">
        <v>3</v>
      </c>
      <c r="C5" s="189" t="s">
        <v>640</v>
      </c>
      <c r="E5" s="188" t="s">
        <v>3</v>
      </c>
      <c r="F5" s="189" t="s">
        <v>641</v>
      </c>
      <c r="H5" s="188" t="s">
        <v>3</v>
      </c>
      <c r="I5" s="189" t="s">
        <v>643</v>
      </c>
      <c r="K5" s="188" t="s">
        <v>3</v>
      </c>
      <c r="L5" s="189" t="s">
        <v>642</v>
      </c>
      <c r="N5" s="188" t="s">
        <v>3</v>
      </c>
      <c r="O5" s="189" t="s">
        <v>637</v>
      </c>
      <c r="R5" s="188" t="s">
        <v>3</v>
      </c>
      <c r="S5" s="189" t="s">
        <v>638</v>
      </c>
      <c r="U5" s="188" t="s">
        <v>3</v>
      </c>
      <c r="V5" s="189" t="s">
        <v>648</v>
      </c>
      <c r="X5" s="188" t="s">
        <v>3</v>
      </c>
      <c r="Y5" s="189" t="s">
        <v>645</v>
      </c>
      <c r="AA5" s="188" t="s">
        <v>3</v>
      </c>
      <c r="AB5" s="189" t="s">
        <v>647</v>
      </c>
    </row>
    <row r="6" spans="1:28">
      <c r="A6" s="30"/>
    </row>
    <row r="7" spans="1:28">
      <c r="A7" s="24" t="s">
        <v>93</v>
      </c>
      <c r="B7" s="188" t="s">
        <v>725</v>
      </c>
      <c r="C7" t="s">
        <v>287</v>
      </c>
      <c r="E7" s="188" t="s">
        <v>725</v>
      </c>
      <c r="F7" s="104" t="s">
        <v>650</v>
      </c>
      <c r="H7" s="188" t="s">
        <v>725</v>
      </c>
      <c r="I7" s="104" t="s">
        <v>651</v>
      </c>
      <c r="K7" s="188" t="s">
        <v>725</v>
      </c>
      <c r="L7" t="s">
        <v>299</v>
      </c>
      <c r="N7" s="188" t="s">
        <v>725</v>
      </c>
      <c r="O7" s="189" t="s">
        <v>332</v>
      </c>
      <c r="P7" s="189" t="s">
        <v>405</v>
      </c>
      <c r="R7" s="188" t="s">
        <v>725</v>
      </c>
      <c r="S7" t="s">
        <v>295</v>
      </c>
      <c r="U7" s="188" t="s">
        <v>725</v>
      </c>
      <c r="V7" t="s">
        <v>652</v>
      </c>
      <c r="X7" s="188" t="s">
        <v>725</v>
      </c>
      <c r="Y7" t="s">
        <v>653</v>
      </c>
      <c r="AA7" s="188" t="s">
        <v>725</v>
      </c>
      <c r="AB7" t="s">
        <v>654</v>
      </c>
    </row>
    <row r="8" spans="1:28">
      <c r="A8" s="23" t="e">
        <f>INDEX('DDL Tables'!$F:$F,MATCH(SUBSTITUTE(B8," (index)", ""),'DDL Tables'!$C:$C,0))</f>
        <v>#N/A</v>
      </c>
      <c r="B8" s="4" t="s">
        <v>47</v>
      </c>
      <c r="C8" s="5">
        <v>12</v>
      </c>
      <c r="E8" s="4" t="s">
        <v>47</v>
      </c>
      <c r="F8" s="104">
        <v>7.89</v>
      </c>
      <c r="H8" s="4" t="s">
        <v>47</v>
      </c>
      <c r="I8" s="104">
        <v>1.23</v>
      </c>
      <c r="K8" s="4" t="s">
        <v>47</v>
      </c>
      <c r="L8" s="104">
        <v>3.45</v>
      </c>
      <c r="N8" s="4" t="s">
        <v>47</v>
      </c>
      <c r="O8" s="5">
        <v>123</v>
      </c>
      <c r="P8" s="5">
        <v>0</v>
      </c>
      <c r="R8" s="4" t="s">
        <v>47</v>
      </c>
      <c r="S8" s="5">
        <v>54</v>
      </c>
      <c r="U8" s="4" t="s">
        <v>47</v>
      </c>
      <c r="V8" s="104">
        <v>23.45</v>
      </c>
      <c r="X8" s="4" t="s">
        <v>47</v>
      </c>
      <c r="Y8" s="104">
        <v>12.43</v>
      </c>
      <c r="AA8" s="4" t="s">
        <v>47</v>
      </c>
      <c r="AB8" s="104">
        <v>2.34</v>
      </c>
    </row>
    <row r="9" spans="1:28">
      <c r="B9" s="4" t="s">
        <v>17</v>
      </c>
      <c r="C9" s="5">
        <v>12</v>
      </c>
      <c r="E9" s="4" t="s">
        <v>17</v>
      </c>
      <c r="F9" s="104">
        <v>7.89</v>
      </c>
      <c r="H9" s="4" t="s">
        <v>17</v>
      </c>
      <c r="I9" s="104">
        <v>1.23</v>
      </c>
      <c r="K9" s="4" t="s">
        <v>17</v>
      </c>
      <c r="L9" s="104">
        <v>3.45</v>
      </c>
      <c r="N9" s="4" t="s">
        <v>17</v>
      </c>
      <c r="O9" s="5">
        <v>123</v>
      </c>
      <c r="P9" s="5">
        <v>0</v>
      </c>
      <c r="R9" s="4" t="s">
        <v>17</v>
      </c>
      <c r="S9" s="5">
        <v>54</v>
      </c>
      <c r="U9" s="4" t="s">
        <v>17</v>
      </c>
      <c r="V9" s="104">
        <v>23.45</v>
      </c>
      <c r="X9" s="4" t="s">
        <v>17</v>
      </c>
      <c r="Y9" s="104">
        <v>12.43</v>
      </c>
      <c r="AA9" s="4" t="s">
        <v>17</v>
      </c>
      <c r="AB9" s="104">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A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0.77734375" style="146" customWidth="1"/>
    <col min="21" max="21" width="27.88671875" style="146" customWidth="1"/>
    <col min="22" max="22" width="9.109375" style="146"/>
    <col min="23" max="23" width="10.77734375" style="146" customWidth="1"/>
    <col min="24" max="24" width="27.44140625" style="146" customWidth="1"/>
    <col min="25" max="25" width="9.109375" style="146"/>
    <col min="26" max="26" width="10.77734375" style="146" customWidth="1"/>
    <col min="27" max="27" width="31.77734375" style="146" customWidth="1"/>
    <col min="28" max="28" width="9.109375" style="146"/>
    <col min="29" max="29" width="10.77734375" style="146" customWidth="1"/>
    <col min="30" max="30" width="28.21875" style="146" customWidth="1"/>
    <col min="31" max="31" width="23.77734375" style="146" customWidth="1"/>
    <col min="32" max="32" width="9.109375" style="146"/>
    <col min="33" max="33" width="10.77734375" style="146" bestFit="1" customWidth="1"/>
    <col min="34" max="34" width="21.109375" style="146" bestFit="1" customWidth="1"/>
    <col min="35" max="35" width="15.21875" style="146" customWidth="1"/>
    <col min="36" max="36" width="22.21875" style="146" customWidth="1"/>
    <col min="37" max="37" width="15.44140625" style="146" customWidth="1"/>
    <col min="38" max="38" width="10.77734375" style="146" bestFit="1" customWidth="1"/>
    <col min="39" max="39" width="19.44140625" style="146" customWidth="1"/>
    <col min="40" max="40" width="15.21875" style="146" customWidth="1"/>
    <col min="41" max="41" width="22.21875" style="146" bestFit="1" customWidth="1"/>
    <col min="42" max="42" width="15.44140625" style="146" customWidth="1"/>
    <col min="43" max="43" width="4.77734375" style="146" customWidth="1"/>
    <col min="44" max="44" width="10.77734375" style="146" bestFit="1" customWidth="1"/>
    <col min="45" max="45" width="29.77734375" style="146" customWidth="1"/>
    <col min="46" max="46" width="11.77734375" style="146" customWidth="1"/>
    <col min="47" max="47" width="18.77734375" style="146" customWidth="1"/>
    <col min="48" max="48" width="12" style="146" customWidth="1"/>
    <col min="49" max="49" width="10.77734375" style="146" bestFit="1" customWidth="1"/>
    <col min="50" max="50" width="28.109375" style="146" customWidth="1"/>
    <col min="51" max="51" width="11.77734375" style="146" customWidth="1"/>
    <col min="52" max="52" width="18.77734375" style="146" customWidth="1"/>
    <col min="53" max="53" width="12" style="146" customWidth="1"/>
    <col min="54" max="16384" width="9.109375" style="146"/>
  </cols>
  <sheetData>
    <row r="1" spans="1:53" s="31" customFormat="1">
      <c r="AR1" s="207"/>
      <c r="AS1" s="210"/>
      <c r="AT1" s="210"/>
      <c r="AU1" s="210"/>
      <c r="AV1" s="210"/>
      <c r="AW1" s="207"/>
      <c r="AX1" s="210"/>
      <c r="AY1" s="210"/>
      <c r="AZ1" s="210"/>
      <c r="BA1" s="210"/>
    </row>
    <row r="2" spans="1:53" s="31" customFormat="1">
      <c r="C2" s="207" t="s">
        <v>293</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R2" s="207"/>
      <c r="AS2" s="210"/>
      <c r="AT2" s="210"/>
      <c r="AU2" s="210"/>
      <c r="AV2" s="210"/>
      <c r="AW2" s="207"/>
      <c r="AX2" s="210"/>
      <c r="AY2" s="210"/>
      <c r="AZ2" s="210"/>
      <c r="BA2" s="210"/>
    </row>
    <row r="3" spans="1:53" s="31" customFormat="1">
      <c r="C3" s="188" t="s">
        <v>0</v>
      </c>
      <c r="D3" s="189" t="s">
        <v>16</v>
      </c>
      <c r="E3" s="145"/>
      <c r="F3" s="188" t="s">
        <v>0</v>
      </c>
      <c r="G3" s="189" t="s">
        <v>16</v>
      </c>
      <c r="H3" s="145"/>
      <c r="I3" s="188" t="s">
        <v>0</v>
      </c>
      <c r="J3" s="189" t="s">
        <v>16</v>
      </c>
      <c r="K3" s="145"/>
      <c r="L3" s="188" t="s">
        <v>0</v>
      </c>
      <c r="M3" s="189" t="s">
        <v>16</v>
      </c>
      <c r="N3" s="147"/>
      <c r="O3" s="145"/>
      <c r="P3" s="188" t="s">
        <v>0</v>
      </c>
      <c r="Q3" s="189" t="s">
        <v>16</v>
      </c>
      <c r="R3" s="145"/>
      <c r="S3" s="145"/>
      <c r="T3" s="188" t="s">
        <v>0</v>
      </c>
      <c r="U3" s="189" t="s">
        <v>16</v>
      </c>
      <c r="V3" s="145"/>
      <c r="W3" s="188" t="s">
        <v>0</v>
      </c>
      <c r="X3" s="189" t="s">
        <v>16</v>
      </c>
      <c r="Y3" s="145"/>
      <c r="Z3" s="188" t="s">
        <v>0</v>
      </c>
      <c r="AA3" s="189" t="s">
        <v>16</v>
      </c>
      <c r="AB3" s="145"/>
      <c r="AC3" s="188" t="s">
        <v>0</v>
      </c>
      <c r="AD3" s="189" t="s">
        <v>16</v>
      </c>
      <c r="AR3" s="207"/>
      <c r="AS3" s="210"/>
      <c r="AT3" s="210"/>
      <c r="AU3" s="210"/>
      <c r="AV3" s="210"/>
      <c r="AW3" s="207"/>
      <c r="AX3" s="210"/>
      <c r="AY3" s="210"/>
      <c r="AZ3" s="210"/>
      <c r="BA3" s="210"/>
    </row>
    <row r="4" spans="1:53">
      <c r="A4" s="31"/>
      <c r="B4" s="30"/>
      <c r="C4" s="188" t="s">
        <v>1</v>
      </c>
      <c r="D4" s="189" t="s">
        <v>16</v>
      </c>
      <c r="F4" s="188" t="s">
        <v>1</v>
      </c>
      <c r="G4" s="189" t="s">
        <v>16</v>
      </c>
      <c r="I4" s="188" t="s">
        <v>1</v>
      </c>
      <c r="J4" s="189" t="s">
        <v>16</v>
      </c>
      <c r="L4" s="188" t="s">
        <v>1</v>
      </c>
      <c r="M4" s="189" t="s">
        <v>16</v>
      </c>
      <c r="P4" s="188" t="s">
        <v>1</v>
      </c>
      <c r="Q4" s="189" t="s">
        <v>16</v>
      </c>
      <c r="R4" s="33"/>
      <c r="S4" s="33"/>
      <c r="T4" s="188" t="s">
        <v>1</v>
      </c>
      <c r="U4" s="189" t="s">
        <v>16</v>
      </c>
      <c r="V4" s="33"/>
      <c r="W4" s="188" t="s">
        <v>1</v>
      </c>
      <c r="X4" s="189" t="s">
        <v>16</v>
      </c>
      <c r="Z4" s="188" t="s">
        <v>1</v>
      </c>
      <c r="AA4" s="189" t="s">
        <v>16</v>
      </c>
      <c r="AC4" s="188" t="s">
        <v>1</v>
      </c>
      <c r="AD4" s="189" t="s">
        <v>16</v>
      </c>
      <c r="AG4" s="209" t="s">
        <v>439</v>
      </c>
      <c r="AH4" s="210"/>
      <c r="AI4" s="210"/>
      <c r="AJ4" s="210"/>
      <c r="AK4" s="210"/>
      <c r="AL4" s="210"/>
      <c r="AM4" s="210"/>
      <c r="AN4" s="210"/>
      <c r="AO4" s="210"/>
      <c r="AP4" s="210"/>
      <c r="AR4" s="207" t="s">
        <v>293</v>
      </c>
      <c r="AS4" s="210"/>
      <c r="AT4" s="210"/>
      <c r="AU4" s="210"/>
      <c r="AV4" s="210"/>
      <c r="AW4" s="210"/>
      <c r="AX4" s="210"/>
      <c r="AY4" s="210"/>
      <c r="AZ4" s="210"/>
      <c r="BA4" s="210"/>
    </row>
    <row r="5" spans="1:53">
      <c r="A5" s="31"/>
      <c r="B5" s="30"/>
      <c r="C5" s="188" t="s">
        <v>2</v>
      </c>
      <c r="D5" s="189" t="s">
        <v>16</v>
      </c>
      <c r="F5" s="188" t="s">
        <v>2</v>
      </c>
      <c r="G5" s="189" t="s">
        <v>16</v>
      </c>
      <c r="I5" s="188" t="s">
        <v>2</v>
      </c>
      <c r="J5" s="189" t="s">
        <v>16</v>
      </c>
      <c r="L5" s="188" t="s">
        <v>2</v>
      </c>
      <c r="M5" s="189" t="s">
        <v>16</v>
      </c>
      <c r="P5" s="188" t="s">
        <v>2</v>
      </c>
      <c r="Q5" s="189" t="s">
        <v>16</v>
      </c>
      <c r="R5" s="33"/>
      <c r="S5" s="33"/>
      <c r="T5" s="188" t="s">
        <v>2</v>
      </c>
      <c r="U5" s="189" t="s">
        <v>16</v>
      </c>
      <c r="V5" s="33"/>
      <c r="W5" s="188" t="s">
        <v>2</v>
      </c>
      <c r="X5" s="189" t="s">
        <v>16</v>
      </c>
      <c r="Z5" s="188" t="s">
        <v>2</v>
      </c>
      <c r="AA5" s="189" t="s">
        <v>16</v>
      </c>
      <c r="AC5" s="188" t="s">
        <v>2</v>
      </c>
      <c r="AD5" s="189" t="s">
        <v>16</v>
      </c>
      <c r="AG5" s="185" t="s">
        <v>0</v>
      </c>
      <c r="AH5" s="186" t="s">
        <v>16</v>
      </c>
      <c r="AI5" s="31"/>
      <c r="AJ5" s="31"/>
      <c r="AK5" s="31"/>
      <c r="AL5" s="185" t="s">
        <v>0</v>
      </c>
      <c r="AM5" s="186" t="s">
        <v>16</v>
      </c>
      <c r="AN5" s="31"/>
      <c r="AO5" s="31"/>
      <c r="AP5" s="31"/>
      <c r="AR5" s="185" t="s">
        <v>0</v>
      </c>
      <c r="AS5" s="186" t="s">
        <v>16</v>
      </c>
      <c r="AT5" s="207"/>
      <c r="AU5" s="210"/>
      <c r="AV5" s="210"/>
      <c r="AW5" s="185" t="s">
        <v>0</v>
      </c>
      <c r="AX5" s="186" t="s">
        <v>16</v>
      </c>
      <c r="AY5" s="207"/>
      <c r="AZ5" s="210"/>
      <c r="BA5" s="210"/>
    </row>
    <row r="6" spans="1:53">
      <c r="A6" s="31"/>
      <c r="B6" s="30"/>
      <c r="C6" s="188" t="s">
        <v>3</v>
      </c>
      <c r="D6" s="189" t="s">
        <v>640</v>
      </c>
      <c r="F6" s="188" t="s">
        <v>3</v>
      </c>
      <c r="G6" s="189" t="s">
        <v>641</v>
      </c>
      <c r="I6" s="188" t="s">
        <v>3</v>
      </c>
      <c r="J6" s="189" t="s">
        <v>643</v>
      </c>
      <c r="L6" s="188" t="s">
        <v>3</v>
      </c>
      <c r="M6" s="189" t="s">
        <v>642</v>
      </c>
      <c r="P6" s="188" t="s">
        <v>3</v>
      </c>
      <c r="Q6" s="189" t="s">
        <v>637</v>
      </c>
      <c r="T6" s="188" t="s">
        <v>3</v>
      </c>
      <c r="U6" s="189" t="s">
        <v>638</v>
      </c>
      <c r="W6" s="188" t="s">
        <v>3</v>
      </c>
      <c r="X6" s="189" t="s">
        <v>648</v>
      </c>
      <c r="Z6" s="188" t="s">
        <v>3</v>
      </c>
      <c r="AA6" s="189" t="s">
        <v>645</v>
      </c>
      <c r="AC6" s="188" t="s">
        <v>3</v>
      </c>
      <c r="AD6" s="189" t="s">
        <v>646</v>
      </c>
      <c r="AG6" s="185" t="s">
        <v>3</v>
      </c>
      <c r="AH6" s="186" t="s">
        <v>75</v>
      </c>
      <c r="AI6" s="172"/>
      <c r="AJ6" s="172"/>
      <c r="AK6" s="172"/>
      <c r="AL6" s="185" t="s">
        <v>3</v>
      </c>
      <c r="AM6" s="186" t="s">
        <v>76</v>
      </c>
      <c r="AN6" s="172"/>
      <c r="AO6" s="172"/>
      <c r="AP6" s="172"/>
      <c r="AR6" s="185" t="s">
        <v>3</v>
      </c>
      <c r="AS6" s="186" t="s">
        <v>193</v>
      </c>
      <c r="AT6" s="207"/>
      <c r="AU6" s="210"/>
      <c r="AV6" s="210"/>
      <c r="AW6" s="185" t="s">
        <v>3</v>
      </c>
      <c r="AX6" s="186" t="s">
        <v>208</v>
      </c>
      <c r="AY6" s="207"/>
      <c r="AZ6" s="210"/>
      <c r="BA6" s="210"/>
    </row>
    <row r="7" spans="1:53">
      <c r="A7" s="31"/>
      <c r="B7" s="30"/>
      <c r="AG7" s="172"/>
      <c r="AH7" s="172"/>
      <c r="AI7" s="172"/>
      <c r="AJ7" s="172"/>
      <c r="AK7" s="172"/>
      <c r="AL7" s="172"/>
      <c r="AM7" s="172"/>
      <c r="AN7" s="172"/>
      <c r="AO7" s="172"/>
      <c r="AP7" s="172"/>
      <c r="AR7" s="172"/>
      <c r="AS7" s="172"/>
      <c r="AT7" s="207"/>
      <c r="AU7" s="210"/>
      <c r="AV7" s="210"/>
      <c r="AW7" s="172"/>
      <c r="AX7" s="172"/>
      <c r="AY7" s="207"/>
      <c r="AZ7" s="210"/>
      <c r="BA7" s="210"/>
    </row>
    <row r="8" spans="1:53">
      <c r="A8" s="24" t="s">
        <v>685</v>
      </c>
      <c r="B8" s="24" t="s">
        <v>121</v>
      </c>
      <c r="C8" s="188" t="s">
        <v>288</v>
      </c>
      <c r="D8" t="s">
        <v>287</v>
      </c>
      <c r="F8" s="188" t="s">
        <v>288</v>
      </c>
      <c r="G8" t="s">
        <v>650</v>
      </c>
      <c r="I8" s="188" t="s">
        <v>288</v>
      </c>
      <c r="J8" t="s">
        <v>651</v>
      </c>
      <c r="L8" s="188" t="s">
        <v>288</v>
      </c>
      <c r="M8" s="189" t="s">
        <v>299</v>
      </c>
      <c r="N8" s="189" t="s">
        <v>525</v>
      </c>
      <c r="P8" s="188" t="s">
        <v>288</v>
      </c>
      <c r="Q8" s="189" t="s">
        <v>332</v>
      </c>
      <c r="R8" s="189" t="s">
        <v>405</v>
      </c>
      <c r="T8" s="188" t="s">
        <v>288</v>
      </c>
      <c r="U8" t="s">
        <v>295</v>
      </c>
      <c r="W8" s="188" t="s">
        <v>288</v>
      </c>
      <c r="X8" t="s">
        <v>652</v>
      </c>
      <c r="Z8" s="188" t="s">
        <v>288</v>
      </c>
      <c r="AA8" t="s">
        <v>653</v>
      </c>
      <c r="AC8" s="188" t="s">
        <v>288</v>
      </c>
      <c r="AD8" s="189" t="s">
        <v>655</v>
      </c>
      <c r="AE8" s="189" t="s">
        <v>656</v>
      </c>
      <c r="AG8" s="185" t="s">
        <v>288</v>
      </c>
      <c r="AH8" s="186" t="s">
        <v>735</v>
      </c>
      <c r="AI8" s="186" t="s">
        <v>736</v>
      </c>
      <c r="AJ8" s="186" t="s">
        <v>737</v>
      </c>
      <c r="AK8" s="186" t="s">
        <v>738</v>
      </c>
      <c r="AL8" s="185" t="s">
        <v>288</v>
      </c>
      <c r="AM8" s="186" t="s">
        <v>735</v>
      </c>
      <c r="AN8" s="186" t="s">
        <v>736</v>
      </c>
      <c r="AO8" s="186" t="s">
        <v>737</v>
      </c>
      <c r="AP8" s="186" t="s">
        <v>738</v>
      </c>
      <c r="AR8" s="185" t="s">
        <v>288</v>
      </c>
      <c r="AS8" s="186" t="s">
        <v>731</v>
      </c>
      <c r="AT8" s="186" t="s">
        <v>732</v>
      </c>
      <c r="AU8" s="186" t="s">
        <v>733</v>
      </c>
      <c r="AV8" s="186" t="s">
        <v>734</v>
      </c>
      <c r="AW8" s="185" t="s">
        <v>288</v>
      </c>
      <c r="AX8" s="186" t="s">
        <v>731</v>
      </c>
      <c r="AY8" s="186" t="s">
        <v>732</v>
      </c>
      <c r="AZ8" s="186" t="s">
        <v>733</v>
      </c>
      <c r="BA8" s="186" t="s">
        <v>734</v>
      </c>
    </row>
    <row r="9" spans="1:53">
      <c r="A9" s="29" t="str">
        <f>INDEX('OS-Machine Info'!$B:$B,MATCH(C9,'OS-Machine Info'!$A:$A,0))</f>
        <v>TestDC</v>
      </c>
      <c r="B9" s="50">
        <f>INDEX('Node Information'!$J:$J,MATCH(C9,'Node Information'!$A:$A,0))</f>
        <v>6.5428240740740704E-2</v>
      </c>
      <c r="C9" s="4" t="s">
        <v>48</v>
      </c>
      <c r="D9" s="5">
        <v>12</v>
      </c>
      <c r="F9" s="4" t="s">
        <v>48</v>
      </c>
      <c r="G9" s="104">
        <v>7.89</v>
      </c>
      <c r="I9" s="4" t="s">
        <v>48</v>
      </c>
      <c r="J9" s="104">
        <v>1.23</v>
      </c>
      <c r="L9" s="4" t="s">
        <v>48</v>
      </c>
      <c r="M9" s="104">
        <v>3.45</v>
      </c>
      <c r="N9" s="104">
        <v>0</v>
      </c>
      <c r="P9" s="4" t="s">
        <v>48</v>
      </c>
      <c r="Q9" s="5">
        <v>123</v>
      </c>
      <c r="R9" s="5">
        <v>0</v>
      </c>
      <c r="T9" s="4" t="s">
        <v>48</v>
      </c>
      <c r="U9" s="5">
        <v>54</v>
      </c>
      <c r="W9" s="4" t="s">
        <v>48</v>
      </c>
      <c r="X9" s="104">
        <v>23.45</v>
      </c>
      <c r="Z9" s="4" t="s">
        <v>48</v>
      </c>
      <c r="AA9" s="104">
        <v>12.43</v>
      </c>
      <c r="AC9" s="4" t="s">
        <v>48</v>
      </c>
      <c r="AD9" s="104">
        <v>5.67</v>
      </c>
      <c r="AE9" s="104">
        <v>0</v>
      </c>
      <c r="AG9" s="4" t="s">
        <v>48</v>
      </c>
      <c r="AH9" s="5">
        <v>94410</v>
      </c>
      <c r="AI9" s="5">
        <v>0</v>
      </c>
      <c r="AJ9" s="5">
        <v>0</v>
      </c>
      <c r="AK9" s="5">
        <v>0</v>
      </c>
      <c r="AL9" s="4" t="s">
        <v>48</v>
      </c>
      <c r="AM9" s="5">
        <v>174045</v>
      </c>
      <c r="AN9" s="5">
        <v>0</v>
      </c>
      <c r="AO9" s="5">
        <v>0</v>
      </c>
      <c r="AP9" s="5">
        <v>0</v>
      </c>
      <c r="AR9" s="4" t="s">
        <v>48</v>
      </c>
      <c r="AS9" s="5">
        <v>7356</v>
      </c>
      <c r="AT9" s="5">
        <v>0</v>
      </c>
      <c r="AU9" s="5">
        <v>0</v>
      </c>
      <c r="AV9" s="5">
        <v>1</v>
      </c>
      <c r="AW9" s="4" t="s">
        <v>48</v>
      </c>
      <c r="AX9" s="5">
        <v>37626</v>
      </c>
      <c r="AY9" s="5">
        <v>0</v>
      </c>
      <c r="AZ9" s="5">
        <v>0</v>
      </c>
      <c r="BA9" s="5">
        <v>2</v>
      </c>
    </row>
    <row r="10" spans="1:53">
      <c r="C10" s="4" t="s">
        <v>17</v>
      </c>
      <c r="D10" s="5">
        <v>12</v>
      </c>
      <c r="F10" s="4" t="s">
        <v>17</v>
      </c>
      <c r="G10" s="104">
        <v>7.89</v>
      </c>
      <c r="I10" s="4" t="s">
        <v>17</v>
      </c>
      <c r="J10" s="104">
        <v>1.23</v>
      </c>
      <c r="L10" s="4" t="s">
        <v>17</v>
      </c>
      <c r="M10" s="104">
        <v>3.45</v>
      </c>
      <c r="N10" s="104">
        <v>0</v>
      </c>
      <c r="P10" s="4" t="s">
        <v>17</v>
      </c>
      <c r="Q10" s="5">
        <v>123</v>
      </c>
      <c r="R10" s="5">
        <v>0</v>
      </c>
      <c r="T10" s="4" t="s">
        <v>17</v>
      </c>
      <c r="U10" s="5">
        <v>54</v>
      </c>
      <c r="W10" s="4" t="s">
        <v>17</v>
      </c>
      <c r="X10" s="104">
        <v>23.45</v>
      </c>
      <c r="Z10" s="4" t="s">
        <v>17</v>
      </c>
      <c r="AA10" s="104">
        <v>12.43</v>
      </c>
      <c r="AC10" s="4" t="s">
        <v>17</v>
      </c>
      <c r="AD10" s="104">
        <v>5.67</v>
      </c>
      <c r="AE10" s="104">
        <v>0</v>
      </c>
      <c r="AG10" s="4" t="s">
        <v>17</v>
      </c>
      <c r="AH10" s="5">
        <v>94410</v>
      </c>
      <c r="AI10" s="5">
        <v>0</v>
      </c>
      <c r="AJ10" s="5">
        <v>0</v>
      </c>
      <c r="AK10" s="5">
        <v>0</v>
      </c>
      <c r="AL10" s="4" t="s">
        <v>17</v>
      </c>
      <c r="AM10" s="5">
        <v>174045</v>
      </c>
      <c r="AN10" s="5">
        <v>0</v>
      </c>
      <c r="AO10" s="5">
        <v>0</v>
      </c>
      <c r="AP10" s="5">
        <v>0</v>
      </c>
      <c r="AR10" s="4" t="s">
        <v>17</v>
      </c>
      <c r="AS10" s="5">
        <v>7356</v>
      </c>
      <c r="AT10" s="5">
        <v>0</v>
      </c>
      <c r="AU10" s="5">
        <v>0</v>
      </c>
      <c r="AV10" s="5">
        <v>1</v>
      </c>
      <c r="AW10" s="4" t="s">
        <v>17</v>
      </c>
      <c r="AX10" s="5">
        <v>37626</v>
      </c>
      <c r="AY10" s="5">
        <v>0</v>
      </c>
      <c r="AZ10" s="5">
        <v>0</v>
      </c>
      <c r="BA10" s="5">
        <v>2</v>
      </c>
    </row>
    <row r="11" spans="1:53">
      <c r="C11"/>
      <c r="D11"/>
      <c r="F11"/>
      <c r="G11"/>
      <c r="I11"/>
      <c r="J11"/>
      <c r="L11"/>
      <c r="M11"/>
      <c r="P11"/>
      <c r="Q11"/>
      <c r="R11"/>
      <c r="T11"/>
      <c r="U11"/>
      <c r="AC11"/>
      <c r="AD11"/>
    </row>
  </sheetData>
  <mergeCells count="15">
    <mergeCell ref="AG4:AP4"/>
    <mergeCell ref="C2:AD2"/>
    <mergeCell ref="AR1:AV1"/>
    <mergeCell ref="AR2:AV2"/>
    <mergeCell ref="AR3:AV3"/>
    <mergeCell ref="AY6:BA6"/>
    <mergeCell ref="AY7:BA7"/>
    <mergeCell ref="AR4:BA4"/>
    <mergeCell ref="AW1:BA1"/>
    <mergeCell ref="AW2:BA2"/>
    <mergeCell ref="AW3:BA3"/>
    <mergeCell ref="AY5:BA5"/>
    <mergeCell ref="AT5:AV5"/>
    <mergeCell ref="AT6:AV6"/>
    <mergeCell ref="AT7:AV7"/>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topLeftCell="J1"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8" max="8" width="16.44140625" customWidth="1"/>
    <col min="9" max="9" width="41.33203125" customWidth="1"/>
    <col min="11" max="11" width="16.44140625" customWidth="1"/>
    <col min="12" max="12" width="22.109375" customWidth="1"/>
    <col min="14" max="14" width="16.44140625" customWidth="1"/>
    <col min="15" max="15" width="29.33203125" customWidth="1"/>
    <col min="16" max="16" width="23.109375" customWidth="1"/>
    <col min="18" max="18" width="16.44140625" customWidth="1"/>
    <col min="19" max="19" width="25.77734375" customWidth="1"/>
  </cols>
  <sheetData>
    <row r="1" spans="1:20" s="31" customFormat="1"/>
    <row r="2" spans="1:20" s="31" customFormat="1">
      <c r="B2" s="207" t="s">
        <v>293</v>
      </c>
      <c r="C2" s="210"/>
      <c r="D2" s="210"/>
      <c r="E2" s="210"/>
      <c r="F2" s="210"/>
      <c r="G2" s="210"/>
      <c r="H2" s="210"/>
      <c r="I2" s="210"/>
      <c r="J2" s="210"/>
      <c r="K2" s="210"/>
      <c r="L2" s="210"/>
      <c r="M2" s="210"/>
      <c r="N2" s="210"/>
      <c r="O2" s="210"/>
      <c r="P2" s="210"/>
      <c r="Q2" s="210"/>
      <c r="R2" s="210"/>
      <c r="S2" s="210"/>
      <c r="T2" s="210"/>
    </row>
    <row r="3" spans="1:20">
      <c r="A3" s="30"/>
      <c r="P3" s="33"/>
      <c r="Q3" s="33"/>
      <c r="T3" s="33"/>
    </row>
    <row r="4" spans="1:20">
      <c r="A4" s="30"/>
      <c r="B4" s="188" t="s">
        <v>0</v>
      </c>
      <c r="C4" s="189" t="s">
        <v>16</v>
      </c>
      <c r="E4" s="188" t="s">
        <v>0</v>
      </c>
      <c r="F4" s="189" t="s">
        <v>16</v>
      </c>
      <c r="H4" s="188" t="s">
        <v>0</v>
      </c>
      <c r="I4" s="189" t="s">
        <v>16</v>
      </c>
      <c r="K4" s="188" t="s">
        <v>0</v>
      </c>
      <c r="L4" s="189" t="s">
        <v>16</v>
      </c>
      <c r="N4" s="188" t="s">
        <v>0</v>
      </c>
      <c r="O4" s="189" t="s">
        <v>16</v>
      </c>
      <c r="P4" s="33"/>
      <c r="Q4" s="33"/>
      <c r="R4" s="188" t="s">
        <v>0</v>
      </c>
      <c r="S4" s="189" t="s">
        <v>16</v>
      </c>
      <c r="T4" s="33"/>
    </row>
    <row r="5" spans="1:20">
      <c r="A5" s="30"/>
      <c r="B5" s="188" t="s">
        <v>3</v>
      </c>
      <c r="C5" s="189" t="s">
        <v>141</v>
      </c>
      <c r="E5" s="188" t="s">
        <v>3</v>
      </c>
      <c r="F5" s="189" t="s">
        <v>150</v>
      </c>
      <c r="H5" s="188" t="s">
        <v>3</v>
      </c>
      <c r="I5" s="189" t="s">
        <v>152</v>
      </c>
      <c r="K5" s="188" t="s">
        <v>3</v>
      </c>
      <c r="L5" s="189" t="s">
        <v>153</v>
      </c>
      <c r="N5" s="188" t="s">
        <v>3</v>
      </c>
      <c r="O5" s="189" t="s">
        <v>403</v>
      </c>
      <c r="R5" s="188" t="s">
        <v>3</v>
      </c>
      <c r="S5" s="189" t="s">
        <v>404</v>
      </c>
    </row>
    <row r="6" spans="1:20">
      <c r="A6" s="30"/>
    </row>
    <row r="7" spans="1:20">
      <c r="A7" s="24" t="s">
        <v>93</v>
      </c>
      <c r="B7" s="188" t="s">
        <v>725</v>
      </c>
      <c r="C7" t="s">
        <v>287</v>
      </c>
      <c r="E7" s="188" t="s">
        <v>725</v>
      </c>
      <c r="F7" t="s">
        <v>297</v>
      </c>
      <c r="H7" s="188" t="s">
        <v>725</v>
      </c>
      <c r="I7" t="s">
        <v>298</v>
      </c>
      <c r="K7" s="188" t="s">
        <v>725</v>
      </c>
      <c r="L7" t="s">
        <v>299</v>
      </c>
      <c r="N7" s="188" t="s">
        <v>725</v>
      </c>
      <c r="O7" s="189" t="s">
        <v>332</v>
      </c>
      <c r="P7" s="189" t="s">
        <v>405</v>
      </c>
      <c r="R7" s="188" t="s">
        <v>725</v>
      </c>
      <c r="S7" t="s">
        <v>295</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T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0.77734375" customWidth="1"/>
    <col min="20" max="20" width="25.77734375" customWidth="1"/>
    <col min="22" max="22" width="10.77734375" customWidth="1"/>
    <col min="23" max="23" width="21.109375" customWidth="1"/>
    <col min="24" max="24" width="19.5546875" customWidth="1"/>
    <col min="25" max="25" width="26.5546875" customWidth="1"/>
    <col min="26" max="26" width="19.77734375" customWidth="1"/>
    <col min="28" max="28" width="10.77734375" customWidth="1"/>
    <col min="29" max="29" width="29.21875" customWidth="1"/>
    <col min="30" max="30" width="11.77734375" customWidth="1"/>
    <col min="31" max="31" width="18.77734375" customWidth="1"/>
    <col min="32" max="32" width="12" customWidth="1"/>
  </cols>
  <sheetData>
    <row r="1" spans="1:46" s="31" customFormat="1">
      <c r="AA1" s="172"/>
      <c r="AB1" s="207"/>
      <c r="AC1" s="210"/>
      <c r="AD1" s="210"/>
      <c r="AE1" s="210"/>
      <c r="AF1" s="210"/>
    </row>
    <row r="2" spans="1:46">
      <c r="A2" s="31"/>
      <c r="B2" s="31"/>
      <c r="C2" s="207" t="s">
        <v>293</v>
      </c>
      <c r="D2" s="210"/>
      <c r="E2" s="210"/>
      <c r="F2" s="210"/>
      <c r="G2" s="210"/>
      <c r="H2" s="210"/>
      <c r="I2" s="210"/>
      <c r="J2" s="210"/>
      <c r="K2" s="210"/>
      <c r="L2" s="210"/>
      <c r="M2" s="210"/>
      <c r="N2" s="210"/>
      <c r="O2" s="210"/>
      <c r="P2" s="210"/>
      <c r="Q2" s="210"/>
      <c r="R2" s="210"/>
      <c r="S2" s="210"/>
      <c r="T2" s="210"/>
      <c r="U2" s="210"/>
      <c r="V2" s="31"/>
      <c r="W2" s="31"/>
      <c r="X2" s="31"/>
      <c r="Y2" s="31"/>
      <c r="Z2" s="31"/>
      <c r="AA2" s="172"/>
      <c r="AB2" s="207"/>
      <c r="AC2" s="210"/>
      <c r="AD2" s="210"/>
      <c r="AE2" s="210"/>
      <c r="AF2" s="210"/>
    </row>
    <row r="3" spans="1:46" s="31" customFormat="1">
      <c r="C3" s="188" t="s">
        <v>0</v>
      </c>
      <c r="D3" s="189" t="s">
        <v>16</v>
      </c>
      <c r="F3" s="188" t="s">
        <v>0</v>
      </c>
      <c r="G3" s="189" t="s">
        <v>16</v>
      </c>
      <c r="I3" s="188" t="s">
        <v>0</v>
      </c>
      <c r="J3" s="189" t="s">
        <v>16</v>
      </c>
      <c r="L3" s="188" t="s">
        <v>0</v>
      </c>
      <c r="M3" s="189" t="s">
        <v>16</v>
      </c>
      <c r="O3" s="188" t="s">
        <v>0</v>
      </c>
      <c r="P3" s="189" t="s">
        <v>16</v>
      </c>
      <c r="S3" s="188" t="s">
        <v>0</v>
      </c>
      <c r="T3" s="189" t="s">
        <v>16</v>
      </c>
      <c r="AA3" s="172"/>
      <c r="AB3" s="207"/>
      <c r="AC3" s="210"/>
      <c r="AD3" s="210"/>
      <c r="AE3" s="210"/>
      <c r="AF3" s="210"/>
    </row>
    <row r="4" spans="1:46">
      <c r="A4" s="31"/>
      <c r="B4" s="30"/>
      <c r="C4" s="188" t="s">
        <v>1</v>
      </c>
      <c r="D4" s="189" t="s">
        <v>16</v>
      </c>
      <c r="F4" s="188" t="s">
        <v>1</v>
      </c>
      <c r="G4" s="189" t="s">
        <v>16</v>
      </c>
      <c r="I4" s="188" t="s">
        <v>1</v>
      </c>
      <c r="J4" s="189" t="s">
        <v>16</v>
      </c>
      <c r="L4" s="188" t="s">
        <v>1</v>
      </c>
      <c r="M4" s="189" t="s">
        <v>16</v>
      </c>
      <c r="O4" s="188" t="s">
        <v>1</v>
      </c>
      <c r="P4" s="189" t="s">
        <v>16</v>
      </c>
      <c r="Q4" s="33"/>
      <c r="R4" s="33"/>
      <c r="S4" s="188" t="s">
        <v>1</v>
      </c>
      <c r="T4" s="189" t="s">
        <v>16</v>
      </c>
      <c r="U4" s="33"/>
      <c r="V4" s="209" t="s">
        <v>439</v>
      </c>
      <c r="W4" s="210"/>
      <c r="X4" s="210"/>
      <c r="Y4" s="210"/>
      <c r="Z4" s="210"/>
      <c r="AA4" s="172"/>
      <c r="AB4" s="207" t="s">
        <v>293</v>
      </c>
      <c r="AC4" s="210"/>
      <c r="AD4" s="210"/>
      <c r="AE4" s="210"/>
      <c r="AF4" s="210"/>
      <c r="AG4" s="173"/>
      <c r="AH4" s="173"/>
      <c r="AI4" s="173"/>
      <c r="AJ4" s="173"/>
      <c r="AK4" s="173"/>
      <c r="AL4" s="173"/>
      <c r="AM4" s="173"/>
      <c r="AN4" s="173"/>
      <c r="AO4" s="173"/>
      <c r="AP4" s="173"/>
      <c r="AQ4" s="173"/>
      <c r="AR4" s="173"/>
      <c r="AS4" s="173"/>
      <c r="AT4" s="173"/>
    </row>
    <row r="5" spans="1:46">
      <c r="A5" s="31"/>
      <c r="B5" s="30"/>
      <c r="C5" s="188" t="s">
        <v>2</v>
      </c>
      <c r="D5" s="189" t="s">
        <v>16</v>
      </c>
      <c r="F5" s="188" t="s">
        <v>2</v>
      </c>
      <c r="G5" s="189" t="s">
        <v>16</v>
      </c>
      <c r="I5" s="188" t="s">
        <v>2</v>
      </c>
      <c r="J5" s="189" t="s">
        <v>16</v>
      </c>
      <c r="L5" s="188" t="s">
        <v>2</v>
      </c>
      <c r="M5" s="189" t="s">
        <v>16</v>
      </c>
      <c r="O5" s="188" t="s">
        <v>2</v>
      </c>
      <c r="P5" s="189" t="s">
        <v>16</v>
      </c>
      <c r="Q5" s="33"/>
      <c r="R5" s="33"/>
      <c r="S5" s="188" t="s">
        <v>2</v>
      </c>
      <c r="T5" s="189" t="s">
        <v>16</v>
      </c>
      <c r="U5" s="33"/>
      <c r="V5" s="185" t="s">
        <v>0</v>
      </c>
      <c r="W5" s="186" t="s">
        <v>16</v>
      </c>
      <c r="X5" s="31"/>
      <c r="Y5" s="31"/>
      <c r="Z5" s="31"/>
      <c r="AB5" s="185" t="s">
        <v>0</v>
      </c>
      <c r="AC5" s="186" t="s">
        <v>16</v>
      </c>
      <c r="AD5" s="207"/>
      <c r="AE5" s="210"/>
      <c r="AF5" s="210"/>
    </row>
    <row r="6" spans="1:46">
      <c r="A6" s="31"/>
      <c r="B6" s="30"/>
      <c r="C6" s="188" t="s">
        <v>3</v>
      </c>
      <c r="D6" s="189" t="s">
        <v>141</v>
      </c>
      <c r="F6" s="188" t="s">
        <v>3</v>
      </c>
      <c r="G6" s="189" t="s">
        <v>150</v>
      </c>
      <c r="I6" s="188" t="s">
        <v>3</v>
      </c>
      <c r="J6" s="189" t="s">
        <v>152</v>
      </c>
      <c r="L6" s="188" t="s">
        <v>3</v>
      </c>
      <c r="M6" s="189" t="s">
        <v>153</v>
      </c>
      <c r="O6" s="188" t="s">
        <v>3</v>
      </c>
      <c r="P6" s="189" t="s">
        <v>403</v>
      </c>
      <c r="S6" s="188" t="s">
        <v>3</v>
      </c>
      <c r="T6" s="189" t="s">
        <v>404</v>
      </c>
      <c r="V6" s="185" t="s">
        <v>3</v>
      </c>
      <c r="W6" s="186" t="s">
        <v>69</v>
      </c>
      <c r="AB6" s="185" t="s">
        <v>3</v>
      </c>
      <c r="AC6" s="186" t="s">
        <v>213</v>
      </c>
      <c r="AD6" s="207"/>
      <c r="AE6" s="210"/>
      <c r="AF6" s="210"/>
    </row>
    <row r="7" spans="1:46">
      <c r="A7" s="31"/>
      <c r="B7" s="30"/>
      <c r="V7" s="172"/>
      <c r="W7" s="172"/>
      <c r="AB7" s="172"/>
      <c r="AC7" s="172"/>
      <c r="AD7" s="207"/>
      <c r="AE7" s="210"/>
      <c r="AF7" s="210"/>
    </row>
    <row r="8" spans="1:46">
      <c r="A8" s="24" t="s">
        <v>685</v>
      </c>
      <c r="B8" s="24" t="s">
        <v>121</v>
      </c>
      <c r="C8" s="188" t="s">
        <v>288</v>
      </c>
      <c r="D8" t="s">
        <v>287</v>
      </c>
      <c r="F8" s="188" t="s">
        <v>288</v>
      </c>
      <c r="G8" t="s">
        <v>297</v>
      </c>
      <c r="I8" s="188" t="s">
        <v>288</v>
      </c>
      <c r="J8" t="s">
        <v>298</v>
      </c>
      <c r="L8" s="188" t="s">
        <v>288</v>
      </c>
      <c r="M8" t="s">
        <v>299</v>
      </c>
      <c r="O8" s="188" t="s">
        <v>288</v>
      </c>
      <c r="P8" s="189" t="s">
        <v>332</v>
      </c>
      <c r="Q8" s="189" t="s">
        <v>411</v>
      </c>
      <c r="S8" s="188" t="s">
        <v>288</v>
      </c>
      <c r="T8" t="s">
        <v>295</v>
      </c>
      <c r="V8" s="185" t="s">
        <v>288</v>
      </c>
      <c r="W8" s="186" t="s">
        <v>727</v>
      </c>
      <c r="X8" s="186" t="s">
        <v>728</v>
      </c>
      <c r="Y8" s="186" t="s">
        <v>729</v>
      </c>
      <c r="Z8" s="186" t="s">
        <v>730</v>
      </c>
      <c r="AB8" s="185" t="s">
        <v>288</v>
      </c>
      <c r="AC8" s="186" t="s">
        <v>731</v>
      </c>
      <c r="AD8" s="186" t="s">
        <v>732</v>
      </c>
      <c r="AE8" s="186" t="s">
        <v>733</v>
      </c>
      <c r="AF8" s="186" t="s">
        <v>734</v>
      </c>
    </row>
    <row r="9" spans="1:46">
      <c r="A9" s="29" t="str">
        <f>INDEX('OS-Machine Info'!$B:$B,MATCH(C9,'OS-Machine Info'!$A:$A,0))</f>
        <v>TestDC</v>
      </c>
      <c r="B9" s="50">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c r="V9" s="4" t="s">
        <v>48</v>
      </c>
      <c r="W9" s="5">
        <v>2646529</v>
      </c>
      <c r="X9" s="5">
        <v>0</v>
      </c>
      <c r="Y9" s="5">
        <v>0</v>
      </c>
      <c r="Z9" s="5">
        <v>0</v>
      </c>
      <c r="AB9" s="4" t="s">
        <v>48</v>
      </c>
      <c r="AC9" s="5">
        <v>825851</v>
      </c>
      <c r="AD9" s="5">
        <v>0</v>
      </c>
      <c r="AE9" s="5">
        <v>0</v>
      </c>
      <c r="AF9" s="5">
        <v>11</v>
      </c>
    </row>
    <row r="10" spans="1:46">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c r="V10" s="4" t="s">
        <v>17</v>
      </c>
      <c r="W10" s="5">
        <v>2646529</v>
      </c>
      <c r="X10" s="5">
        <v>0</v>
      </c>
      <c r="Y10" s="5">
        <v>0</v>
      </c>
      <c r="Z10" s="5">
        <v>0</v>
      </c>
      <c r="AB10" s="4" t="s">
        <v>17</v>
      </c>
      <c r="AC10" s="5">
        <v>825851</v>
      </c>
      <c r="AD10" s="5">
        <v>0</v>
      </c>
      <c r="AE10" s="5">
        <v>0</v>
      </c>
      <c r="AF10" s="5">
        <v>11</v>
      </c>
    </row>
  </sheetData>
  <mergeCells count="9">
    <mergeCell ref="C2:U2"/>
    <mergeCell ref="V4:Z4"/>
    <mergeCell ref="AB4:AF4"/>
    <mergeCell ref="AD7:AF7"/>
    <mergeCell ref="AB1:AF1"/>
    <mergeCell ref="AB2:AF2"/>
    <mergeCell ref="AB3:AF3"/>
    <mergeCell ref="AD5:AF5"/>
    <mergeCell ref="AD6:AF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7" customWidth="1"/>
    <col min="2" max="2" width="16.44140625" style="137" customWidth="1"/>
    <col min="3" max="3" width="27" style="137" customWidth="1"/>
    <col min="4" max="4" width="9.109375" style="137"/>
    <col min="5" max="5" width="16.44140625" style="137" customWidth="1"/>
    <col min="6" max="6" width="31.5546875" style="137" customWidth="1"/>
    <col min="7" max="7" width="9.109375" style="137"/>
    <col min="8" max="8" width="16.44140625" style="137" customWidth="1"/>
    <col min="9" max="9" width="32.88671875" style="137" customWidth="1"/>
    <col min="10" max="10" width="7" style="137" customWidth="1"/>
    <col min="11" max="11" width="9.109375" style="137"/>
    <col min="12" max="12" width="16.44140625" style="137" customWidth="1"/>
    <col min="13" max="13" width="31.109375" style="137" customWidth="1"/>
    <col min="14" max="14" width="9.109375" style="137"/>
    <col min="15" max="15" width="16.44140625" style="137" customWidth="1"/>
    <col min="16" max="16" width="28.5546875" style="137" customWidth="1"/>
    <col min="17" max="17" width="7.88671875" style="137" customWidth="1"/>
    <col min="18" max="18" width="13.109375" style="137" customWidth="1"/>
    <col min="19" max="19" width="11.44140625" style="137" customWidth="1"/>
    <col min="20" max="20" width="27.5546875" style="137" customWidth="1"/>
    <col min="21" max="16384" width="9.109375" style="137"/>
  </cols>
  <sheetData>
    <row r="1" spans="1:21" s="31" customFormat="1"/>
    <row r="2" spans="1:21" s="31" customFormat="1">
      <c r="B2" s="207" t="s">
        <v>293</v>
      </c>
      <c r="C2" s="210"/>
      <c r="D2" s="210"/>
      <c r="E2" s="210"/>
      <c r="F2" s="210"/>
      <c r="G2" s="210"/>
      <c r="H2" s="210"/>
      <c r="I2" s="210"/>
      <c r="J2" s="210"/>
      <c r="K2" s="210"/>
      <c r="L2" s="210"/>
      <c r="M2" s="210"/>
      <c r="N2" s="210"/>
      <c r="O2" s="210"/>
      <c r="P2" s="210"/>
      <c r="Q2" s="210"/>
      <c r="R2" s="210"/>
      <c r="S2" s="210"/>
      <c r="T2" s="210"/>
      <c r="U2" s="210"/>
    </row>
    <row r="3" spans="1:21">
      <c r="A3" s="30"/>
      <c r="B3"/>
      <c r="C3"/>
      <c r="E3"/>
      <c r="F3"/>
      <c r="H3"/>
      <c r="I3"/>
      <c r="L3"/>
      <c r="M3"/>
      <c r="O3"/>
      <c r="P3"/>
      <c r="Q3" s="33"/>
      <c r="R3" s="33"/>
      <c r="U3" s="33"/>
    </row>
    <row r="4" spans="1:21">
      <c r="A4" s="30"/>
      <c r="B4" s="188" t="s">
        <v>0</v>
      </c>
      <c r="C4" s="189" t="s">
        <v>16</v>
      </c>
      <c r="E4" s="188" t="s">
        <v>0</v>
      </c>
      <c r="F4" s="189" t="s">
        <v>16</v>
      </c>
      <c r="H4" s="188" t="s">
        <v>0</v>
      </c>
      <c r="I4" s="189" t="s">
        <v>16</v>
      </c>
      <c r="L4" s="188" t="s">
        <v>0</v>
      </c>
      <c r="M4" s="189" t="s">
        <v>16</v>
      </c>
      <c r="O4" s="188" t="s">
        <v>0</v>
      </c>
      <c r="P4" s="189" t="s">
        <v>16</v>
      </c>
      <c r="Q4" s="33"/>
      <c r="R4" s="33"/>
      <c r="U4" s="33"/>
    </row>
    <row r="5" spans="1:21">
      <c r="A5" s="30"/>
      <c r="B5" s="188" t="s">
        <v>3</v>
      </c>
      <c r="C5" s="189" t="s">
        <v>615</v>
      </c>
      <c r="E5" s="188" t="s">
        <v>3</v>
      </c>
      <c r="F5" s="189" t="s">
        <v>612</v>
      </c>
      <c r="H5" s="188" t="s">
        <v>3</v>
      </c>
      <c r="I5" s="189" t="s">
        <v>613</v>
      </c>
      <c r="L5" s="188" t="s">
        <v>3</v>
      </c>
      <c r="M5" s="189" t="s">
        <v>614</v>
      </c>
      <c r="O5" s="188" t="s">
        <v>3</v>
      </c>
      <c r="P5" s="189" t="s">
        <v>616</v>
      </c>
    </row>
    <row r="6" spans="1:21">
      <c r="A6" s="30"/>
    </row>
    <row r="7" spans="1:21">
      <c r="A7" s="24" t="s">
        <v>93</v>
      </c>
      <c r="B7" s="188" t="s">
        <v>725</v>
      </c>
      <c r="C7" t="s">
        <v>287</v>
      </c>
      <c r="E7" s="188" t="s">
        <v>725</v>
      </c>
      <c r="F7" t="s">
        <v>617</v>
      </c>
      <c r="H7" s="188" t="s">
        <v>725</v>
      </c>
      <c r="I7" s="189" t="s">
        <v>618</v>
      </c>
      <c r="J7" s="189" t="s">
        <v>525</v>
      </c>
      <c r="L7" s="188" t="s">
        <v>725</v>
      </c>
      <c r="M7" t="s">
        <v>619</v>
      </c>
      <c r="O7" s="188" t="s">
        <v>725</v>
      </c>
      <c r="P7" s="189" t="s">
        <v>622</v>
      </c>
      <c r="Q7" s="189" t="s">
        <v>620</v>
      </c>
      <c r="R7" s="189" t="s">
        <v>621</v>
      </c>
      <c r="S7" s="189" t="s">
        <v>623</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207" t="s">
        <v>293</v>
      </c>
      <c r="D2" s="210"/>
      <c r="E2" s="210"/>
      <c r="F2" s="210"/>
      <c r="G2" s="210"/>
      <c r="H2" s="210"/>
      <c r="I2" s="210"/>
      <c r="J2" s="210"/>
      <c r="K2" s="210"/>
      <c r="L2" s="210"/>
      <c r="M2" s="210"/>
      <c r="N2" s="210"/>
      <c r="O2" s="210"/>
      <c r="P2" s="210"/>
      <c r="Q2" s="210"/>
      <c r="R2" s="210"/>
      <c r="S2" s="210"/>
      <c r="T2" s="210"/>
      <c r="U2" s="210"/>
      <c r="V2" s="210"/>
    </row>
    <row r="3" spans="1:22" s="31" customFormat="1">
      <c r="C3" s="188" t="s">
        <v>0</v>
      </c>
      <c r="D3" s="189" t="s">
        <v>16</v>
      </c>
      <c r="F3" s="188" t="s">
        <v>0</v>
      </c>
      <c r="G3" s="189" t="s">
        <v>16</v>
      </c>
      <c r="H3" s="137"/>
      <c r="J3" s="188" t="s">
        <v>0</v>
      </c>
      <c r="K3" s="189" t="s">
        <v>16</v>
      </c>
      <c r="M3" s="188" t="s">
        <v>0</v>
      </c>
      <c r="N3" s="189" t="s">
        <v>16</v>
      </c>
      <c r="P3" s="188" t="s">
        <v>0</v>
      </c>
      <c r="Q3" s="189" t="s">
        <v>16</v>
      </c>
      <c r="T3" s="137"/>
      <c r="U3" s="137"/>
    </row>
    <row r="4" spans="1:22">
      <c r="A4" s="31"/>
      <c r="B4" s="30"/>
      <c r="C4" s="188" t="s">
        <v>1</v>
      </c>
      <c r="D4" s="189" t="s">
        <v>16</v>
      </c>
      <c r="F4" s="188" t="s">
        <v>1</v>
      </c>
      <c r="G4" s="189" t="s">
        <v>16</v>
      </c>
      <c r="J4" s="188" t="s">
        <v>1</v>
      </c>
      <c r="K4" s="189" t="s">
        <v>16</v>
      </c>
      <c r="M4" s="188" t="s">
        <v>1</v>
      </c>
      <c r="N4" s="189" t="s">
        <v>16</v>
      </c>
      <c r="P4" s="188" t="s">
        <v>1</v>
      </c>
      <c r="Q4" s="189" t="s">
        <v>16</v>
      </c>
      <c r="R4" s="33"/>
      <c r="S4" s="33"/>
      <c r="V4" s="33"/>
    </row>
    <row r="5" spans="1:22">
      <c r="A5" s="31"/>
      <c r="B5" s="30"/>
      <c r="C5" s="188" t="s">
        <v>2</v>
      </c>
      <c r="D5" s="189" t="s">
        <v>16</v>
      </c>
      <c r="F5" s="188" t="s">
        <v>2</v>
      </c>
      <c r="G5" s="189" t="s">
        <v>16</v>
      </c>
      <c r="J5" s="188" t="s">
        <v>2</v>
      </c>
      <c r="K5" s="189" t="s">
        <v>16</v>
      </c>
      <c r="M5" s="188" t="s">
        <v>2</v>
      </c>
      <c r="N5" s="189" t="s">
        <v>16</v>
      </c>
      <c r="P5" s="188" t="s">
        <v>2</v>
      </c>
      <c r="Q5" s="189" t="s">
        <v>16</v>
      </c>
      <c r="R5" s="33"/>
      <c r="S5" s="33"/>
      <c r="V5" s="33"/>
    </row>
    <row r="6" spans="1:22">
      <c r="A6" s="31"/>
      <c r="B6" s="30"/>
      <c r="C6" s="188" t="s">
        <v>3</v>
      </c>
      <c r="D6" s="189" t="s">
        <v>615</v>
      </c>
      <c r="F6" s="188" t="s">
        <v>3</v>
      </c>
      <c r="G6" s="189" t="s">
        <v>612</v>
      </c>
      <c r="J6" s="188" t="s">
        <v>3</v>
      </c>
      <c r="K6" s="189" t="s">
        <v>614</v>
      </c>
      <c r="M6" s="188" t="s">
        <v>3</v>
      </c>
      <c r="N6" s="189" t="s">
        <v>613</v>
      </c>
      <c r="P6" s="188" t="s">
        <v>3</v>
      </c>
      <c r="Q6" s="189" t="s">
        <v>616</v>
      </c>
    </row>
    <row r="7" spans="1:22">
      <c r="A7" s="31"/>
      <c r="B7" s="30"/>
    </row>
    <row r="8" spans="1:22">
      <c r="A8" s="24" t="s">
        <v>685</v>
      </c>
      <c r="B8" s="24" t="s">
        <v>121</v>
      </c>
      <c r="C8" s="188" t="s">
        <v>288</v>
      </c>
      <c r="D8" t="s">
        <v>287</v>
      </c>
      <c r="F8" s="188" t="s">
        <v>288</v>
      </c>
      <c r="G8" s="189" t="s">
        <v>624</v>
      </c>
      <c r="H8" s="189" t="s">
        <v>525</v>
      </c>
      <c r="J8" s="188" t="s">
        <v>288</v>
      </c>
      <c r="K8" t="s">
        <v>619</v>
      </c>
      <c r="M8" s="188" t="s">
        <v>288</v>
      </c>
      <c r="N8" t="s">
        <v>295</v>
      </c>
      <c r="P8" s="188" t="s">
        <v>288</v>
      </c>
      <c r="Q8" s="189" t="s">
        <v>625</v>
      </c>
      <c r="R8" s="189" t="s">
        <v>620</v>
      </c>
    </row>
    <row r="9" spans="1:22">
      <c r="A9" s="29" t="str">
        <f>INDEX('OS-Machine Info'!$B:$B,MATCH(C9,'OS-Machine Info'!$A:$A,0))</f>
        <v>TestDC</v>
      </c>
      <c r="B9" s="50">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0.77734375" style="149" customWidth="1"/>
    <col min="3" max="3" width="32.77734375" style="149" customWidth="1"/>
    <col min="4" max="4" width="17.77734375" style="149" customWidth="1"/>
    <col min="5" max="5" width="31.33203125" style="149" customWidth="1"/>
    <col min="6" max="6" width="4.5546875" style="149" customWidth="1"/>
    <col min="7" max="7" width="7.88671875" style="149" customWidth="1"/>
    <col min="8" max="8" width="7" style="149" customWidth="1"/>
    <col min="9" max="9" width="9.109375" style="149"/>
    <col min="10" max="10" width="10.77734375" style="149" customWidth="1"/>
    <col min="11" max="11" width="36.6640625" style="149" customWidth="1"/>
    <col min="12" max="12" width="4.5546875" style="149" customWidth="1"/>
    <col min="13" max="13" width="7.88671875" style="149" customWidth="1"/>
    <col min="14" max="14" width="7" style="149" customWidth="1"/>
    <col min="15" max="15" width="7.33203125" style="149" customWidth="1"/>
    <col min="16" max="16" width="10.77734375" style="149" customWidth="1"/>
    <col min="17" max="17" width="36.21875" style="149" customWidth="1"/>
    <col min="18" max="18" width="4.5546875" style="149" customWidth="1"/>
    <col min="19" max="19" width="7.88671875" style="149" customWidth="1"/>
    <col min="20" max="20" width="7" style="149" customWidth="1"/>
    <col min="21" max="21" width="9.109375" style="149"/>
    <col min="22" max="22" width="10.77734375" style="149" customWidth="1"/>
    <col min="23" max="23" width="33.109375" style="149" customWidth="1"/>
    <col min="24" max="24" width="4.5546875" style="149" customWidth="1"/>
    <col min="25" max="25" width="7.88671875" style="149" customWidth="1"/>
    <col min="26" max="26" width="7" style="149" customWidth="1"/>
    <col min="27" max="27" width="9.109375" style="149"/>
    <col min="28" max="28" width="10.77734375" style="149" customWidth="1"/>
    <col min="29" max="29" width="56.109375" style="149" customWidth="1"/>
    <col min="30" max="30" width="15.5546875" style="149" customWidth="1"/>
    <col min="31" max="31" width="7.33203125" style="149" customWidth="1"/>
    <col min="32" max="32" width="10.77734375" style="149" customWidth="1"/>
    <col min="33" max="33" width="52.6640625" style="149" customWidth="1"/>
    <col min="34" max="34" width="16.33203125" style="149" bestFit="1" customWidth="1"/>
    <col min="35" max="35" width="10.77734375" style="149" customWidth="1"/>
    <col min="36" max="36" width="39.44140625" style="149" customWidth="1"/>
    <col min="37" max="37" width="16.6640625" style="149" customWidth="1"/>
    <col min="38" max="38" width="9.109375" style="149"/>
    <col min="39" max="39" width="10.77734375" style="149" customWidth="1"/>
    <col min="40" max="40" width="36" style="149" customWidth="1"/>
    <col min="41" max="16384" width="9.109375" style="149"/>
  </cols>
  <sheetData>
    <row r="1" spans="1:40" s="45" customFormat="1">
      <c r="A1" s="31"/>
    </row>
    <row r="2" spans="1:40" s="45" customFormat="1">
      <c r="A2" s="31"/>
    </row>
    <row r="3" spans="1:40" s="45" customFormat="1">
      <c r="A3" s="31"/>
    </row>
    <row r="4" spans="1:40">
      <c r="A4" s="31"/>
      <c r="B4" s="210"/>
      <c r="C4" s="210"/>
      <c r="D4" s="210"/>
      <c r="E4" s="210"/>
      <c r="F4" s="210"/>
      <c r="G4" s="210"/>
      <c r="H4" s="210"/>
      <c r="I4" s="148"/>
      <c r="J4" s="148"/>
    </row>
    <row r="5" spans="1:40">
      <c r="A5" s="31"/>
      <c r="B5" s="185" t="s">
        <v>0</v>
      </c>
      <c r="C5" s="186" t="s">
        <v>16</v>
      </c>
      <c r="D5" s="218"/>
      <c r="E5" s="191"/>
      <c r="J5" s="185" t="s">
        <v>0</v>
      </c>
      <c r="K5" s="186" t="s">
        <v>16</v>
      </c>
      <c r="L5" s="218"/>
      <c r="M5" s="191"/>
      <c r="P5" s="185" t="s">
        <v>0</v>
      </c>
      <c r="Q5" s="186" t="s">
        <v>16</v>
      </c>
      <c r="R5" s="218"/>
      <c r="S5" s="191"/>
      <c r="V5" s="185" t="s">
        <v>0</v>
      </c>
      <c r="W5" s="186" t="s">
        <v>16</v>
      </c>
      <c r="X5" s="218"/>
      <c r="Y5" s="191"/>
      <c r="AB5" s="185" t="s">
        <v>0</v>
      </c>
      <c r="AC5" s="186" t="s">
        <v>16</v>
      </c>
      <c r="AD5" s="218"/>
      <c r="AE5" s="191"/>
      <c r="AF5" s="185" t="s">
        <v>0</v>
      </c>
      <c r="AG5" s="186" t="s">
        <v>16</v>
      </c>
      <c r="AH5" s="158"/>
      <c r="AI5" s="185" t="s">
        <v>0</v>
      </c>
      <c r="AJ5" s="186" t="s">
        <v>16</v>
      </c>
      <c r="AK5" s="218"/>
      <c r="AL5" s="191"/>
      <c r="AM5" s="185" t="s">
        <v>0</v>
      </c>
      <c r="AN5" s="186" t="s">
        <v>16</v>
      </c>
    </row>
    <row r="6" spans="1:40">
      <c r="A6" s="31"/>
      <c r="B6" s="185" t="s">
        <v>3</v>
      </c>
      <c r="C6" s="186" t="s">
        <v>673</v>
      </c>
      <c r="J6" s="185" t="s">
        <v>3</v>
      </c>
      <c r="K6" s="186" t="s">
        <v>669</v>
      </c>
      <c r="P6" s="185" t="s">
        <v>3</v>
      </c>
      <c r="Q6" s="186" t="s">
        <v>670</v>
      </c>
      <c r="V6" s="185" t="s">
        <v>3</v>
      </c>
      <c r="W6" s="186" t="s">
        <v>671</v>
      </c>
      <c r="AB6" s="185" t="s">
        <v>3</v>
      </c>
      <c r="AC6" s="186" t="s">
        <v>686</v>
      </c>
      <c r="AD6" s="156"/>
      <c r="AE6" s="156"/>
      <c r="AF6" s="185" t="s">
        <v>3</v>
      </c>
      <c r="AG6" s="186" t="s">
        <v>688</v>
      </c>
      <c r="AH6" s="156"/>
      <c r="AI6" s="185" t="s">
        <v>3</v>
      </c>
      <c r="AJ6" s="186" t="s">
        <v>696</v>
      </c>
      <c r="AK6" s="157"/>
      <c r="AL6" s="157"/>
      <c r="AM6" s="185" t="s">
        <v>3</v>
      </c>
      <c r="AN6" s="186" t="s">
        <v>698</v>
      </c>
    </row>
    <row r="7" spans="1:40">
      <c r="A7" s="31"/>
      <c r="AB7" s="156"/>
      <c r="AC7" s="156"/>
      <c r="AD7" s="156"/>
      <c r="AE7" s="156"/>
      <c r="AF7" s="156"/>
      <c r="AG7" s="156"/>
      <c r="AH7" s="156"/>
      <c r="AI7" s="157"/>
      <c r="AJ7" s="157"/>
      <c r="AK7" s="157"/>
      <c r="AL7" s="157"/>
      <c r="AM7" s="157"/>
      <c r="AN7" s="157"/>
    </row>
    <row r="8" spans="1:40">
      <c r="A8" s="24" t="s">
        <v>685</v>
      </c>
      <c r="B8" s="185" t="s">
        <v>288</v>
      </c>
      <c r="C8" s="186" t="s">
        <v>674</v>
      </c>
      <c r="D8" s="186" t="s">
        <v>675</v>
      </c>
      <c r="E8" s="186" t="s">
        <v>678</v>
      </c>
      <c r="F8" s="186" t="s">
        <v>348</v>
      </c>
      <c r="G8" s="186" t="s">
        <v>241</v>
      </c>
      <c r="H8" s="186" t="s">
        <v>525</v>
      </c>
      <c r="J8" s="185" t="s">
        <v>288</v>
      </c>
      <c r="K8" s="186" t="s">
        <v>677</v>
      </c>
      <c r="L8" s="186" t="s">
        <v>348</v>
      </c>
      <c r="M8" s="186" t="s">
        <v>241</v>
      </c>
      <c r="N8" s="186" t="s">
        <v>525</v>
      </c>
      <c r="O8"/>
      <c r="P8" s="185" t="s">
        <v>288</v>
      </c>
      <c r="Q8" s="186" t="s">
        <v>679</v>
      </c>
      <c r="R8" s="186" t="s">
        <v>348</v>
      </c>
      <c r="S8" s="186" t="s">
        <v>241</v>
      </c>
      <c r="T8" s="186" t="s">
        <v>525</v>
      </c>
      <c r="V8" s="185" t="s">
        <v>288</v>
      </c>
      <c r="W8" s="186" t="s">
        <v>680</v>
      </c>
      <c r="X8" s="186" t="s">
        <v>348</v>
      </c>
      <c r="Y8" s="186" t="s">
        <v>241</v>
      </c>
      <c r="Z8" s="186" t="s">
        <v>525</v>
      </c>
      <c r="AB8" s="185" t="s">
        <v>288</v>
      </c>
      <c r="AC8" s="186" t="s">
        <v>693</v>
      </c>
      <c r="AD8" s="186" t="s">
        <v>332</v>
      </c>
      <c r="AE8"/>
      <c r="AF8" s="185" t="s">
        <v>288</v>
      </c>
      <c r="AG8" t="s">
        <v>694</v>
      </c>
      <c r="AH8"/>
      <c r="AI8" s="185" t="s">
        <v>288</v>
      </c>
      <c r="AJ8" s="186" t="s">
        <v>700</v>
      </c>
      <c r="AK8" s="186" t="s">
        <v>701</v>
      </c>
      <c r="AL8" s="157"/>
      <c r="AM8" s="185" t="s">
        <v>288</v>
      </c>
      <c r="AN8" t="s">
        <v>702</v>
      </c>
    </row>
    <row r="9" spans="1:40">
      <c r="A9" s="29"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7"/>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7"/>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4"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5" customFormat="1">
      <c r="A1" s="31"/>
    </row>
    <row r="2" spans="1:25" s="45" customFormat="1">
      <c r="A2" s="31"/>
    </row>
    <row r="3" spans="1:25" s="45" customFormat="1">
      <c r="A3" s="31"/>
    </row>
    <row r="4" spans="1:25" s="96" customFormat="1">
      <c r="A4" s="31"/>
      <c r="B4" s="45"/>
      <c r="C4" s="209" t="s">
        <v>439</v>
      </c>
      <c r="D4" s="209"/>
      <c r="E4" s="209"/>
      <c r="F4" s="209"/>
      <c r="G4" s="209"/>
      <c r="H4" s="209"/>
      <c r="I4" s="209"/>
      <c r="J4" s="209"/>
      <c r="K4" s="209"/>
      <c r="L4" s="209"/>
      <c r="M4" s="209"/>
      <c r="N4" s="209"/>
      <c r="O4" s="209"/>
      <c r="P4" s="209"/>
      <c r="Q4" s="209"/>
      <c r="R4" s="209"/>
      <c r="S4" s="209"/>
      <c r="U4" s="215" t="s">
        <v>293</v>
      </c>
      <c r="V4" s="215"/>
      <c r="W4" s="215"/>
      <c r="X4" s="215"/>
      <c r="Y4" s="215"/>
    </row>
    <row r="5" spans="1:25">
      <c r="A5" s="31"/>
      <c r="B5" s="45"/>
      <c r="C5" s="185" t="s">
        <v>0</v>
      </c>
      <c r="D5" s="186" t="s">
        <v>16</v>
      </c>
      <c r="F5" s="185" t="s">
        <v>0</v>
      </c>
      <c r="G5" s="186" t="s">
        <v>16</v>
      </c>
      <c r="I5" s="185" t="s">
        <v>0</v>
      </c>
      <c r="J5" s="186" t="s">
        <v>16</v>
      </c>
      <c r="L5" s="185" t="s">
        <v>0</v>
      </c>
      <c r="M5" s="186" t="s">
        <v>16</v>
      </c>
      <c r="O5" s="185" t="s">
        <v>0</v>
      </c>
      <c r="P5" s="186" t="s">
        <v>16</v>
      </c>
      <c r="R5" s="185" t="s">
        <v>0</v>
      </c>
      <c r="S5" s="186" t="s">
        <v>16</v>
      </c>
      <c r="U5" s="185" t="s">
        <v>0</v>
      </c>
      <c r="V5" s="186" t="s">
        <v>16</v>
      </c>
      <c r="W5" s="90"/>
      <c r="X5" s="185" t="s">
        <v>0</v>
      </c>
      <c r="Y5" s="186" t="s">
        <v>16</v>
      </c>
    </row>
    <row r="6" spans="1:25">
      <c r="A6" s="31"/>
      <c r="B6" s="45"/>
      <c r="C6" s="185" t="s">
        <v>3</v>
      </c>
      <c r="D6" s="186" t="s">
        <v>302</v>
      </c>
      <c r="F6" s="185" t="s">
        <v>3</v>
      </c>
      <c r="G6" s="186" t="s">
        <v>86</v>
      </c>
      <c r="I6" s="185" t="s">
        <v>3</v>
      </c>
      <c r="J6" s="186" t="s">
        <v>78</v>
      </c>
      <c r="L6" s="185" t="s">
        <v>3</v>
      </c>
      <c r="M6" s="186" t="s">
        <v>79</v>
      </c>
      <c r="O6" s="185" t="s">
        <v>3</v>
      </c>
      <c r="P6" s="186" t="s">
        <v>85</v>
      </c>
      <c r="R6" s="185" t="s">
        <v>3</v>
      </c>
      <c r="S6" s="186" t="s">
        <v>84</v>
      </c>
      <c r="U6" s="185" t="s">
        <v>3</v>
      </c>
      <c r="V6" s="186" t="s">
        <v>464</v>
      </c>
      <c r="W6" s="90"/>
      <c r="X6" s="185" t="s">
        <v>3</v>
      </c>
      <c r="Y6" s="186" t="s">
        <v>468</v>
      </c>
    </row>
    <row r="7" spans="1:25">
      <c r="A7" s="31"/>
      <c r="B7" s="45"/>
      <c r="U7" s="90"/>
      <c r="V7" s="90"/>
      <c r="W7" s="90"/>
      <c r="X7" s="90"/>
      <c r="Y7" s="90"/>
    </row>
    <row r="8" spans="1:25">
      <c r="A8" s="24" t="s">
        <v>685</v>
      </c>
      <c r="B8" s="24" t="s">
        <v>121</v>
      </c>
      <c r="C8" s="185" t="s">
        <v>288</v>
      </c>
      <c r="D8" t="s">
        <v>316</v>
      </c>
      <c r="F8" s="185" t="s">
        <v>288</v>
      </c>
      <c r="G8" t="s">
        <v>317</v>
      </c>
      <c r="I8" s="185" t="s">
        <v>288</v>
      </c>
      <c r="J8" t="s">
        <v>318</v>
      </c>
      <c r="L8" s="185" t="s">
        <v>288</v>
      </c>
      <c r="M8" t="s">
        <v>319</v>
      </c>
      <c r="O8" s="185" t="s">
        <v>288</v>
      </c>
      <c r="P8" t="s">
        <v>321</v>
      </c>
      <c r="R8" s="185" t="s">
        <v>288</v>
      </c>
      <c r="S8" t="s">
        <v>320</v>
      </c>
      <c r="U8" s="185" t="s">
        <v>288</v>
      </c>
      <c r="V8" t="s">
        <v>703</v>
      </c>
      <c r="W8" s="90"/>
      <c r="X8" s="185" t="s">
        <v>288</v>
      </c>
      <c r="Y8" t="s">
        <v>704</v>
      </c>
    </row>
    <row r="9" spans="1:25">
      <c r="A9" s="29" t="str">
        <f>INDEX('OS-Machine Info'!$B:$B,MATCH(C9,'OS-Machine Info'!$A:$A,0))</f>
        <v>TestDC</v>
      </c>
      <c r="B9" s="29">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90"/>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90"/>
      <c r="X10" s="4" t="s">
        <v>17</v>
      </c>
      <c r="Y10" s="5">
        <v>3</v>
      </c>
    </row>
    <row r="13" spans="1:25">
      <c r="U13" s="89"/>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4"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5" customFormat="1">
      <c r="H1" s="31"/>
    </row>
    <row r="2" spans="1:13" s="45" customFormat="1">
      <c r="G2" s="154"/>
      <c r="H2" s="31"/>
    </row>
    <row r="3" spans="1:13">
      <c r="C3" s="52"/>
      <c r="D3" s="35"/>
      <c r="E3" s="35"/>
      <c r="F3" s="35"/>
      <c r="G3" s="154"/>
      <c r="H3" s="31"/>
      <c r="I3" s="188" t="s">
        <v>0</v>
      </c>
      <c r="J3" s="189" t="s">
        <v>16</v>
      </c>
      <c r="L3" s="35"/>
      <c r="M3" s="35"/>
    </row>
    <row r="4" spans="1:13">
      <c r="A4" s="188" t="s">
        <v>0</v>
      </c>
      <c r="B4" s="189" t="s">
        <v>16</v>
      </c>
      <c r="D4" s="35"/>
      <c r="E4" s="35"/>
      <c r="F4" s="35"/>
      <c r="G4" s="154"/>
      <c r="H4" s="31"/>
      <c r="I4" s="188" t="s">
        <v>1</v>
      </c>
      <c r="J4" s="189" t="s">
        <v>16</v>
      </c>
      <c r="L4" s="35"/>
      <c r="M4" s="35"/>
    </row>
    <row r="5" spans="1:13">
      <c r="A5" s="188" t="s">
        <v>51</v>
      </c>
      <c r="B5" s="189" t="s">
        <v>16</v>
      </c>
      <c r="D5" s="35"/>
      <c r="E5" s="35"/>
      <c r="F5" s="35"/>
      <c r="G5" s="154"/>
      <c r="H5" s="31"/>
      <c r="I5" s="188" t="s">
        <v>3</v>
      </c>
      <c r="J5" s="189" t="s">
        <v>7</v>
      </c>
      <c r="L5" s="35"/>
      <c r="M5" s="35"/>
    </row>
    <row r="6" spans="1:13">
      <c r="A6" s="188" t="s">
        <v>3</v>
      </c>
      <c r="B6" s="189" t="s">
        <v>7</v>
      </c>
      <c r="D6" s="35"/>
      <c r="E6" s="35"/>
      <c r="F6" s="35"/>
      <c r="G6" s="154"/>
      <c r="H6" s="31"/>
      <c r="I6" s="188" t="s">
        <v>2</v>
      </c>
      <c r="J6" s="189" t="s">
        <v>16</v>
      </c>
      <c r="L6" s="35"/>
      <c r="M6" s="35"/>
    </row>
    <row r="7" spans="1:13">
      <c r="D7" s="35"/>
      <c r="E7" s="35"/>
      <c r="F7" s="35"/>
      <c r="G7" s="154"/>
      <c r="H7" s="31"/>
      <c r="L7" s="35"/>
      <c r="M7" s="35"/>
    </row>
    <row r="8" spans="1:13" ht="57.6">
      <c r="A8" s="188" t="s">
        <v>725</v>
      </c>
      <c r="B8" s="32" t="s">
        <v>20</v>
      </c>
      <c r="C8" s="32" t="s">
        <v>18</v>
      </c>
      <c r="E8" s="36" t="s">
        <v>147</v>
      </c>
      <c r="F8" s="36" t="s">
        <v>148</v>
      </c>
      <c r="G8" s="154"/>
      <c r="H8" s="24" t="s">
        <v>685</v>
      </c>
      <c r="I8" s="188" t="s">
        <v>288</v>
      </c>
      <c r="J8" s="32" t="s">
        <v>20</v>
      </c>
      <c r="K8" s="32" t="s">
        <v>18</v>
      </c>
      <c r="L8" s="36" t="s">
        <v>147</v>
      </c>
      <c r="M8" s="36" t="s">
        <v>148</v>
      </c>
    </row>
    <row r="9" spans="1:13">
      <c r="A9" s="4" t="s">
        <v>47</v>
      </c>
      <c r="B9" s="6">
        <v>0</v>
      </c>
      <c r="C9" s="6">
        <v>0</v>
      </c>
      <c r="D9" s="8">
        <f>C9/IF(B9=0,1,B9)</f>
        <v>0</v>
      </c>
      <c r="E9" s="6">
        <f>B9 / 1024</f>
        <v>0</v>
      </c>
      <c r="F9" s="6">
        <f>E9/1024</f>
        <v>0</v>
      </c>
      <c r="H9" s="29"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4"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30" customFormat="1">
      <c r="A1" s="31"/>
      <c r="I1" s="211"/>
      <c r="J1" s="212"/>
      <c r="K1" s="210"/>
      <c r="L1" s="210"/>
      <c r="M1" s="210"/>
      <c r="N1" s="210"/>
      <c r="O1" s="210"/>
      <c r="P1" s="210"/>
      <c r="Q1" s="210"/>
      <c r="R1" s="210"/>
    </row>
    <row r="2" spans="1:24">
      <c r="A2" s="31"/>
      <c r="B2" s="45"/>
      <c r="C2" s="207" t="s">
        <v>440</v>
      </c>
      <c r="D2" s="210"/>
      <c r="E2" s="210"/>
      <c r="F2" s="210"/>
      <c r="G2" s="210"/>
      <c r="H2" s="132"/>
      <c r="I2" s="207" t="s">
        <v>440</v>
      </c>
      <c r="J2" s="210"/>
      <c r="K2" s="210"/>
      <c r="L2" s="210"/>
      <c r="M2" s="210"/>
      <c r="N2" s="152"/>
      <c r="O2" s="213" t="s">
        <v>682</v>
      </c>
      <c r="P2" s="214"/>
      <c r="Q2" s="214"/>
      <c r="R2" s="214"/>
      <c r="S2" s="214"/>
      <c r="T2" s="214"/>
      <c r="U2" s="214"/>
      <c r="V2" s="214"/>
      <c r="W2" s="214"/>
      <c r="X2" s="214"/>
    </row>
    <row r="3" spans="1:24">
      <c r="A3" s="31"/>
      <c r="B3" s="45"/>
      <c r="C3" s="185" t="s">
        <v>0</v>
      </c>
      <c r="D3" s="186" t="s">
        <v>16</v>
      </c>
      <c r="E3" s="132"/>
      <c r="F3" s="185" t="s">
        <v>0</v>
      </c>
      <c r="G3" s="186" t="s">
        <v>16</v>
      </c>
      <c r="H3" s="132"/>
      <c r="I3" s="185" t="s">
        <v>0</v>
      </c>
      <c r="J3" s="186" t="s">
        <v>16</v>
      </c>
      <c r="K3" s="151"/>
      <c r="L3" s="185" t="s">
        <v>0</v>
      </c>
      <c r="M3" s="186" t="s">
        <v>16</v>
      </c>
      <c r="N3" s="151"/>
      <c r="O3" s="185" t="s">
        <v>0</v>
      </c>
      <c r="P3" s="186" t="s">
        <v>16</v>
      </c>
      <c r="Q3" s="33"/>
      <c r="R3" s="151"/>
      <c r="S3" s="151"/>
      <c r="T3" s="33"/>
      <c r="U3" s="185" t="s">
        <v>0</v>
      </c>
      <c r="V3" s="186" t="s">
        <v>16</v>
      </c>
      <c r="W3" s="151"/>
      <c r="X3" s="151"/>
    </row>
    <row r="4" spans="1:24">
      <c r="A4" s="31"/>
      <c r="B4" s="45"/>
      <c r="C4" s="185" t="s">
        <v>3</v>
      </c>
      <c r="D4" s="186" t="s">
        <v>597</v>
      </c>
      <c r="E4" s="132"/>
      <c r="F4" s="185" t="s">
        <v>3</v>
      </c>
      <c r="G4" s="186" t="s">
        <v>593</v>
      </c>
      <c r="H4" s="132"/>
      <c r="I4" s="185" t="s">
        <v>3</v>
      </c>
      <c r="J4" s="186" t="s">
        <v>438</v>
      </c>
      <c r="K4" s="151"/>
      <c r="L4" s="185" t="s">
        <v>3</v>
      </c>
      <c r="M4" s="186" t="s">
        <v>434</v>
      </c>
      <c r="N4" s="151"/>
      <c r="O4" s="185" t="s">
        <v>3</v>
      </c>
      <c r="P4" s="186" t="s">
        <v>64</v>
      </c>
      <c r="Q4" s="33"/>
      <c r="R4" s="151"/>
      <c r="S4" s="151"/>
      <c r="T4" s="33"/>
      <c r="U4" s="185" t="s">
        <v>3</v>
      </c>
      <c r="V4" s="186" t="s">
        <v>64</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685</v>
      </c>
      <c r="B6" s="24" t="s">
        <v>121</v>
      </c>
      <c r="C6" s="185" t="s">
        <v>288</v>
      </c>
      <c r="D6" t="s">
        <v>598</v>
      </c>
      <c r="E6" s="132"/>
      <c r="F6" s="185" t="s">
        <v>288</v>
      </c>
      <c r="G6" t="s">
        <v>683</v>
      </c>
      <c r="H6" s="132"/>
      <c r="I6" s="185" t="s">
        <v>288</v>
      </c>
      <c r="J6" t="s">
        <v>441</v>
      </c>
      <c r="K6" s="151"/>
      <c r="L6" s="185" t="s">
        <v>288</v>
      </c>
      <c r="M6" t="s">
        <v>684</v>
      </c>
      <c r="N6" s="151"/>
      <c r="O6" s="185" t="s">
        <v>288</v>
      </c>
      <c r="P6" s="186" t="s">
        <v>304</v>
      </c>
      <c r="Q6" s="186" t="s">
        <v>407</v>
      </c>
      <c r="R6" s="186" t="s">
        <v>303</v>
      </c>
      <c r="S6" s="186" t="s">
        <v>406</v>
      </c>
      <c r="T6" s="151"/>
      <c r="U6" s="185" t="s">
        <v>288</v>
      </c>
      <c r="V6" s="186" t="s">
        <v>308</v>
      </c>
      <c r="W6" s="186" t="s">
        <v>309</v>
      </c>
      <c r="X6" s="186" t="s">
        <v>310</v>
      </c>
    </row>
    <row r="7" spans="1:24">
      <c r="A7" s="29" t="str">
        <f>INDEX('OS-Machine Info'!$B:$B,MATCH(C7,'OS-Machine Info'!$A:$A,0))</f>
        <v>TestDC</v>
      </c>
      <c r="B7" s="29">
        <f>INDEX('Node Information'!J:$J,MATCH(C7,'Node Information'!$A:$A,0))</f>
        <v>6.5428240740740704E-2</v>
      </c>
      <c r="C7" s="4" t="s">
        <v>48</v>
      </c>
      <c r="D7" s="5">
        <v>10</v>
      </c>
      <c r="E7" s="132"/>
      <c r="F7" s="4" t="s">
        <v>48</v>
      </c>
      <c r="G7" s="5">
        <v>5</v>
      </c>
      <c r="H7" s="132"/>
      <c r="I7" s="4" t="s">
        <v>48</v>
      </c>
      <c r="J7" s="5">
        <v>3</v>
      </c>
      <c r="K7" s="151"/>
      <c r="L7" s="4" t="s">
        <v>48</v>
      </c>
      <c r="M7" s="5"/>
      <c r="N7" s="5"/>
      <c r="O7" s="4" t="s">
        <v>48</v>
      </c>
      <c r="P7" s="5">
        <v>0</v>
      </c>
      <c r="Q7" s="5">
        <v>0</v>
      </c>
      <c r="R7" s="5">
        <v>1</v>
      </c>
      <c r="S7" s="5">
        <v>0</v>
      </c>
      <c r="T7" s="5"/>
      <c r="U7" s="4" t="s">
        <v>48</v>
      </c>
      <c r="V7" s="5">
        <v>8237</v>
      </c>
      <c r="W7" s="5">
        <v>0</v>
      </c>
      <c r="X7" s="5">
        <v>0</v>
      </c>
    </row>
    <row r="8" spans="1:24">
      <c r="C8" s="4" t="s">
        <v>17</v>
      </c>
      <c r="D8" s="5">
        <v>10</v>
      </c>
      <c r="E8" s="132"/>
      <c r="F8" s="4" t="s">
        <v>17</v>
      </c>
      <c r="G8" s="5">
        <v>5</v>
      </c>
      <c r="H8" s="132"/>
      <c r="I8" s="4" t="s">
        <v>17</v>
      </c>
      <c r="J8" s="5">
        <v>3</v>
      </c>
      <c r="K8" s="151"/>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30" customFormat="1"/>
    <row r="2" spans="1:17">
      <c r="A2" s="215" t="s">
        <v>447</v>
      </c>
      <c r="B2" s="208"/>
      <c r="C2" s="208"/>
      <c r="D2" s="208"/>
      <c r="E2" s="208"/>
      <c r="F2" s="208"/>
      <c r="G2" s="208"/>
      <c r="H2" s="216"/>
      <c r="J2" s="215" t="s">
        <v>448</v>
      </c>
      <c r="K2" s="208"/>
      <c r="L2" s="208"/>
      <c r="M2" s="208"/>
      <c r="N2" s="208"/>
      <c r="O2" s="208"/>
      <c r="P2" s="208"/>
      <c r="Q2" s="216"/>
    </row>
    <row r="3" spans="1:17">
      <c r="A3" s="59"/>
      <c r="B3" s="58"/>
      <c r="C3" s="58"/>
      <c r="D3" s="58"/>
      <c r="E3" s="58"/>
      <c r="F3" s="58"/>
      <c r="G3" s="58"/>
      <c r="H3" s="60"/>
      <c r="J3" s="92"/>
      <c r="K3" s="91"/>
      <c r="L3" s="91"/>
      <c r="M3" s="91"/>
      <c r="N3" s="91"/>
      <c r="O3" s="91"/>
      <c r="P3" s="91"/>
      <c r="Q3" s="93"/>
    </row>
    <row r="4" spans="1:17">
      <c r="C4" s="33"/>
      <c r="F4" s="33"/>
      <c r="L4" s="33"/>
      <c r="M4" s="188" t="s">
        <v>0</v>
      </c>
      <c r="N4" s="189" t="s">
        <v>16</v>
      </c>
      <c r="O4" s="33"/>
      <c r="P4" s="188" t="s">
        <v>0</v>
      </c>
      <c r="Q4" s="189" t="s">
        <v>16</v>
      </c>
    </row>
    <row r="5" spans="1:17">
      <c r="A5" s="188" t="s">
        <v>0</v>
      </c>
      <c r="B5" s="189" t="s">
        <v>16</v>
      </c>
      <c r="C5" s="33"/>
      <c r="D5" s="188" t="s">
        <v>0</v>
      </c>
      <c r="E5" s="189" t="s">
        <v>16</v>
      </c>
      <c r="F5" s="33"/>
      <c r="G5" s="188" t="s">
        <v>0</v>
      </c>
      <c r="H5" s="189" t="s">
        <v>16</v>
      </c>
      <c r="J5" s="188" t="s">
        <v>0</v>
      </c>
      <c r="K5" s="189" t="s">
        <v>16</v>
      </c>
      <c r="L5" s="33"/>
      <c r="M5" s="188" t="s">
        <v>1</v>
      </c>
      <c r="N5" s="189" t="s">
        <v>16</v>
      </c>
      <c r="O5" s="33"/>
      <c r="P5" s="188" t="s">
        <v>1</v>
      </c>
      <c r="Q5" s="189" t="s">
        <v>16</v>
      </c>
    </row>
    <row r="6" spans="1:17">
      <c r="A6" s="188" t="s">
        <v>3</v>
      </c>
      <c r="B6" s="189" t="s">
        <v>363</v>
      </c>
      <c r="C6" s="33"/>
      <c r="D6" s="188" t="s">
        <v>3</v>
      </c>
      <c r="E6" s="189" t="s">
        <v>360</v>
      </c>
      <c r="F6" s="33"/>
      <c r="G6" s="188" t="s">
        <v>3</v>
      </c>
      <c r="H6" s="189" t="s">
        <v>362</v>
      </c>
      <c r="J6" s="188" t="s">
        <v>3</v>
      </c>
      <c r="K6" s="189" t="s">
        <v>446</v>
      </c>
      <c r="L6" s="33"/>
      <c r="M6" s="188" t="s">
        <v>3</v>
      </c>
      <c r="N6" s="189" t="s">
        <v>442</v>
      </c>
      <c r="O6" s="33"/>
      <c r="P6" s="188" t="s">
        <v>3</v>
      </c>
      <c r="Q6" s="189" t="s">
        <v>444</v>
      </c>
    </row>
    <row r="7" spans="1:17">
      <c r="A7" s="57"/>
      <c r="B7" s="57"/>
      <c r="C7" s="57"/>
      <c r="D7" s="57"/>
      <c r="E7" s="57"/>
      <c r="F7" s="57"/>
      <c r="G7" s="57"/>
      <c r="H7" s="57"/>
      <c r="J7" s="90"/>
      <c r="K7" s="90"/>
      <c r="L7" s="90"/>
      <c r="M7" s="90"/>
      <c r="N7" s="90"/>
      <c r="O7" s="90"/>
      <c r="P7" s="90"/>
      <c r="Q7" s="90"/>
    </row>
    <row r="8" spans="1:17" ht="28.8">
      <c r="A8" s="188" t="s">
        <v>725</v>
      </c>
      <c r="B8" t="s">
        <v>287</v>
      </c>
      <c r="C8" s="57"/>
      <c r="D8" s="188" t="s">
        <v>725</v>
      </c>
      <c r="E8" s="32" t="s">
        <v>364</v>
      </c>
      <c r="F8" s="57"/>
      <c r="G8" s="188" t="s">
        <v>725</v>
      </c>
      <c r="H8" s="32" t="s">
        <v>365</v>
      </c>
      <c r="J8" s="188" t="s">
        <v>725</v>
      </c>
      <c r="K8" t="s">
        <v>473</v>
      </c>
      <c r="L8" s="90"/>
      <c r="M8" s="188" t="s">
        <v>288</v>
      </c>
      <c r="N8" s="32" t="s">
        <v>474</v>
      </c>
      <c r="O8" s="90"/>
      <c r="P8" s="188" t="s">
        <v>288</v>
      </c>
      <c r="Q8" s="32" t="s">
        <v>475</v>
      </c>
    </row>
    <row r="9" spans="1:17">
      <c r="A9" s="4" t="s">
        <v>47</v>
      </c>
      <c r="B9" s="189">
        <v>4</v>
      </c>
      <c r="C9" s="6"/>
      <c r="D9" s="4" t="s">
        <v>47</v>
      </c>
      <c r="E9" s="5">
        <v>2100</v>
      </c>
      <c r="F9" s="6"/>
      <c r="G9" s="4" t="s">
        <v>47</v>
      </c>
      <c r="H9" s="5">
        <v>1200</v>
      </c>
      <c r="J9" s="4" t="s">
        <v>47</v>
      </c>
      <c r="K9" s="189">
        <v>3</v>
      </c>
      <c r="L9" s="6"/>
      <c r="M9" s="4" t="s">
        <v>48</v>
      </c>
      <c r="N9" s="5">
        <v>12</v>
      </c>
      <c r="O9" s="6"/>
      <c r="P9" s="4" t="s">
        <v>48</v>
      </c>
      <c r="Q9" s="5">
        <v>4</v>
      </c>
    </row>
    <row r="10" spans="1:17">
      <c r="A10" s="4" t="s">
        <v>17</v>
      </c>
      <c r="B10" s="189">
        <v>4</v>
      </c>
      <c r="C10" s="6"/>
      <c r="D10" s="4" t="s">
        <v>17</v>
      </c>
      <c r="E10" s="5">
        <v>2100</v>
      </c>
      <c r="F10" s="6"/>
      <c r="G10" s="4" t="s">
        <v>17</v>
      </c>
      <c r="H10" s="5">
        <v>1200</v>
      </c>
      <c r="J10" s="4" t="s">
        <v>17</v>
      </c>
      <c r="K10" s="189">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2" customWidth="1"/>
    <col min="2" max="2" width="18.6640625" style="73" customWidth="1"/>
    <col min="3" max="3" width="24.77734375" customWidth="1"/>
    <col min="4" max="4" width="8.109375" customWidth="1"/>
    <col min="5" max="5" width="10.88671875" customWidth="1"/>
    <col min="6" max="6" width="8.5546875" style="64" customWidth="1"/>
    <col min="7" max="7" width="8.109375" customWidth="1"/>
    <col min="8" max="8" width="10.88671875" customWidth="1"/>
    <col min="9" max="9" width="8.5546875" style="64" customWidth="1"/>
    <col min="10" max="10" width="8.109375" customWidth="1"/>
    <col min="11" max="11" width="10.88671875" customWidth="1"/>
    <col min="12" max="12" width="8.5546875" style="64" customWidth="1"/>
    <col min="13" max="13" width="8.109375" customWidth="1"/>
    <col min="14" max="14" width="10.88671875" customWidth="1"/>
    <col min="15" max="15" width="8.5546875" style="64" customWidth="1"/>
    <col min="16" max="16" width="8.109375" customWidth="1"/>
    <col min="17" max="17" width="10.88671875" customWidth="1"/>
    <col min="18" max="18" width="16.44140625" style="64" customWidth="1"/>
    <col min="19" max="19" width="8.33203125" customWidth="1"/>
    <col min="20" max="20" width="11.109375" customWidth="1"/>
    <col min="21" max="21" width="9.109375" style="30"/>
    <col min="22" max="22" width="12.5546875" style="72" customWidth="1"/>
    <col min="23" max="23" width="24.77734375" customWidth="1"/>
    <col min="24" max="24" width="8.109375" customWidth="1"/>
    <col min="25" max="25" width="10.88671875" customWidth="1"/>
    <col min="26" max="26" width="8.5546875" style="64" customWidth="1"/>
    <col min="27" max="27" width="8.109375" customWidth="1"/>
    <col min="28" max="28" width="10.88671875" customWidth="1"/>
    <col min="29" max="29" width="8.5546875" style="64" customWidth="1"/>
    <col min="30" max="30" width="8.109375" customWidth="1"/>
    <col min="31" max="31" width="10.88671875" customWidth="1"/>
    <col min="32" max="32" width="8.5546875" style="64" customWidth="1"/>
    <col min="33" max="33" width="8.109375" customWidth="1"/>
    <col min="34" max="34" width="10.88671875" customWidth="1"/>
    <col min="35" max="35" width="8.5546875" style="64" customWidth="1"/>
    <col min="36" max="36" width="8.109375" customWidth="1"/>
    <col min="37" max="37" width="10.88671875" customWidth="1"/>
    <col min="38" max="38" width="16.44140625" style="64" customWidth="1"/>
    <col min="39" max="39" width="8.33203125" customWidth="1"/>
    <col min="40" max="40" width="11.109375" style="72" customWidth="1"/>
  </cols>
  <sheetData>
    <row r="1" spans="1:40" s="57" customFormat="1">
      <c r="A1" s="68"/>
      <c r="B1" s="219" t="s">
        <v>399</v>
      </c>
      <c r="C1" s="210"/>
      <c r="D1" s="210"/>
      <c r="E1" s="210"/>
      <c r="F1" s="210"/>
      <c r="G1" s="210"/>
      <c r="H1" s="210"/>
      <c r="I1" s="210"/>
      <c r="J1" s="210"/>
      <c r="K1" s="210"/>
      <c r="L1" s="210"/>
      <c r="M1" s="210"/>
      <c r="N1" s="210"/>
      <c r="O1" s="210"/>
      <c r="P1" s="210"/>
      <c r="Q1" s="210"/>
      <c r="R1" s="210"/>
      <c r="S1" s="210"/>
      <c r="T1" s="210"/>
      <c r="U1" s="30"/>
      <c r="V1" s="219" t="s">
        <v>400</v>
      </c>
      <c r="W1" s="210"/>
      <c r="X1" s="210"/>
      <c r="Y1" s="210"/>
      <c r="Z1" s="210"/>
      <c r="AA1" s="210"/>
      <c r="AB1" s="210"/>
      <c r="AC1" s="210"/>
      <c r="AD1" s="210"/>
      <c r="AE1" s="210"/>
      <c r="AF1" s="210"/>
      <c r="AG1" s="210"/>
      <c r="AH1" s="210"/>
      <c r="AI1" s="210"/>
      <c r="AJ1" s="210"/>
      <c r="AK1" s="210"/>
      <c r="AL1" s="210"/>
      <c r="AM1" s="210"/>
      <c r="AN1" s="210"/>
    </row>
    <row r="2" spans="1:40" s="57" customFormat="1">
      <c r="A2" s="68"/>
      <c r="B2" s="219"/>
      <c r="C2" s="210"/>
      <c r="D2" s="210"/>
      <c r="E2" s="210"/>
      <c r="F2" s="210"/>
      <c r="G2" s="210"/>
      <c r="H2" s="210"/>
      <c r="I2" s="210"/>
      <c r="J2" s="210"/>
      <c r="K2" s="210"/>
      <c r="L2" s="210"/>
      <c r="M2" s="210"/>
      <c r="N2" s="210"/>
      <c r="O2" s="210"/>
      <c r="P2" s="210"/>
      <c r="Q2" s="210"/>
      <c r="R2" s="210"/>
      <c r="S2" s="210"/>
      <c r="T2" s="210"/>
      <c r="U2" s="30"/>
      <c r="V2" s="166" t="s">
        <v>0</v>
      </c>
      <c r="W2" s="167" t="s">
        <v>16</v>
      </c>
      <c r="X2" s="30"/>
      <c r="Y2" s="30"/>
      <c r="Z2" s="30"/>
      <c r="AA2" s="30"/>
      <c r="AB2" s="30"/>
      <c r="AC2" s="30"/>
      <c r="AD2" s="30"/>
      <c r="AE2" s="30"/>
      <c r="AF2" s="30"/>
      <c r="AG2" s="30"/>
      <c r="AH2" s="30"/>
      <c r="AI2" s="30"/>
      <c r="AJ2" s="30"/>
      <c r="AK2" s="30"/>
      <c r="AL2" s="30"/>
      <c r="AM2" s="30"/>
      <c r="AN2" s="30"/>
    </row>
    <row r="3" spans="1:40">
      <c r="A3" s="68"/>
      <c r="B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353</v>
      </c>
      <c r="D5" s="30"/>
      <c r="E5" s="30"/>
      <c r="F5" s="30"/>
      <c r="G5" s="30"/>
      <c r="H5" s="30"/>
      <c r="I5" s="30"/>
      <c r="J5" s="30"/>
      <c r="K5" s="30"/>
      <c r="L5" s="30"/>
      <c r="M5" s="30"/>
      <c r="N5" s="30"/>
      <c r="O5" s="30"/>
      <c r="P5" s="30"/>
      <c r="Q5" s="30"/>
      <c r="R5" s="30"/>
      <c r="S5" s="30"/>
      <c r="T5" s="30"/>
      <c r="V5" s="166" t="s">
        <v>3</v>
      </c>
      <c r="W5" s="167" t="s">
        <v>353</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W6" s="57"/>
      <c r="X6" s="30"/>
      <c r="Y6" s="30"/>
      <c r="Z6" s="30"/>
      <c r="AA6" s="30"/>
      <c r="AB6" s="30"/>
      <c r="AC6" s="30"/>
      <c r="AD6" s="30"/>
      <c r="AE6" s="30"/>
      <c r="AF6" s="30"/>
      <c r="AG6" s="30"/>
      <c r="AH6" s="30"/>
      <c r="AI6" s="30"/>
      <c r="AJ6" s="30"/>
      <c r="AK6" s="30"/>
      <c r="AL6" s="30"/>
      <c r="AM6" s="30"/>
      <c r="AN6" s="30"/>
    </row>
    <row r="7" spans="1:40">
      <c r="A7" s="70" t="s">
        <v>93</v>
      </c>
      <c r="B7" s="76" t="s">
        <v>725</v>
      </c>
      <c r="C7" s="32" t="s">
        <v>381</v>
      </c>
      <c r="D7" s="167" t="s">
        <v>383</v>
      </c>
      <c r="E7" s="167" t="s">
        <v>384</v>
      </c>
      <c r="F7" s="66" t="s">
        <v>382</v>
      </c>
      <c r="G7" s="67" t="s">
        <v>385</v>
      </c>
      <c r="H7" s="67" t="s">
        <v>386</v>
      </c>
      <c r="I7" s="64" t="s">
        <v>387</v>
      </c>
      <c r="J7" s="167" t="s">
        <v>388</v>
      </c>
      <c r="K7" s="167" t="s">
        <v>389</v>
      </c>
      <c r="L7" s="66" t="s">
        <v>390</v>
      </c>
      <c r="M7" s="67" t="s">
        <v>391</v>
      </c>
      <c r="N7" s="67" t="s">
        <v>392</v>
      </c>
      <c r="O7" s="64" t="s">
        <v>393</v>
      </c>
      <c r="P7" s="167" t="s">
        <v>394</v>
      </c>
      <c r="Q7" s="167" t="s">
        <v>395</v>
      </c>
      <c r="R7" s="66" t="s">
        <v>396</v>
      </c>
      <c r="S7" s="67" t="s">
        <v>397</v>
      </c>
      <c r="T7" s="67" t="s">
        <v>398</v>
      </c>
      <c r="V7" s="74" t="s">
        <v>288</v>
      </c>
      <c r="W7" s="32" t="s">
        <v>381</v>
      </c>
      <c r="X7" s="167" t="s">
        <v>383</v>
      </c>
      <c r="Y7" s="167" t="s">
        <v>384</v>
      </c>
      <c r="Z7" s="66" t="s">
        <v>382</v>
      </c>
      <c r="AA7" s="67" t="s">
        <v>385</v>
      </c>
      <c r="AB7" s="67" t="s">
        <v>386</v>
      </c>
      <c r="AC7" s="64" t="s">
        <v>387</v>
      </c>
      <c r="AD7" s="167" t="s">
        <v>388</v>
      </c>
      <c r="AE7" s="167" t="s">
        <v>389</v>
      </c>
      <c r="AF7" s="66" t="s">
        <v>390</v>
      </c>
      <c r="AG7" s="67" t="s">
        <v>391</v>
      </c>
      <c r="AH7" s="67" t="s">
        <v>392</v>
      </c>
      <c r="AI7" s="64" t="s">
        <v>393</v>
      </c>
      <c r="AJ7" s="167" t="s">
        <v>394</v>
      </c>
      <c r="AK7" s="167" t="s">
        <v>395</v>
      </c>
      <c r="AL7" s="66" t="s">
        <v>396</v>
      </c>
      <c r="AM7" s="67" t="s">
        <v>397</v>
      </c>
      <c r="AN7" s="76" t="s">
        <v>398</v>
      </c>
    </row>
    <row r="8" spans="1:40">
      <c r="A8" s="71" t="e">
        <f>INDEX('DDL Tables'!$F:$F,MATCH(SUBSTITUTE(B8," (index)", ""),'DDL Tables'!$C:$C,0))</f>
        <v>#N/A</v>
      </c>
      <c r="B8" s="4" t="s">
        <v>47</v>
      </c>
      <c r="C8" s="9">
        <v>150.04499999999999</v>
      </c>
      <c r="D8" s="9">
        <v>150.04499999999999</v>
      </c>
      <c r="E8" s="9">
        <v>0</v>
      </c>
      <c r="F8" s="65">
        <v>178</v>
      </c>
      <c r="G8" s="9">
        <v>178</v>
      </c>
      <c r="H8" s="9">
        <v>0</v>
      </c>
      <c r="I8" s="65">
        <v>195</v>
      </c>
      <c r="J8" s="9">
        <v>195</v>
      </c>
      <c r="K8" s="9">
        <v>0</v>
      </c>
      <c r="L8" s="65">
        <v>210</v>
      </c>
      <c r="M8" s="9">
        <v>210</v>
      </c>
      <c r="N8" s="9">
        <v>0</v>
      </c>
      <c r="O8" s="65">
        <v>220</v>
      </c>
      <c r="P8" s="9">
        <v>220</v>
      </c>
      <c r="Q8" s="9">
        <v>0</v>
      </c>
      <c r="R8" s="65">
        <v>235.67</v>
      </c>
      <c r="S8" s="9">
        <v>235.67</v>
      </c>
      <c r="T8" s="9">
        <v>0</v>
      </c>
      <c r="V8" s="4" t="s">
        <v>48</v>
      </c>
      <c r="W8" s="9">
        <v>150.04499999999999</v>
      </c>
      <c r="X8" s="9">
        <v>150.04499999999999</v>
      </c>
      <c r="Y8" s="9">
        <v>0</v>
      </c>
      <c r="Z8" s="65">
        <v>178</v>
      </c>
      <c r="AA8" s="9">
        <v>178</v>
      </c>
      <c r="AB8" s="9">
        <v>0</v>
      </c>
      <c r="AC8" s="65">
        <v>195</v>
      </c>
      <c r="AD8" s="9">
        <v>195</v>
      </c>
      <c r="AE8" s="9">
        <v>0</v>
      </c>
      <c r="AF8" s="65">
        <v>210</v>
      </c>
      <c r="AG8" s="9">
        <v>210</v>
      </c>
      <c r="AH8" s="9">
        <v>0</v>
      </c>
      <c r="AI8" s="65">
        <v>220</v>
      </c>
      <c r="AJ8" s="9">
        <v>220</v>
      </c>
      <c r="AK8" s="9">
        <v>0</v>
      </c>
      <c r="AL8" s="65">
        <v>235.67</v>
      </c>
      <c r="AM8" s="9">
        <v>235.67</v>
      </c>
      <c r="AN8" s="77">
        <v>0</v>
      </c>
    </row>
    <row r="9" spans="1:40">
      <c r="B9" s="75" t="s">
        <v>17</v>
      </c>
      <c r="C9" s="9">
        <v>150.04499999999999</v>
      </c>
      <c r="D9" s="9">
        <v>150.04499999999999</v>
      </c>
      <c r="E9" s="9">
        <v>0</v>
      </c>
      <c r="F9" s="65">
        <v>178</v>
      </c>
      <c r="G9" s="9">
        <v>178</v>
      </c>
      <c r="H9" s="9">
        <v>0</v>
      </c>
      <c r="I9" s="65">
        <v>195</v>
      </c>
      <c r="J9" s="9">
        <v>195</v>
      </c>
      <c r="K9" s="9">
        <v>0</v>
      </c>
      <c r="L9" s="65">
        <v>210</v>
      </c>
      <c r="M9" s="9">
        <v>210</v>
      </c>
      <c r="N9" s="9">
        <v>0</v>
      </c>
      <c r="O9" s="65">
        <v>220</v>
      </c>
      <c r="P9" s="9">
        <v>220</v>
      </c>
      <c r="Q9" s="9">
        <v>0</v>
      </c>
      <c r="R9" s="65">
        <v>235.67</v>
      </c>
      <c r="S9" s="9">
        <v>235.67</v>
      </c>
      <c r="T9" s="9">
        <v>0</v>
      </c>
      <c r="V9" s="75" t="s">
        <v>17</v>
      </c>
      <c r="W9" s="9">
        <v>150.04499999999999</v>
      </c>
      <c r="X9" s="9">
        <v>150.04499999999999</v>
      </c>
      <c r="Y9" s="9">
        <v>0</v>
      </c>
      <c r="Z9" s="65">
        <v>178</v>
      </c>
      <c r="AA9" s="9">
        <v>178</v>
      </c>
      <c r="AB9" s="9">
        <v>0</v>
      </c>
      <c r="AC9" s="65">
        <v>195</v>
      </c>
      <c r="AD9" s="9">
        <v>195</v>
      </c>
      <c r="AE9" s="9">
        <v>0</v>
      </c>
      <c r="AF9" s="65">
        <v>210</v>
      </c>
      <c r="AG9" s="9">
        <v>210</v>
      </c>
      <c r="AH9" s="9">
        <v>0</v>
      </c>
      <c r="AI9" s="65">
        <v>220</v>
      </c>
      <c r="AJ9" s="9">
        <v>220</v>
      </c>
      <c r="AK9" s="9">
        <v>0</v>
      </c>
      <c r="AL9" s="65">
        <v>235.67</v>
      </c>
      <c r="AM9" s="9">
        <v>235.67</v>
      </c>
      <c r="AN9" s="77">
        <v>0</v>
      </c>
    </row>
    <row r="10" spans="1:40">
      <c r="B10"/>
      <c r="F10"/>
      <c r="I10"/>
      <c r="L10"/>
      <c r="O10"/>
      <c r="R10"/>
      <c r="W10" s="57"/>
      <c r="X10" s="57"/>
    </row>
    <row r="11" spans="1:40">
      <c r="W11" s="57"/>
      <c r="X11" s="57"/>
      <c r="Y11" s="57"/>
      <c r="AA11" s="57"/>
      <c r="AB11" s="57"/>
      <c r="AD11" s="57"/>
      <c r="AE11" s="57"/>
      <c r="AG11" s="57"/>
      <c r="AH11" s="57"/>
      <c r="AJ11" s="57"/>
      <c r="AK11" s="57"/>
      <c r="AM11" s="57"/>
    </row>
    <row r="12" spans="1:40">
      <c r="W12" s="57"/>
      <c r="X12" s="57"/>
      <c r="Y12" s="57"/>
      <c r="AA12" s="57"/>
      <c r="AB12" s="57"/>
      <c r="AD12" s="57"/>
      <c r="AE12" s="57"/>
      <c r="AG12" s="57"/>
      <c r="AH12" s="57"/>
      <c r="AJ12" s="57"/>
      <c r="AK12" s="57"/>
      <c r="AM12" s="57"/>
    </row>
    <row r="13" spans="1:40">
      <c r="W13" s="57"/>
      <c r="X13" s="57"/>
      <c r="Y13" s="57"/>
      <c r="AA13" s="57"/>
      <c r="AB13" s="57"/>
      <c r="AD13" s="57"/>
      <c r="AE13" s="57"/>
      <c r="AG13" s="57"/>
      <c r="AH13" s="57"/>
      <c r="AJ13" s="57"/>
      <c r="AK13" s="57"/>
      <c r="AM13" s="57"/>
    </row>
    <row r="14" spans="1:40">
      <c r="W14" s="57"/>
      <c r="X14" s="57"/>
      <c r="Y14" s="57"/>
      <c r="AA14" s="57"/>
      <c r="AB14" s="57"/>
      <c r="AD14" s="57"/>
      <c r="AE14" s="57"/>
      <c r="AG14" s="57"/>
      <c r="AH14" s="57"/>
      <c r="AJ14" s="57"/>
      <c r="AK14" s="57"/>
      <c r="AM14" s="57"/>
    </row>
    <row r="15" spans="1:40">
      <c r="W15" s="57"/>
      <c r="X15" s="57"/>
      <c r="Y15" s="57"/>
      <c r="AA15" s="57"/>
      <c r="AB15" s="57"/>
      <c r="AD15" s="57"/>
      <c r="AE15" s="57"/>
      <c r="AG15" s="57"/>
      <c r="AH15" s="57"/>
      <c r="AJ15" s="57"/>
      <c r="AK15" s="57"/>
      <c r="AM15" s="57"/>
    </row>
    <row r="16" spans="1:40">
      <c r="W16" s="57"/>
      <c r="X16" s="57"/>
      <c r="Y16" s="57"/>
      <c r="AA16" s="57"/>
      <c r="AB16" s="57"/>
      <c r="AD16" s="57"/>
      <c r="AE16" s="57"/>
      <c r="AG16" s="57"/>
      <c r="AH16" s="57"/>
      <c r="AJ16" s="57"/>
      <c r="AK16" s="57"/>
      <c r="AM16" s="57"/>
    </row>
    <row r="17" spans="23:39">
      <c r="W17" s="57"/>
      <c r="X17" s="57"/>
      <c r="Y17" s="57"/>
      <c r="AA17" s="57"/>
      <c r="AB17" s="57"/>
      <c r="AD17" s="57"/>
      <c r="AE17" s="57"/>
      <c r="AG17" s="57"/>
      <c r="AH17" s="57"/>
      <c r="AJ17" s="57"/>
      <c r="AK17" s="57"/>
      <c r="AM17" s="57"/>
    </row>
    <row r="18" spans="23:39">
      <c r="W18" s="57"/>
      <c r="X18" s="57"/>
      <c r="Y18" s="57"/>
      <c r="AA18" s="57"/>
      <c r="AB18" s="57"/>
      <c r="AD18" s="57"/>
      <c r="AE18" s="57"/>
      <c r="AG18" s="57"/>
      <c r="AH18" s="57"/>
      <c r="AJ18" s="57"/>
      <c r="AK18" s="57"/>
      <c r="AM18" s="57"/>
    </row>
    <row r="19" spans="23:39">
      <c r="W19" s="57"/>
      <c r="X19" s="57"/>
      <c r="Y19" s="57"/>
      <c r="AA19" s="57"/>
      <c r="AB19" s="57"/>
      <c r="AD19" s="57"/>
      <c r="AE19" s="57"/>
      <c r="AG19" s="57"/>
      <c r="AH19" s="57"/>
      <c r="AJ19" s="57"/>
      <c r="AK19" s="57"/>
      <c r="AM19" s="57"/>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2" customWidth="1"/>
    <col min="2" max="2" width="17.21875" style="73" customWidth="1"/>
    <col min="3" max="3" width="21.3320312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1.3320312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9" t="s">
        <v>399</v>
      </c>
      <c r="C1" s="210"/>
      <c r="D1" s="210"/>
      <c r="E1" s="210"/>
      <c r="F1" s="210"/>
      <c r="G1" s="210"/>
      <c r="H1" s="210"/>
      <c r="I1" s="210"/>
      <c r="J1" s="210"/>
      <c r="K1" s="210"/>
      <c r="L1" s="210"/>
      <c r="M1" s="210"/>
      <c r="N1" s="210"/>
      <c r="O1" s="210"/>
      <c r="P1" s="210"/>
      <c r="Q1" s="210"/>
      <c r="R1" s="210"/>
      <c r="S1" s="210"/>
      <c r="T1" s="210"/>
      <c r="V1" s="219" t="s">
        <v>400</v>
      </c>
      <c r="W1" s="210"/>
      <c r="X1" s="210"/>
      <c r="Y1" s="210"/>
      <c r="Z1" s="210"/>
      <c r="AA1" s="210"/>
      <c r="AB1" s="210"/>
      <c r="AC1" s="210"/>
      <c r="AD1" s="210"/>
      <c r="AE1" s="210"/>
      <c r="AF1" s="210"/>
      <c r="AG1" s="210"/>
      <c r="AH1" s="210"/>
      <c r="AI1" s="210"/>
      <c r="AJ1" s="210"/>
      <c r="AK1" s="210"/>
      <c r="AL1" s="210"/>
      <c r="AM1" s="210"/>
      <c r="AN1" s="210"/>
    </row>
    <row r="2" spans="1:40">
      <c r="A2" s="68"/>
      <c r="B2" s="219"/>
      <c r="C2" s="210"/>
      <c r="D2" s="210"/>
      <c r="E2" s="210"/>
      <c r="F2" s="210"/>
      <c r="G2" s="210"/>
      <c r="H2" s="210"/>
      <c r="I2" s="210"/>
      <c r="J2" s="210"/>
      <c r="K2" s="210"/>
      <c r="L2" s="210"/>
      <c r="M2" s="210"/>
      <c r="N2" s="210"/>
      <c r="O2" s="210"/>
      <c r="P2" s="210"/>
      <c r="Q2" s="210"/>
      <c r="R2" s="210"/>
      <c r="S2" s="210"/>
      <c r="T2" s="210"/>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351</v>
      </c>
      <c r="D5" s="30"/>
      <c r="E5" s="30"/>
      <c r="F5" s="30"/>
      <c r="G5" s="30"/>
      <c r="H5" s="30"/>
      <c r="I5" s="30"/>
      <c r="J5" s="30"/>
      <c r="K5" s="30"/>
      <c r="L5" s="30"/>
      <c r="M5" s="30"/>
      <c r="N5" s="30"/>
      <c r="O5" s="30"/>
      <c r="P5" s="30"/>
      <c r="Q5" s="30"/>
      <c r="R5" s="30"/>
      <c r="S5" s="30"/>
      <c r="T5" s="30"/>
      <c r="V5" s="166" t="s">
        <v>3</v>
      </c>
      <c r="W5" s="167" t="s">
        <v>351</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725</v>
      </c>
      <c r="C7" s="32" t="s">
        <v>511</v>
      </c>
      <c r="D7" s="167" t="s">
        <v>383</v>
      </c>
      <c r="E7" s="167" t="s">
        <v>384</v>
      </c>
      <c r="F7" s="66" t="s">
        <v>382</v>
      </c>
      <c r="G7" s="67" t="s">
        <v>385</v>
      </c>
      <c r="H7" s="67" t="s">
        <v>386</v>
      </c>
      <c r="I7" s="64" t="s">
        <v>387</v>
      </c>
      <c r="J7" s="167" t="s">
        <v>388</v>
      </c>
      <c r="K7" s="167" t="s">
        <v>389</v>
      </c>
      <c r="L7" s="66" t="s">
        <v>390</v>
      </c>
      <c r="M7" s="67" t="s">
        <v>391</v>
      </c>
      <c r="N7" s="67" t="s">
        <v>392</v>
      </c>
      <c r="O7" s="64" t="s">
        <v>393</v>
      </c>
      <c r="P7" s="167" t="s">
        <v>394</v>
      </c>
      <c r="Q7" s="167" t="s">
        <v>395</v>
      </c>
      <c r="R7" s="66" t="s">
        <v>396</v>
      </c>
      <c r="S7" s="67" t="s">
        <v>397</v>
      </c>
      <c r="T7" s="67" t="s">
        <v>398</v>
      </c>
      <c r="V7" s="74" t="s">
        <v>288</v>
      </c>
      <c r="W7" s="32" t="s">
        <v>511</v>
      </c>
      <c r="X7" s="167" t="s">
        <v>383</v>
      </c>
      <c r="Y7" s="167" t="s">
        <v>384</v>
      </c>
      <c r="Z7" s="66" t="s">
        <v>382</v>
      </c>
      <c r="AA7" s="67" t="s">
        <v>385</v>
      </c>
      <c r="AB7" s="67" t="s">
        <v>386</v>
      </c>
      <c r="AC7" s="64" t="s">
        <v>387</v>
      </c>
      <c r="AD7" s="167" t="s">
        <v>388</v>
      </c>
      <c r="AE7" s="167" t="s">
        <v>389</v>
      </c>
      <c r="AF7" s="66" t="s">
        <v>390</v>
      </c>
      <c r="AG7" s="67" t="s">
        <v>391</v>
      </c>
      <c r="AH7" s="67" t="s">
        <v>392</v>
      </c>
      <c r="AI7" s="64" t="s">
        <v>393</v>
      </c>
      <c r="AJ7" s="167" t="s">
        <v>394</v>
      </c>
      <c r="AK7" s="167" t="s">
        <v>395</v>
      </c>
      <c r="AL7" s="66" t="s">
        <v>396</v>
      </c>
      <c r="AM7" s="67" t="s">
        <v>397</v>
      </c>
      <c r="AN7" s="76" t="s">
        <v>398</v>
      </c>
    </row>
    <row r="8" spans="1:40">
      <c r="A8" s="71" t="e">
        <f>INDEX('DDL Tables'!$F:$F,MATCH(SUBSTITUTE(B8," (index)", ""),'DDL Tables'!$C:$C,0))</f>
        <v>#N/A</v>
      </c>
      <c r="B8" s="4" t="s">
        <v>47</v>
      </c>
      <c r="C8" s="5">
        <v>1</v>
      </c>
      <c r="D8" s="5">
        <v>1</v>
      </c>
      <c r="E8" s="5">
        <v>0</v>
      </c>
      <c r="F8" s="78">
        <v>3</v>
      </c>
      <c r="G8" s="5">
        <v>3</v>
      </c>
      <c r="H8" s="5">
        <v>0</v>
      </c>
      <c r="I8" s="78">
        <v>10</v>
      </c>
      <c r="J8" s="5">
        <v>10</v>
      </c>
      <c r="K8" s="5">
        <v>0</v>
      </c>
      <c r="L8" s="78">
        <v>20</v>
      </c>
      <c r="M8" s="5">
        <v>20</v>
      </c>
      <c r="N8" s="5">
        <v>0</v>
      </c>
      <c r="O8" s="78">
        <v>29</v>
      </c>
      <c r="P8" s="5">
        <v>29</v>
      </c>
      <c r="Q8" s="5">
        <v>0</v>
      </c>
      <c r="R8" s="78">
        <v>35</v>
      </c>
      <c r="S8" s="5">
        <v>35</v>
      </c>
      <c r="T8" s="5">
        <v>0</v>
      </c>
      <c r="V8" s="4" t="s">
        <v>48</v>
      </c>
      <c r="W8" s="5">
        <v>1</v>
      </c>
      <c r="X8" s="5">
        <v>1</v>
      </c>
      <c r="Y8" s="5">
        <v>0</v>
      </c>
      <c r="Z8" s="78">
        <v>3</v>
      </c>
      <c r="AA8" s="5">
        <v>3</v>
      </c>
      <c r="AB8" s="5">
        <v>0</v>
      </c>
      <c r="AC8" s="78">
        <v>10</v>
      </c>
      <c r="AD8" s="5">
        <v>10</v>
      </c>
      <c r="AE8" s="5">
        <v>0</v>
      </c>
      <c r="AF8" s="78">
        <v>20</v>
      </c>
      <c r="AG8" s="5">
        <v>20</v>
      </c>
      <c r="AH8" s="5">
        <v>0</v>
      </c>
      <c r="AI8" s="78">
        <v>29</v>
      </c>
      <c r="AJ8" s="5">
        <v>29</v>
      </c>
      <c r="AK8" s="5">
        <v>0</v>
      </c>
      <c r="AL8" s="78">
        <v>35</v>
      </c>
      <c r="AM8" s="5">
        <v>35</v>
      </c>
      <c r="AN8" s="79">
        <v>0</v>
      </c>
    </row>
    <row r="9" spans="1:40">
      <c r="B9" s="75" t="s">
        <v>17</v>
      </c>
      <c r="C9" s="5">
        <v>1</v>
      </c>
      <c r="D9" s="5">
        <v>1</v>
      </c>
      <c r="E9" s="5">
        <v>0</v>
      </c>
      <c r="F9" s="78">
        <v>3</v>
      </c>
      <c r="G9" s="5">
        <v>3</v>
      </c>
      <c r="H9" s="5">
        <v>0</v>
      </c>
      <c r="I9" s="78">
        <v>10</v>
      </c>
      <c r="J9" s="5">
        <v>10</v>
      </c>
      <c r="K9" s="5">
        <v>0</v>
      </c>
      <c r="L9" s="78">
        <v>20</v>
      </c>
      <c r="M9" s="5">
        <v>20</v>
      </c>
      <c r="N9" s="5">
        <v>0</v>
      </c>
      <c r="O9" s="78">
        <v>29</v>
      </c>
      <c r="P9" s="5">
        <v>29</v>
      </c>
      <c r="Q9" s="5">
        <v>0</v>
      </c>
      <c r="R9" s="78">
        <v>35</v>
      </c>
      <c r="S9" s="5">
        <v>35</v>
      </c>
      <c r="T9" s="5">
        <v>0</v>
      </c>
      <c r="V9" s="75" t="s">
        <v>17</v>
      </c>
      <c r="W9" s="5">
        <v>1</v>
      </c>
      <c r="X9" s="5">
        <v>1</v>
      </c>
      <c r="Y9" s="5">
        <v>0</v>
      </c>
      <c r="Z9" s="78">
        <v>3</v>
      </c>
      <c r="AA9" s="5">
        <v>3</v>
      </c>
      <c r="AB9" s="5">
        <v>0</v>
      </c>
      <c r="AC9" s="78">
        <v>10</v>
      </c>
      <c r="AD9" s="5">
        <v>10</v>
      </c>
      <c r="AE9" s="5">
        <v>0</v>
      </c>
      <c r="AF9" s="78">
        <v>20</v>
      </c>
      <c r="AG9" s="5">
        <v>20</v>
      </c>
      <c r="AH9" s="5">
        <v>0</v>
      </c>
      <c r="AI9" s="78">
        <v>29</v>
      </c>
      <c r="AJ9" s="5">
        <v>29</v>
      </c>
      <c r="AK9" s="5">
        <v>0</v>
      </c>
      <c r="AL9" s="78">
        <v>35</v>
      </c>
      <c r="AM9" s="5">
        <v>35</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2" customWidth="1"/>
    <col min="2" max="2" width="16.77734375" style="73" customWidth="1"/>
    <col min="3" max="3" width="20.777343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9.109375" style="57" customWidth="1"/>
    <col min="20" max="20" width="11.109375" style="57" customWidth="1"/>
    <col min="21" max="21" width="9.109375" style="30"/>
    <col min="22" max="22" width="12.5546875" style="72" customWidth="1"/>
    <col min="23" max="23" width="20.777343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9.109375" style="57" customWidth="1"/>
    <col min="40" max="40" width="11.109375" style="72" customWidth="1"/>
    <col min="41" max="16384" width="9.109375" style="57"/>
  </cols>
  <sheetData>
    <row r="1" spans="1:40">
      <c r="A1" s="68"/>
      <c r="B1" s="219" t="s">
        <v>399</v>
      </c>
      <c r="C1" s="210"/>
      <c r="D1" s="210"/>
      <c r="E1" s="210"/>
      <c r="F1" s="210"/>
      <c r="G1" s="210"/>
      <c r="H1" s="210"/>
      <c r="I1" s="210"/>
      <c r="J1" s="210"/>
      <c r="K1" s="210"/>
      <c r="L1" s="210"/>
      <c r="M1" s="210"/>
      <c r="N1" s="210"/>
      <c r="O1" s="210"/>
      <c r="P1" s="210"/>
      <c r="Q1" s="210"/>
      <c r="R1" s="210"/>
      <c r="S1" s="210"/>
      <c r="T1" s="210"/>
      <c r="V1" s="219" t="s">
        <v>400</v>
      </c>
      <c r="W1" s="210"/>
      <c r="X1" s="210"/>
      <c r="Y1" s="210"/>
      <c r="Z1" s="210"/>
      <c r="AA1" s="210"/>
      <c r="AB1" s="210"/>
      <c r="AC1" s="210"/>
      <c r="AD1" s="210"/>
      <c r="AE1" s="210"/>
      <c r="AF1" s="210"/>
      <c r="AG1" s="210"/>
      <c r="AH1" s="210"/>
      <c r="AI1" s="210"/>
      <c r="AJ1" s="210"/>
      <c r="AK1" s="210"/>
      <c r="AL1" s="210"/>
      <c r="AM1" s="210"/>
      <c r="AN1" s="210"/>
    </row>
    <row r="2" spans="1:40">
      <c r="A2" s="68"/>
      <c r="B2" s="219"/>
      <c r="C2" s="210"/>
      <c r="D2" s="210"/>
      <c r="E2" s="210"/>
      <c r="F2" s="210"/>
      <c r="G2" s="210"/>
      <c r="H2" s="210"/>
      <c r="I2" s="210"/>
      <c r="J2" s="210"/>
      <c r="K2" s="210"/>
      <c r="L2" s="210"/>
      <c r="M2" s="210"/>
      <c r="N2" s="210"/>
      <c r="O2" s="210"/>
      <c r="P2" s="210"/>
      <c r="Q2" s="210"/>
      <c r="R2" s="210"/>
      <c r="S2" s="210"/>
      <c r="T2" s="210"/>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352</v>
      </c>
      <c r="D5" s="30"/>
      <c r="E5" s="30"/>
      <c r="F5" s="30"/>
      <c r="G5" s="30"/>
      <c r="H5" s="30"/>
      <c r="I5" s="30"/>
      <c r="J5" s="30"/>
      <c r="K5" s="30"/>
      <c r="L5" s="30"/>
      <c r="M5" s="30"/>
      <c r="N5" s="30"/>
      <c r="O5" s="30"/>
      <c r="P5" s="30"/>
      <c r="Q5" s="30"/>
      <c r="R5" s="30"/>
      <c r="S5" s="30"/>
      <c r="T5" s="30"/>
      <c r="V5" s="166" t="s">
        <v>3</v>
      </c>
      <c r="W5" s="167" t="s">
        <v>352</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ht="28.8">
      <c r="A7" s="70" t="s">
        <v>93</v>
      </c>
      <c r="B7" s="76" t="s">
        <v>725</v>
      </c>
      <c r="C7" s="32" t="s">
        <v>512</v>
      </c>
      <c r="D7" s="167" t="s">
        <v>383</v>
      </c>
      <c r="E7" s="167" t="s">
        <v>384</v>
      </c>
      <c r="F7" s="66" t="s">
        <v>382</v>
      </c>
      <c r="G7" s="67" t="s">
        <v>385</v>
      </c>
      <c r="H7" s="67" t="s">
        <v>386</v>
      </c>
      <c r="I7" s="64" t="s">
        <v>387</v>
      </c>
      <c r="J7" s="167" t="s">
        <v>388</v>
      </c>
      <c r="K7" s="167" t="s">
        <v>389</v>
      </c>
      <c r="L7" s="66" t="s">
        <v>390</v>
      </c>
      <c r="M7" s="67" t="s">
        <v>391</v>
      </c>
      <c r="N7" s="67" t="s">
        <v>392</v>
      </c>
      <c r="O7" s="64" t="s">
        <v>393</v>
      </c>
      <c r="P7" s="167" t="s">
        <v>394</v>
      </c>
      <c r="Q7" s="167" t="s">
        <v>395</v>
      </c>
      <c r="R7" s="66" t="s">
        <v>396</v>
      </c>
      <c r="S7" s="67" t="s">
        <v>397</v>
      </c>
      <c r="T7" s="67" t="s">
        <v>398</v>
      </c>
      <c r="V7" s="74" t="s">
        <v>288</v>
      </c>
      <c r="W7" s="32" t="s">
        <v>512</v>
      </c>
      <c r="X7" s="167" t="s">
        <v>383</v>
      </c>
      <c r="Y7" s="167" t="s">
        <v>384</v>
      </c>
      <c r="Z7" s="66" t="s">
        <v>382</v>
      </c>
      <c r="AA7" s="67" t="s">
        <v>385</v>
      </c>
      <c r="AB7" s="67" t="s">
        <v>386</v>
      </c>
      <c r="AC7" s="64" t="s">
        <v>387</v>
      </c>
      <c r="AD7" s="167" t="s">
        <v>388</v>
      </c>
      <c r="AE7" s="167" t="s">
        <v>389</v>
      </c>
      <c r="AF7" s="66" t="s">
        <v>390</v>
      </c>
      <c r="AG7" s="67" t="s">
        <v>391</v>
      </c>
      <c r="AH7" s="67" t="s">
        <v>392</v>
      </c>
      <c r="AI7" s="64" t="s">
        <v>393</v>
      </c>
      <c r="AJ7" s="167" t="s">
        <v>394</v>
      </c>
      <c r="AK7" s="167" t="s">
        <v>395</v>
      </c>
      <c r="AL7" s="66" t="s">
        <v>396</v>
      </c>
      <c r="AM7" s="67" t="s">
        <v>397</v>
      </c>
      <c r="AN7" s="76" t="s">
        <v>398</v>
      </c>
    </row>
    <row r="8" spans="1:40">
      <c r="A8" s="71" t="e">
        <f>INDEX('DDL Tables'!$F:$F,MATCH(SUBSTITUTE(B8," (index)", ""),'DDL Tables'!$C:$C,0))</f>
        <v>#N/A</v>
      </c>
      <c r="B8" s="4" t="s">
        <v>47</v>
      </c>
      <c r="C8" s="9">
        <v>0.17899999999999999</v>
      </c>
      <c r="D8" s="9">
        <v>0.17899999999999999</v>
      </c>
      <c r="E8" s="9">
        <v>0</v>
      </c>
      <c r="F8" s="65">
        <v>0.44600000000000001</v>
      </c>
      <c r="G8" s="9">
        <v>0.44600000000000001</v>
      </c>
      <c r="H8" s="9">
        <v>0</v>
      </c>
      <c r="I8" s="65">
        <v>1.109</v>
      </c>
      <c r="J8" s="9">
        <v>1.109</v>
      </c>
      <c r="K8" s="9">
        <v>0</v>
      </c>
      <c r="L8" s="65">
        <v>1.597</v>
      </c>
      <c r="M8" s="9">
        <v>1.597</v>
      </c>
      <c r="N8" s="9">
        <v>0</v>
      </c>
      <c r="O8" s="65">
        <v>2.2989999999999999</v>
      </c>
      <c r="P8" s="9">
        <v>2.2989999999999999</v>
      </c>
      <c r="Q8" s="9">
        <v>0</v>
      </c>
      <c r="R8" s="65">
        <v>4055.2689999999998</v>
      </c>
      <c r="S8" s="9">
        <v>4055.2689999999998</v>
      </c>
      <c r="T8" s="9">
        <v>0</v>
      </c>
      <c r="V8" s="4" t="s">
        <v>48</v>
      </c>
      <c r="W8" s="9">
        <v>0.17899999999999999</v>
      </c>
      <c r="X8" s="9">
        <v>0.17899999999999999</v>
      </c>
      <c r="Y8" s="9">
        <v>0</v>
      </c>
      <c r="Z8" s="65">
        <v>0.44600000000000001</v>
      </c>
      <c r="AA8" s="9">
        <v>0.44600000000000001</v>
      </c>
      <c r="AB8" s="9">
        <v>0</v>
      </c>
      <c r="AC8" s="65">
        <v>1.109</v>
      </c>
      <c r="AD8" s="9">
        <v>1.109</v>
      </c>
      <c r="AE8" s="9">
        <v>0</v>
      </c>
      <c r="AF8" s="65">
        <v>1.597</v>
      </c>
      <c r="AG8" s="9">
        <v>1.597</v>
      </c>
      <c r="AH8" s="9">
        <v>0</v>
      </c>
      <c r="AI8" s="65">
        <v>2.2989999999999999</v>
      </c>
      <c r="AJ8" s="9">
        <v>2.2989999999999999</v>
      </c>
      <c r="AK8" s="9">
        <v>0</v>
      </c>
      <c r="AL8" s="65">
        <v>4055.2689999999998</v>
      </c>
      <c r="AM8" s="9">
        <v>4055.2689999999998</v>
      </c>
      <c r="AN8" s="77">
        <v>0</v>
      </c>
    </row>
    <row r="9" spans="1:40">
      <c r="B9" s="75" t="s">
        <v>17</v>
      </c>
      <c r="C9" s="9">
        <v>0.17899999999999999</v>
      </c>
      <c r="D9" s="9">
        <v>0.17899999999999999</v>
      </c>
      <c r="E9" s="9">
        <v>0</v>
      </c>
      <c r="F9" s="65">
        <v>0.44600000000000001</v>
      </c>
      <c r="G9" s="9">
        <v>0.44600000000000001</v>
      </c>
      <c r="H9" s="9">
        <v>0</v>
      </c>
      <c r="I9" s="65">
        <v>1.109</v>
      </c>
      <c r="J9" s="9">
        <v>1.109</v>
      </c>
      <c r="K9" s="9">
        <v>0</v>
      </c>
      <c r="L9" s="65">
        <v>1.597</v>
      </c>
      <c r="M9" s="9">
        <v>1.597</v>
      </c>
      <c r="N9" s="9">
        <v>0</v>
      </c>
      <c r="O9" s="65">
        <v>2.2989999999999999</v>
      </c>
      <c r="P9" s="9">
        <v>2.2989999999999999</v>
      </c>
      <c r="Q9" s="9">
        <v>0</v>
      </c>
      <c r="R9" s="65">
        <v>4055.2689999999998</v>
      </c>
      <c r="S9" s="9">
        <v>4055.2689999999998</v>
      </c>
      <c r="T9" s="9">
        <v>0</v>
      </c>
      <c r="V9" s="75" t="s">
        <v>17</v>
      </c>
      <c r="W9" s="9">
        <v>0.17899999999999999</v>
      </c>
      <c r="X9" s="9">
        <v>0.17899999999999999</v>
      </c>
      <c r="Y9" s="9">
        <v>0</v>
      </c>
      <c r="Z9" s="65">
        <v>0.44600000000000001</v>
      </c>
      <c r="AA9" s="9">
        <v>0.44600000000000001</v>
      </c>
      <c r="AB9" s="9">
        <v>0</v>
      </c>
      <c r="AC9" s="65">
        <v>1.109</v>
      </c>
      <c r="AD9" s="9">
        <v>1.109</v>
      </c>
      <c r="AE9" s="9">
        <v>0</v>
      </c>
      <c r="AF9" s="65">
        <v>1.597</v>
      </c>
      <c r="AG9" s="9">
        <v>1.597</v>
      </c>
      <c r="AH9" s="9">
        <v>0</v>
      </c>
      <c r="AI9" s="65">
        <v>2.2989999999999999</v>
      </c>
      <c r="AJ9" s="9">
        <v>2.2989999999999999</v>
      </c>
      <c r="AK9" s="9">
        <v>0</v>
      </c>
      <c r="AL9" s="65">
        <v>4055.2689999999998</v>
      </c>
      <c r="AM9" s="9">
        <v>4055.2689999999998</v>
      </c>
      <c r="AN9" s="77">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2" customWidth="1"/>
    <col min="2" max="2" width="16.88671875" style="73" customWidth="1"/>
    <col min="3" max="3" width="18.55468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8.33203125" style="57" customWidth="1"/>
    <col min="20" max="20" width="11.109375" style="57" customWidth="1"/>
    <col min="21" max="21" width="9.109375" style="30"/>
    <col min="22" max="22" width="12.5546875" style="72" customWidth="1"/>
    <col min="23" max="23" width="18.55468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8.33203125" style="57" customWidth="1"/>
    <col min="40" max="40" width="11.109375" style="72" customWidth="1"/>
    <col min="41" max="16384" width="9.109375" style="57"/>
  </cols>
  <sheetData>
    <row r="1" spans="1:40">
      <c r="A1" s="68"/>
      <c r="B1" s="219" t="s">
        <v>399</v>
      </c>
      <c r="C1" s="210"/>
      <c r="D1" s="210"/>
      <c r="E1" s="210"/>
      <c r="F1" s="210"/>
      <c r="G1" s="210"/>
      <c r="H1" s="210"/>
      <c r="I1" s="210"/>
      <c r="J1" s="210"/>
      <c r="K1" s="210"/>
      <c r="L1" s="210"/>
      <c r="M1" s="210"/>
      <c r="N1" s="210"/>
      <c r="O1" s="210"/>
      <c r="P1" s="210"/>
      <c r="Q1" s="210"/>
      <c r="R1" s="210"/>
      <c r="S1" s="210"/>
      <c r="T1" s="210"/>
      <c r="V1" s="219" t="s">
        <v>400</v>
      </c>
      <c r="W1" s="210"/>
      <c r="X1" s="210"/>
      <c r="Y1" s="210"/>
      <c r="Z1" s="210"/>
      <c r="AA1" s="210"/>
      <c r="AB1" s="210"/>
      <c r="AC1" s="210"/>
      <c r="AD1" s="210"/>
      <c r="AE1" s="210"/>
      <c r="AF1" s="210"/>
      <c r="AG1" s="210"/>
      <c r="AH1" s="210"/>
      <c r="AI1" s="210"/>
      <c r="AJ1" s="210"/>
      <c r="AK1" s="210"/>
      <c r="AL1" s="210"/>
      <c r="AM1" s="210"/>
      <c r="AN1" s="210"/>
    </row>
    <row r="2" spans="1:40">
      <c r="A2" s="68"/>
      <c r="B2" s="219"/>
      <c r="C2" s="210"/>
      <c r="D2" s="210"/>
      <c r="E2" s="210"/>
      <c r="F2" s="210"/>
      <c r="G2" s="210"/>
      <c r="H2" s="210"/>
      <c r="I2" s="210"/>
      <c r="J2" s="210"/>
      <c r="K2" s="210"/>
      <c r="L2" s="210"/>
      <c r="M2" s="210"/>
      <c r="N2" s="210"/>
      <c r="O2" s="210"/>
      <c r="P2" s="210"/>
      <c r="Q2" s="210"/>
      <c r="R2" s="210"/>
      <c r="S2" s="210"/>
      <c r="T2" s="210"/>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355</v>
      </c>
      <c r="D5" s="30"/>
      <c r="E5" s="30"/>
      <c r="F5" s="30"/>
      <c r="G5" s="30"/>
      <c r="H5" s="30"/>
      <c r="I5" s="30"/>
      <c r="J5" s="30"/>
      <c r="K5" s="30"/>
      <c r="L5" s="30"/>
      <c r="M5" s="30"/>
      <c r="N5" s="30"/>
      <c r="O5" s="30"/>
      <c r="P5" s="30"/>
      <c r="Q5" s="30"/>
      <c r="R5" s="30"/>
      <c r="S5" s="30"/>
      <c r="T5" s="30"/>
      <c r="V5" s="166" t="s">
        <v>3</v>
      </c>
      <c r="W5" s="167" t="s">
        <v>355</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725</v>
      </c>
      <c r="C7" s="32" t="s">
        <v>513</v>
      </c>
      <c r="D7" s="167" t="s">
        <v>383</v>
      </c>
      <c r="E7" s="167" t="s">
        <v>384</v>
      </c>
      <c r="F7" s="66" t="s">
        <v>382</v>
      </c>
      <c r="G7" s="67" t="s">
        <v>385</v>
      </c>
      <c r="H7" s="67" t="s">
        <v>386</v>
      </c>
      <c r="I7" s="64" t="s">
        <v>387</v>
      </c>
      <c r="J7" s="167" t="s">
        <v>388</v>
      </c>
      <c r="K7" s="167" t="s">
        <v>389</v>
      </c>
      <c r="L7" s="66" t="s">
        <v>390</v>
      </c>
      <c r="M7" s="67" t="s">
        <v>391</v>
      </c>
      <c r="N7" s="67" t="s">
        <v>392</v>
      </c>
      <c r="O7" s="64" t="s">
        <v>393</v>
      </c>
      <c r="P7" s="167" t="s">
        <v>394</v>
      </c>
      <c r="Q7" s="167" t="s">
        <v>395</v>
      </c>
      <c r="R7" s="66" t="s">
        <v>396</v>
      </c>
      <c r="S7" s="67" t="s">
        <v>397</v>
      </c>
      <c r="T7" s="67" t="s">
        <v>398</v>
      </c>
      <c r="V7" s="74" t="s">
        <v>288</v>
      </c>
      <c r="W7" s="32" t="s">
        <v>513</v>
      </c>
      <c r="X7" s="167" t="s">
        <v>383</v>
      </c>
      <c r="Y7" s="167" t="s">
        <v>384</v>
      </c>
      <c r="Z7" s="66" t="s">
        <v>382</v>
      </c>
      <c r="AA7" s="67" t="s">
        <v>385</v>
      </c>
      <c r="AB7" s="67" t="s">
        <v>386</v>
      </c>
      <c r="AC7" s="64" t="s">
        <v>387</v>
      </c>
      <c r="AD7" s="167" t="s">
        <v>388</v>
      </c>
      <c r="AE7" s="167" t="s">
        <v>389</v>
      </c>
      <c r="AF7" s="66" t="s">
        <v>390</v>
      </c>
      <c r="AG7" s="67" t="s">
        <v>391</v>
      </c>
      <c r="AH7" s="67" t="s">
        <v>392</v>
      </c>
      <c r="AI7" s="64" t="s">
        <v>393</v>
      </c>
      <c r="AJ7" s="167" t="s">
        <v>394</v>
      </c>
      <c r="AK7" s="167" t="s">
        <v>395</v>
      </c>
      <c r="AL7" s="66" t="s">
        <v>396</v>
      </c>
      <c r="AM7" s="67" t="s">
        <v>397</v>
      </c>
      <c r="AN7" s="76" t="s">
        <v>398</v>
      </c>
    </row>
    <row r="8" spans="1:40">
      <c r="A8" s="71" t="e">
        <f>INDEX('DDL Tables'!$F:$F,MATCH(SUBSTITUTE(B8," (index)", ""),'DDL Tables'!$C:$C,0))</f>
        <v>#N/A</v>
      </c>
      <c r="B8" s="4" t="s">
        <v>47</v>
      </c>
      <c r="C8" s="5">
        <v>1597</v>
      </c>
      <c r="D8" s="5">
        <v>1597</v>
      </c>
      <c r="E8" s="5">
        <v>0</v>
      </c>
      <c r="F8" s="78">
        <v>2299</v>
      </c>
      <c r="G8" s="5">
        <v>2299</v>
      </c>
      <c r="H8" s="5">
        <v>0</v>
      </c>
      <c r="I8" s="78">
        <v>3311</v>
      </c>
      <c r="J8" s="5">
        <v>3311</v>
      </c>
      <c r="K8" s="5">
        <v>0</v>
      </c>
      <c r="L8" s="78">
        <v>5722</v>
      </c>
      <c r="M8" s="5">
        <v>5722</v>
      </c>
      <c r="N8" s="5">
        <v>0</v>
      </c>
      <c r="O8" s="78">
        <v>6866</v>
      </c>
      <c r="P8" s="5">
        <v>6866</v>
      </c>
      <c r="Q8" s="5">
        <v>0</v>
      </c>
      <c r="R8" s="78">
        <v>29521</v>
      </c>
      <c r="S8" s="5">
        <v>29521</v>
      </c>
      <c r="T8" s="5">
        <v>0</v>
      </c>
      <c r="V8" s="4" t="s">
        <v>48</v>
      </c>
      <c r="W8" s="5">
        <v>1597</v>
      </c>
      <c r="X8" s="5">
        <v>1597</v>
      </c>
      <c r="Y8" s="5">
        <v>0</v>
      </c>
      <c r="Z8" s="78">
        <v>2299</v>
      </c>
      <c r="AA8" s="5">
        <v>2299</v>
      </c>
      <c r="AB8" s="5">
        <v>0</v>
      </c>
      <c r="AC8" s="78">
        <v>3311</v>
      </c>
      <c r="AD8" s="5">
        <v>3311</v>
      </c>
      <c r="AE8" s="5">
        <v>0</v>
      </c>
      <c r="AF8" s="78">
        <v>5722</v>
      </c>
      <c r="AG8" s="5">
        <v>5722</v>
      </c>
      <c r="AH8" s="5">
        <v>0</v>
      </c>
      <c r="AI8" s="78">
        <v>6866</v>
      </c>
      <c r="AJ8" s="5">
        <v>6866</v>
      </c>
      <c r="AK8" s="5">
        <v>0</v>
      </c>
      <c r="AL8" s="78">
        <v>29521</v>
      </c>
      <c r="AM8" s="5">
        <v>29521</v>
      </c>
      <c r="AN8" s="79">
        <v>0</v>
      </c>
    </row>
    <row r="9" spans="1:40">
      <c r="B9" s="75" t="s">
        <v>17</v>
      </c>
      <c r="C9" s="5">
        <v>1597</v>
      </c>
      <c r="D9" s="5">
        <v>1597</v>
      </c>
      <c r="E9" s="5">
        <v>0</v>
      </c>
      <c r="F9" s="78">
        <v>2299</v>
      </c>
      <c r="G9" s="5">
        <v>2299</v>
      </c>
      <c r="H9" s="5">
        <v>0</v>
      </c>
      <c r="I9" s="78">
        <v>3311</v>
      </c>
      <c r="J9" s="5">
        <v>3311</v>
      </c>
      <c r="K9" s="5">
        <v>0</v>
      </c>
      <c r="L9" s="78">
        <v>5722</v>
      </c>
      <c r="M9" s="5">
        <v>5722</v>
      </c>
      <c r="N9" s="5">
        <v>0</v>
      </c>
      <c r="O9" s="78">
        <v>6866</v>
      </c>
      <c r="P9" s="5">
        <v>6866</v>
      </c>
      <c r="Q9" s="5">
        <v>0</v>
      </c>
      <c r="R9" s="78">
        <v>29521</v>
      </c>
      <c r="S9" s="5">
        <v>29521</v>
      </c>
      <c r="T9" s="5">
        <v>0</v>
      </c>
      <c r="V9" s="75" t="s">
        <v>17</v>
      </c>
      <c r="W9" s="5">
        <v>1597</v>
      </c>
      <c r="X9" s="5">
        <v>1597</v>
      </c>
      <c r="Y9" s="5">
        <v>0</v>
      </c>
      <c r="Z9" s="78">
        <v>2299</v>
      </c>
      <c r="AA9" s="5">
        <v>2299</v>
      </c>
      <c r="AB9" s="5">
        <v>0</v>
      </c>
      <c r="AC9" s="78">
        <v>3311</v>
      </c>
      <c r="AD9" s="5">
        <v>3311</v>
      </c>
      <c r="AE9" s="5">
        <v>0</v>
      </c>
      <c r="AF9" s="78">
        <v>5722</v>
      </c>
      <c r="AG9" s="5">
        <v>5722</v>
      </c>
      <c r="AH9" s="5">
        <v>0</v>
      </c>
      <c r="AI9" s="78">
        <v>6866</v>
      </c>
      <c r="AJ9" s="5">
        <v>6866</v>
      </c>
      <c r="AK9" s="5">
        <v>0</v>
      </c>
      <c r="AL9" s="78">
        <v>29521</v>
      </c>
      <c r="AM9" s="5">
        <v>29521</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2" customWidth="1"/>
    <col min="2" max="2" width="17.44140625" style="73" customWidth="1"/>
    <col min="3" max="3" width="20.8867187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0.10937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9" t="s">
        <v>399</v>
      </c>
      <c r="C1" s="210"/>
      <c r="D1" s="210"/>
      <c r="E1" s="210"/>
      <c r="F1" s="210"/>
      <c r="G1" s="210"/>
      <c r="H1" s="210"/>
      <c r="I1" s="210"/>
      <c r="J1" s="210"/>
      <c r="K1" s="210"/>
      <c r="L1" s="210"/>
      <c r="M1" s="210"/>
      <c r="N1" s="210"/>
      <c r="O1" s="210"/>
      <c r="P1" s="210"/>
      <c r="Q1" s="210"/>
      <c r="R1" s="210"/>
      <c r="S1" s="210"/>
      <c r="T1" s="210"/>
      <c r="V1" s="219" t="s">
        <v>400</v>
      </c>
      <c r="W1" s="210"/>
      <c r="X1" s="210"/>
      <c r="Y1" s="210"/>
      <c r="Z1" s="210"/>
      <c r="AA1" s="210"/>
      <c r="AB1" s="210"/>
      <c r="AC1" s="210"/>
      <c r="AD1" s="210"/>
      <c r="AE1" s="210"/>
      <c r="AF1" s="210"/>
      <c r="AG1" s="210"/>
      <c r="AH1" s="210"/>
      <c r="AI1" s="210"/>
      <c r="AJ1" s="210"/>
      <c r="AK1" s="210"/>
      <c r="AL1" s="210"/>
      <c r="AM1" s="210"/>
      <c r="AN1" s="210"/>
    </row>
    <row r="2" spans="1:40">
      <c r="A2" s="68"/>
      <c r="B2" s="219"/>
      <c r="C2" s="210"/>
      <c r="D2" s="210"/>
      <c r="E2" s="210"/>
      <c r="F2" s="210"/>
      <c r="G2" s="210"/>
      <c r="H2" s="210"/>
      <c r="I2" s="210"/>
      <c r="J2" s="210"/>
      <c r="K2" s="210"/>
      <c r="L2" s="210"/>
      <c r="M2" s="210"/>
      <c r="N2" s="210"/>
      <c r="O2" s="210"/>
      <c r="P2" s="210"/>
      <c r="Q2" s="210"/>
      <c r="R2" s="210"/>
      <c r="S2" s="210"/>
      <c r="T2" s="210"/>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354</v>
      </c>
      <c r="D5" s="30"/>
      <c r="E5" s="30"/>
      <c r="F5" s="30"/>
      <c r="G5" s="30"/>
      <c r="H5" s="30"/>
      <c r="I5" s="30"/>
      <c r="J5" s="30"/>
      <c r="K5" s="30"/>
      <c r="L5" s="30"/>
      <c r="M5" s="30"/>
      <c r="N5" s="30"/>
      <c r="O5" s="30"/>
      <c r="P5" s="30"/>
      <c r="Q5" s="30"/>
      <c r="R5" s="30"/>
      <c r="S5" s="30"/>
      <c r="T5" s="30"/>
      <c r="V5" s="166" t="s">
        <v>3</v>
      </c>
      <c r="W5" s="167" t="s">
        <v>354</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725</v>
      </c>
      <c r="C7" s="32" t="s">
        <v>514</v>
      </c>
      <c r="D7" s="167" t="s">
        <v>383</v>
      </c>
      <c r="E7" s="167" t="s">
        <v>384</v>
      </c>
      <c r="F7" s="66" t="s">
        <v>382</v>
      </c>
      <c r="G7" s="67" t="s">
        <v>385</v>
      </c>
      <c r="H7" s="67" t="s">
        <v>386</v>
      </c>
      <c r="I7" s="64" t="s">
        <v>387</v>
      </c>
      <c r="J7" s="167" t="s">
        <v>388</v>
      </c>
      <c r="K7" s="167" t="s">
        <v>389</v>
      </c>
      <c r="L7" s="66" t="s">
        <v>390</v>
      </c>
      <c r="M7" s="67" t="s">
        <v>391</v>
      </c>
      <c r="N7" s="67" t="s">
        <v>392</v>
      </c>
      <c r="O7" s="64" t="s">
        <v>393</v>
      </c>
      <c r="P7" s="167" t="s">
        <v>394</v>
      </c>
      <c r="Q7" s="167" t="s">
        <v>395</v>
      </c>
      <c r="R7" s="66" t="s">
        <v>396</v>
      </c>
      <c r="S7" s="67" t="s">
        <v>397</v>
      </c>
      <c r="T7" s="67" t="s">
        <v>398</v>
      </c>
      <c r="V7" s="74" t="s">
        <v>288</v>
      </c>
      <c r="W7" s="32" t="s">
        <v>515</v>
      </c>
      <c r="X7" s="167" t="s">
        <v>383</v>
      </c>
      <c r="Y7" s="167" t="s">
        <v>384</v>
      </c>
      <c r="Z7" s="66" t="s">
        <v>382</v>
      </c>
      <c r="AA7" s="67" t="s">
        <v>385</v>
      </c>
      <c r="AB7" s="67" t="s">
        <v>386</v>
      </c>
      <c r="AC7" s="64" t="s">
        <v>387</v>
      </c>
      <c r="AD7" s="167" t="s">
        <v>388</v>
      </c>
      <c r="AE7" s="167" t="s">
        <v>389</v>
      </c>
      <c r="AF7" s="66" t="s">
        <v>390</v>
      </c>
      <c r="AG7" s="67" t="s">
        <v>391</v>
      </c>
      <c r="AH7" s="67" t="s">
        <v>392</v>
      </c>
      <c r="AI7" s="64" t="s">
        <v>393</v>
      </c>
      <c r="AJ7" s="167" t="s">
        <v>394</v>
      </c>
      <c r="AK7" s="167" t="s">
        <v>395</v>
      </c>
      <c r="AL7" s="66" t="s">
        <v>396</v>
      </c>
      <c r="AM7" s="67" t="s">
        <v>397</v>
      </c>
      <c r="AN7" s="76" t="s">
        <v>398</v>
      </c>
    </row>
    <row r="8" spans="1:40">
      <c r="A8" s="71" t="e">
        <f>INDEX('DDL Tables'!$F:$F,MATCH(SUBSTITUTE(B8," (index)", ""),'DDL Tables'!$C:$C,0))</f>
        <v>#N/A</v>
      </c>
      <c r="B8" s="4" t="s">
        <v>47</v>
      </c>
      <c r="C8" s="104">
        <v>8.4064483642578125E-2</v>
      </c>
      <c r="D8" s="104">
        <v>8.4064483642578125E-2</v>
      </c>
      <c r="E8" s="104">
        <v>0</v>
      </c>
      <c r="F8" s="105">
        <v>0.12105369567871094</v>
      </c>
      <c r="G8" s="104">
        <v>0.12105369567871094</v>
      </c>
      <c r="H8" s="104">
        <v>0</v>
      </c>
      <c r="I8" s="105">
        <v>0.20918083190917969</v>
      </c>
      <c r="J8" s="104">
        <v>0.20918083190917969</v>
      </c>
      <c r="K8" s="104">
        <v>0</v>
      </c>
      <c r="L8" s="105">
        <v>0.30121994018554688</v>
      </c>
      <c r="M8" s="104">
        <v>0.30121994018554688</v>
      </c>
      <c r="N8" s="104">
        <v>0</v>
      </c>
      <c r="O8" s="105">
        <v>0.36146354675292969</v>
      </c>
      <c r="P8" s="104">
        <v>0.36146354675292969</v>
      </c>
      <c r="Q8" s="104">
        <v>0</v>
      </c>
      <c r="R8" s="105">
        <v>1.8650684356689453</v>
      </c>
      <c r="S8" s="104">
        <v>1.8650684356689453</v>
      </c>
      <c r="T8" s="104">
        <v>0</v>
      </c>
      <c r="V8" s="4" t="s">
        <v>48</v>
      </c>
      <c r="W8" s="104">
        <v>8.4064483642578125E-2</v>
      </c>
      <c r="X8" s="104">
        <v>8.4064483642578125E-2</v>
      </c>
      <c r="Y8" s="104">
        <v>0</v>
      </c>
      <c r="Z8" s="105">
        <v>0.12105369567871094</v>
      </c>
      <c r="AA8" s="104">
        <v>0.12105369567871094</v>
      </c>
      <c r="AB8" s="104">
        <v>0</v>
      </c>
      <c r="AC8" s="105">
        <v>0.20918083190917969</v>
      </c>
      <c r="AD8" s="104">
        <v>0.20918083190917969</v>
      </c>
      <c r="AE8" s="104">
        <v>0</v>
      </c>
      <c r="AF8" s="105">
        <v>0.30121994018554688</v>
      </c>
      <c r="AG8" s="104">
        <v>0.30121994018554688</v>
      </c>
      <c r="AH8" s="104">
        <v>0</v>
      </c>
      <c r="AI8" s="105">
        <v>0.36146354675292969</v>
      </c>
      <c r="AJ8" s="104">
        <v>0.36146354675292969</v>
      </c>
      <c r="AK8" s="104">
        <v>0</v>
      </c>
      <c r="AL8" s="105">
        <v>1.8650684356689453</v>
      </c>
      <c r="AM8" s="104">
        <v>1.8650684356689453</v>
      </c>
      <c r="AN8" s="106">
        <v>0</v>
      </c>
    </row>
    <row r="9" spans="1:40">
      <c r="B9" s="75" t="s">
        <v>17</v>
      </c>
      <c r="C9" s="104">
        <v>8.4064483642578125E-2</v>
      </c>
      <c r="D9" s="104">
        <v>8.4064483642578125E-2</v>
      </c>
      <c r="E9" s="104">
        <v>0</v>
      </c>
      <c r="F9" s="105">
        <v>0.12105369567871094</v>
      </c>
      <c r="G9" s="104">
        <v>0.12105369567871094</v>
      </c>
      <c r="H9" s="104">
        <v>0</v>
      </c>
      <c r="I9" s="105">
        <v>0.20918083190917969</v>
      </c>
      <c r="J9" s="104">
        <v>0.20918083190917969</v>
      </c>
      <c r="K9" s="104">
        <v>0</v>
      </c>
      <c r="L9" s="105">
        <v>0.30121994018554688</v>
      </c>
      <c r="M9" s="104">
        <v>0.30121994018554688</v>
      </c>
      <c r="N9" s="104">
        <v>0</v>
      </c>
      <c r="O9" s="105">
        <v>0.36146354675292969</v>
      </c>
      <c r="P9" s="104">
        <v>0.36146354675292969</v>
      </c>
      <c r="Q9" s="104">
        <v>0</v>
      </c>
      <c r="R9" s="105">
        <v>1.8650684356689453</v>
      </c>
      <c r="S9" s="104">
        <v>1.8650684356689453</v>
      </c>
      <c r="T9" s="104">
        <v>0</v>
      </c>
      <c r="V9" s="75" t="s">
        <v>17</v>
      </c>
      <c r="W9" s="5">
        <v>8.4064483642578125E-2</v>
      </c>
      <c r="X9" s="5">
        <v>8.4064483642578125E-2</v>
      </c>
      <c r="Y9" s="104">
        <v>0</v>
      </c>
      <c r="Z9" s="105">
        <v>0.12105369567871094</v>
      </c>
      <c r="AA9" s="104">
        <v>0.12105369567871094</v>
      </c>
      <c r="AB9" s="104">
        <v>0</v>
      </c>
      <c r="AC9" s="105">
        <v>0.20918083190917969</v>
      </c>
      <c r="AD9" s="104">
        <v>0.20918083190917969</v>
      </c>
      <c r="AE9" s="104">
        <v>0</v>
      </c>
      <c r="AF9" s="105">
        <v>0.30121994018554688</v>
      </c>
      <c r="AG9" s="104">
        <v>0.30121994018554688</v>
      </c>
      <c r="AH9" s="104">
        <v>0</v>
      </c>
      <c r="AI9" s="105">
        <v>0.36146354675292969</v>
      </c>
      <c r="AJ9" s="104">
        <v>0.36146354675292969</v>
      </c>
      <c r="AK9" s="104">
        <v>0</v>
      </c>
      <c r="AL9" s="105">
        <v>1.8650684356689453</v>
      </c>
      <c r="AM9" s="104">
        <v>1.8650684356689453</v>
      </c>
      <c r="AN9" s="10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1" customWidth="1"/>
    <col min="2" max="2" width="16.109375" style="81" customWidth="1"/>
    <col min="3" max="3" width="9" style="81" customWidth="1"/>
    <col min="4" max="4" width="14.109375" style="154" customWidth="1"/>
    <col min="5" max="5" width="9" style="81" customWidth="1"/>
    <col min="6" max="6" width="15.77734375" style="81" customWidth="1"/>
    <col min="7" max="7" width="16.109375" style="81" customWidth="1"/>
    <col min="8" max="8" width="8.5546875" style="81" customWidth="1"/>
    <col min="9" max="9" width="26.44140625" style="81" customWidth="1"/>
    <col min="10" max="10" width="16.109375" style="8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207" t="s">
        <v>502</v>
      </c>
      <c r="B1" s="210"/>
      <c r="C1" s="210"/>
      <c r="D1" s="210"/>
      <c r="E1" s="210"/>
      <c r="F1" s="210"/>
      <c r="G1" s="210"/>
      <c r="H1" s="210"/>
      <c r="I1" s="210"/>
      <c r="J1" s="210"/>
    </row>
    <row r="2" spans="1:10">
      <c r="A2" s="97"/>
      <c r="B2" s="97"/>
      <c r="C2" s="97"/>
      <c r="D2" s="153"/>
      <c r="E2" s="97"/>
      <c r="F2" s="97"/>
      <c r="G2" s="97"/>
      <c r="H2" s="97"/>
      <c r="I2" s="166" t="s">
        <v>413</v>
      </c>
      <c r="J2" s="167" t="s">
        <v>16</v>
      </c>
    </row>
    <row r="3" spans="1:10">
      <c r="A3" s="97"/>
      <c r="B3" s="97"/>
      <c r="C3" s="97"/>
      <c r="D3" s="31"/>
      <c r="E3" s="97"/>
      <c r="F3" s="97"/>
      <c r="G3" s="97"/>
      <c r="H3" s="97"/>
      <c r="I3" s="166" t="s">
        <v>0</v>
      </c>
      <c r="J3" s="167" t="s">
        <v>16</v>
      </c>
    </row>
    <row r="4" spans="1:10">
      <c r="A4" s="166" t="s">
        <v>413</v>
      </c>
      <c r="B4" s="167" t="s">
        <v>16</v>
      </c>
      <c r="D4" s="31"/>
      <c r="E4" s="97"/>
      <c r="F4" s="166" t="s">
        <v>413</v>
      </c>
      <c r="G4" s="167" t="s">
        <v>16</v>
      </c>
      <c r="I4" s="166" t="s">
        <v>415</v>
      </c>
      <c r="J4" s="167" t="s">
        <v>16</v>
      </c>
    </row>
    <row r="5" spans="1:10">
      <c r="A5" s="166" t="s">
        <v>0</v>
      </c>
      <c r="B5" s="167" t="s">
        <v>16</v>
      </c>
      <c r="D5" s="31"/>
      <c r="E5" s="97"/>
      <c r="F5" s="166" t="s">
        <v>0</v>
      </c>
      <c r="G5" s="167" t="s">
        <v>16</v>
      </c>
      <c r="I5" s="166" t="s">
        <v>432</v>
      </c>
      <c r="J5" s="167" t="s">
        <v>16</v>
      </c>
    </row>
    <row r="6" spans="1:10">
      <c r="A6" s="166" t="s">
        <v>415</v>
      </c>
      <c r="B6" s="167" t="s">
        <v>16</v>
      </c>
      <c r="D6" s="31"/>
      <c r="E6" s="97"/>
      <c r="F6" s="166" t="s">
        <v>415</v>
      </c>
      <c r="G6" s="167" t="s">
        <v>16</v>
      </c>
      <c r="I6" s="166" t="s">
        <v>500</v>
      </c>
      <c r="J6" s="167" t="s">
        <v>16</v>
      </c>
    </row>
    <row r="7" spans="1:10">
      <c r="A7" s="166" t="s">
        <v>479</v>
      </c>
      <c r="B7" s="167" t="s">
        <v>16</v>
      </c>
      <c r="D7" s="31"/>
      <c r="E7" s="97"/>
      <c r="F7" s="166" t="s">
        <v>479</v>
      </c>
      <c r="G7" s="167" t="s">
        <v>16</v>
      </c>
      <c r="I7" s="166" t="s">
        <v>1</v>
      </c>
      <c r="J7" s="167" t="s">
        <v>16</v>
      </c>
    </row>
    <row r="8" spans="1:10">
      <c r="D8" s="31"/>
      <c r="E8" s="97"/>
      <c r="I8" s="166" t="s">
        <v>2</v>
      </c>
      <c r="J8" s="167" t="s">
        <v>16</v>
      </c>
    </row>
    <row r="9" spans="1:10">
      <c r="A9" s="166" t="s">
        <v>480</v>
      </c>
      <c r="B9" t="s">
        <v>481</v>
      </c>
      <c r="D9" s="24" t="s">
        <v>685</v>
      </c>
      <c r="E9" s="98" t="s">
        <v>121</v>
      </c>
      <c r="F9" s="166" t="s">
        <v>288</v>
      </c>
      <c r="G9" t="s">
        <v>481</v>
      </c>
      <c r="I9"/>
      <c r="J9"/>
    </row>
    <row r="10" spans="1:10">
      <c r="A10" s="4" t="s">
        <v>483</v>
      </c>
      <c r="B10" s="5">
        <v>19</v>
      </c>
      <c r="D10" s="29" t="e">
        <f>INDEX('OS-Machine Info'!$B:$B,MATCH(F10,'OS-Machine Info'!$A:$A,0))</f>
        <v>#N/A</v>
      </c>
      <c r="E10" s="99" t="e">
        <f>INDEX('Node Information'!J:$J,MATCH(F10,'Node Information'!$A:$A,0))</f>
        <v>#N/A</v>
      </c>
      <c r="F10" s="4" t="s">
        <v>486</v>
      </c>
      <c r="G10" s="5"/>
      <c r="I10" s="166" t="s">
        <v>482</v>
      </c>
      <c r="J10" t="s">
        <v>481</v>
      </c>
    </row>
    <row r="11" spans="1:10">
      <c r="A11" s="4" t="s">
        <v>484</v>
      </c>
      <c r="B11" s="5">
        <v>46</v>
      </c>
      <c r="D11" s="29" t="str">
        <f>INDEX('OS-Machine Info'!$B:$B,MATCH(F11,'OS-Machine Info'!$A:$A,0))</f>
        <v>TestDC</v>
      </c>
      <c r="E11" s="99">
        <f>INDEX('Node Information'!J:$J,MATCH(F11,'Node Information'!$A:$A,0))</f>
        <v>6.5428240740740704E-2</v>
      </c>
      <c r="F11" s="4" t="s">
        <v>48</v>
      </c>
      <c r="G11" s="5">
        <v>459</v>
      </c>
      <c r="I11" s="4" t="s">
        <v>486</v>
      </c>
      <c r="J11" s="5">
        <v>215</v>
      </c>
    </row>
    <row r="12" spans="1:10">
      <c r="A12" s="4" t="s">
        <v>485</v>
      </c>
      <c r="B12" s="5">
        <v>5</v>
      </c>
      <c r="F12" s="4" t="s">
        <v>17</v>
      </c>
      <c r="G12" s="5">
        <v>459</v>
      </c>
      <c r="I12" s="4" t="s">
        <v>492</v>
      </c>
      <c r="J12" s="5">
        <v>239</v>
      </c>
    </row>
    <row r="13" spans="1:10">
      <c r="A13" s="4" t="s">
        <v>487</v>
      </c>
      <c r="B13" s="5">
        <v>169</v>
      </c>
      <c r="F13"/>
      <c r="G13"/>
      <c r="I13" s="4" t="s">
        <v>504</v>
      </c>
      <c r="J13" s="5">
        <v>1</v>
      </c>
    </row>
    <row r="14" spans="1:10">
      <c r="A14" s="4" t="s">
        <v>488</v>
      </c>
      <c r="B14" s="5">
        <v>30</v>
      </c>
      <c r="F14"/>
      <c r="G14"/>
      <c r="I14" s="4" t="s">
        <v>505</v>
      </c>
      <c r="J14" s="5">
        <v>1</v>
      </c>
    </row>
    <row r="15" spans="1:10">
      <c r="A15" s="4" t="s">
        <v>489</v>
      </c>
      <c r="B15" s="5">
        <v>190</v>
      </c>
      <c r="F15"/>
      <c r="G15"/>
      <c r="I15" s="4" t="s">
        <v>506</v>
      </c>
      <c r="J15" s="5">
        <v>1</v>
      </c>
    </row>
    <row r="16" spans="1:10">
      <c r="A16" s="4" t="s">
        <v>486</v>
      </c>
      <c r="B16" s="5"/>
      <c r="F16"/>
      <c r="G16"/>
      <c r="I16" s="4" t="s">
        <v>507</v>
      </c>
      <c r="J16" s="5">
        <v>1</v>
      </c>
    </row>
    <row r="17" spans="1:10">
      <c r="A17" s="4" t="s">
        <v>17</v>
      </c>
      <c r="B17" s="5">
        <v>459</v>
      </c>
      <c r="F17"/>
      <c r="G17"/>
      <c r="I17" s="4" t="s">
        <v>508</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A3" sqref="A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20" t="s">
        <v>416</v>
      </c>
      <c r="B1" s="221" t="s">
        <v>412</v>
      </c>
      <c r="C1" s="222" t="s">
        <v>412</v>
      </c>
      <c r="D1" s="222" t="s">
        <v>412</v>
      </c>
      <c r="E1" s="222" t="s">
        <v>412</v>
      </c>
      <c r="F1" s="222" t="s">
        <v>412</v>
      </c>
      <c r="G1" s="222" t="s">
        <v>412</v>
      </c>
      <c r="H1" s="222" t="s">
        <v>412</v>
      </c>
      <c r="I1" s="223"/>
      <c r="J1" s="224"/>
      <c r="K1" s="222"/>
    </row>
    <row r="2" spans="1:14" s="16" customFormat="1">
      <c r="A2" s="102" t="s">
        <v>413</v>
      </c>
      <c r="B2" s="14" t="s">
        <v>414</v>
      </c>
      <c r="C2" s="103" t="s">
        <v>0</v>
      </c>
      <c r="D2" s="103" t="s">
        <v>87</v>
      </c>
      <c r="E2" s="103" t="s">
        <v>415</v>
      </c>
      <c r="F2" s="103" t="s">
        <v>432</v>
      </c>
      <c r="G2" s="103" t="s">
        <v>433</v>
      </c>
      <c r="H2" s="103" t="s">
        <v>500</v>
      </c>
      <c r="I2" s="103" t="s">
        <v>479</v>
      </c>
      <c r="J2" s="103" t="s">
        <v>490</v>
      </c>
      <c r="K2" s="12" t="s">
        <v>287</v>
      </c>
      <c r="L2" s="108" t="s">
        <v>518</v>
      </c>
      <c r="M2" s="16" t="s">
        <v>1</v>
      </c>
      <c r="N2" s="16" t="s">
        <v>2</v>
      </c>
    </row>
    <row r="3" spans="1:14">
      <c r="A3" s="100">
        <v>42625.447916666701</v>
      </c>
      <c r="B3" s="19">
        <v>1.0416666666666701E-2</v>
      </c>
      <c r="C3" s="22" t="s">
        <v>107</v>
      </c>
      <c r="D3" s="22" t="s">
        <v>48</v>
      </c>
      <c r="E3" s="10" t="s">
        <v>480</v>
      </c>
      <c r="F3" s="10" t="s">
        <v>483</v>
      </c>
      <c r="G3" s="22" t="s">
        <v>491</v>
      </c>
      <c r="H3" s="22" t="s">
        <v>2</v>
      </c>
      <c r="I3" s="10" t="s">
        <v>492</v>
      </c>
      <c r="J3" s="101">
        <v>42625.4449555787</v>
      </c>
      <c r="K3" s="11">
        <v>2</v>
      </c>
      <c r="M3" s="81" t="s">
        <v>47</v>
      </c>
      <c r="N3" s="81" t="s">
        <v>49</v>
      </c>
    </row>
    <row r="4" spans="1:14">
      <c r="A4" s="100">
        <v>42625.447916666701</v>
      </c>
      <c r="B4" s="19">
        <v>1.0416666666666701E-2</v>
      </c>
      <c r="C4" s="22" t="s">
        <v>107</v>
      </c>
      <c r="D4" s="22" t="s">
        <v>48</v>
      </c>
      <c r="E4" s="10" t="s">
        <v>480</v>
      </c>
      <c r="F4" s="10" t="s">
        <v>484</v>
      </c>
      <c r="I4" s="10"/>
      <c r="J4" s="101">
        <v>42625.444970648103</v>
      </c>
      <c r="K4" s="11">
        <v>4</v>
      </c>
    </row>
    <row r="5" spans="1:14">
      <c r="A5" s="100">
        <v>42625.447916666701</v>
      </c>
      <c r="B5" s="19">
        <v>1.0416666666666701E-2</v>
      </c>
      <c r="C5" s="22" t="s">
        <v>107</v>
      </c>
      <c r="D5" s="22" t="s">
        <v>48</v>
      </c>
      <c r="E5" s="10" t="s">
        <v>480</v>
      </c>
      <c r="F5" s="10" t="s">
        <v>484</v>
      </c>
      <c r="I5" s="10"/>
      <c r="J5" s="101">
        <v>42625.444229074099</v>
      </c>
      <c r="K5" s="11">
        <v>2</v>
      </c>
    </row>
    <row r="6" spans="1:14">
      <c r="A6" s="100">
        <v>42625.447916666701</v>
      </c>
      <c r="B6" s="19">
        <v>1.0416666666666701E-2</v>
      </c>
      <c r="C6" s="22" t="s">
        <v>107</v>
      </c>
      <c r="D6" s="22" t="s">
        <v>48</v>
      </c>
      <c r="E6" s="10" t="s">
        <v>480</v>
      </c>
      <c r="F6" s="10" t="s">
        <v>484</v>
      </c>
      <c r="I6" s="10"/>
      <c r="J6" s="101">
        <v>42625.443622719897</v>
      </c>
      <c r="K6" s="11">
        <v>3</v>
      </c>
    </row>
    <row r="7" spans="1:14">
      <c r="A7" s="100">
        <v>42625.447916666701</v>
      </c>
      <c r="B7" s="19">
        <v>1.0416666666666701E-2</v>
      </c>
      <c r="C7" s="22" t="s">
        <v>107</v>
      </c>
      <c r="D7" s="22" t="s">
        <v>48</v>
      </c>
      <c r="E7" s="10" t="s">
        <v>480</v>
      </c>
      <c r="F7" s="10" t="s">
        <v>484</v>
      </c>
      <c r="I7" s="10"/>
      <c r="J7" s="101">
        <v>42625.441783912</v>
      </c>
      <c r="K7" s="11">
        <v>1</v>
      </c>
    </row>
    <row r="8" spans="1:14">
      <c r="A8" s="100">
        <v>42625.447916666701</v>
      </c>
      <c r="B8" s="19">
        <v>1.0416666666666701E-2</v>
      </c>
      <c r="C8" s="22" t="s">
        <v>107</v>
      </c>
      <c r="D8" s="22" t="s">
        <v>48</v>
      </c>
      <c r="E8" s="10" t="s">
        <v>480</v>
      </c>
      <c r="F8" s="10" t="s">
        <v>487</v>
      </c>
      <c r="I8" s="10"/>
      <c r="J8" s="101">
        <v>42625.444836736096</v>
      </c>
      <c r="K8" s="11">
        <v>11</v>
      </c>
    </row>
    <row r="9" spans="1:14">
      <c r="A9" s="100">
        <v>42625.447916666701</v>
      </c>
      <c r="B9" s="19">
        <v>1.0416666666666701E-2</v>
      </c>
      <c r="C9" s="22" t="s">
        <v>107</v>
      </c>
      <c r="D9" s="22" t="s">
        <v>48</v>
      </c>
      <c r="E9" s="10" t="s">
        <v>480</v>
      </c>
      <c r="F9" s="10" t="s">
        <v>487</v>
      </c>
      <c r="I9" s="10"/>
      <c r="J9" s="101">
        <v>42625.444828425898</v>
      </c>
      <c r="K9" s="11">
        <v>11</v>
      </c>
    </row>
    <row r="10" spans="1:14">
      <c r="A10" s="100">
        <v>42625.447916666701</v>
      </c>
      <c r="B10" s="19">
        <v>1.0416666666666701E-2</v>
      </c>
      <c r="C10" s="22" t="s">
        <v>107</v>
      </c>
      <c r="D10" s="22" t="s">
        <v>48</v>
      </c>
      <c r="E10" s="10" t="s">
        <v>480</v>
      </c>
      <c r="F10" s="10" t="s">
        <v>487</v>
      </c>
      <c r="I10" s="10"/>
      <c r="J10" s="101">
        <v>42625.444731979202</v>
      </c>
      <c r="K10" s="11">
        <v>11</v>
      </c>
    </row>
    <row r="11" spans="1:14">
      <c r="A11" s="100">
        <v>42625.447916666701</v>
      </c>
      <c r="B11" s="19">
        <v>1.0416666666666701E-2</v>
      </c>
      <c r="C11" s="22" t="s">
        <v>107</v>
      </c>
      <c r="D11" s="22" t="s">
        <v>48</v>
      </c>
      <c r="E11" s="10" t="s">
        <v>480</v>
      </c>
      <c r="F11" s="10" t="s">
        <v>487</v>
      </c>
      <c r="I11" s="10"/>
      <c r="J11" s="101">
        <v>42625.444706747701</v>
      </c>
      <c r="K11" s="11">
        <v>11</v>
      </c>
    </row>
    <row r="12" spans="1:14">
      <c r="A12" s="100">
        <v>42625.447916666701</v>
      </c>
      <c r="B12" s="19">
        <v>1.0416666666666701E-2</v>
      </c>
      <c r="C12" s="22" t="s">
        <v>107</v>
      </c>
      <c r="D12" s="22" t="s">
        <v>48</v>
      </c>
      <c r="E12" s="10" t="s">
        <v>480</v>
      </c>
      <c r="F12" s="10" t="s">
        <v>487</v>
      </c>
      <c r="I12" s="10"/>
      <c r="J12" s="101">
        <v>42625.439644768499</v>
      </c>
      <c r="K12" s="11">
        <v>2</v>
      </c>
    </row>
    <row r="13" spans="1:14">
      <c r="A13" s="100">
        <v>42625.447916666701</v>
      </c>
      <c r="B13" s="19">
        <v>1.0416666666666701E-2</v>
      </c>
      <c r="C13" s="22" t="s">
        <v>107</v>
      </c>
      <c r="D13" s="22" t="s">
        <v>48</v>
      </c>
      <c r="E13" s="10" t="s">
        <v>480</v>
      </c>
      <c r="F13" s="10" t="s">
        <v>488</v>
      </c>
      <c r="G13" s="10" t="s">
        <v>493</v>
      </c>
      <c r="H13" s="22" t="s">
        <v>2</v>
      </c>
      <c r="I13" s="22" t="s">
        <v>492</v>
      </c>
      <c r="J13" s="101">
        <v>42625.438546805599</v>
      </c>
      <c r="K13" s="11">
        <v>4</v>
      </c>
      <c r="M13" s="81" t="s">
        <v>47</v>
      </c>
      <c r="N13" s="81" t="s">
        <v>49</v>
      </c>
    </row>
    <row r="14" spans="1:14">
      <c r="A14" s="100">
        <v>42625.447916666701</v>
      </c>
      <c r="B14" s="19">
        <v>1.0416666666666701E-2</v>
      </c>
      <c r="C14" s="22" t="s">
        <v>107</v>
      </c>
      <c r="D14" s="22" t="s">
        <v>48</v>
      </c>
      <c r="E14" s="10" t="s">
        <v>480</v>
      </c>
      <c r="F14" s="10" t="s">
        <v>488</v>
      </c>
      <c r="G14" s="10" t="s">
        <v>493</v>
      </c>
      <c r="H14" s="22" t="s">
        <v>2</v>
      </c>
      <c r="I14" s="10" t="s">
        <v>492</v>
      </c>
      <c r="J14" s="101">
        <v>42625.438545740697</v>
      </c>
      <c r="K14" s="11">
        <v>3</v>
      </c>
      <c r="M14" s="81" t="s">
        <v>47</v>
      </c>
      <c r="N14" s="81" t="s">
        <v>49</v>
      </c>
    </row>
    <row r="15" spans="1:14">
      <c r="A15" s="100">
        <v>42625.447916666701</v>
      </c>
      <c r="B15" s="19">
        <v>1.0416666666666701E-2</v>
      </c>
      <c r="C15" s="22" t="s">
        <v>107</v>
      </c>
      <c r="D15" s="22" t="s">
        <v>48</v>
      </c>
      <c r="E15" s="10" t="s">
        <v>480</v>
      </c>
      <c r="F15" s="10" t="s">
        <v>488</v>
      </c>
      <c r="G15" s="10" t="s">
        <v>493</v>
      </c>
      <c r="H15" s="22" t="s">
        <v>2</v>
      </c>
      <c r="I15" s="10" t="s">
        <v>492</v>
      </c>
      <c r="J15" s="101">
        <v>42625.438545463003</v>
      </c>
      <c r="K15" s="11">
        <v>2</v>
      </c>
      <c r="M15" s="81" t="s">
        <v>47</v>
      </c>
      <c r="N15" s="81" t="s">
        <v>49</v>
      </c>
    </row>
    <row r="16" spans="1:14">
      <c r="A16" s="100">
        <v>42625.447916666701</v>
      </c>
      <c r="B16" s="19">
        <v>1.0416666666666701E-2</v>
      </c>
      <c r="C16" s="22" t="s">
        <v>107</v>
      </c>
      <c r="D16" s="22" t="s">
        <v>48</v>
      </c>
      <c r="E16" s="10" t="s">
        <v>480</v>
      </c>
      <c r="F16" s="10" t="s">
        <v>488</v>
      </c>
      <c r="G16" s="10" t="s">
        <v>493</v>
      </c>
      <c r="H16" s="22" t="s">
        <v>2</v>
      </c>
      <c r="I16" s="22" t="s">
        <v>492</v>
      </c>
      <c r="J16" s="101">
        <v>42625.438793113397</v>
      </c>
      <c r="K16" s="11">
        <v>1</v>
      </c>
      <c r="M16" s="81" t="s">
        <v>47</v>
      </c>
      <c r="N16" s="81" t="s">
        <v>49</v>
      </c>
    </row>
    <row r="17" spans="1:14">
      <c r="A17" s="100">
        <v>42625.447916666701</v>
      </c>
      <c r="B17" s="19">
        <v>1.0416666666666701E-2</v>
      </c>
      <c r="C17" s="22" t="s">
        <v>107</v>
      </c>
      <c r="D17" s="22" t="s">
        <v>48</v>
      </c>
      <c r="E17" s="10" t="s">
        <v>480</v>
      </c>
      <c r="F17" s="10" t="s">
        <v>488</v>
      </c>
      <c r="G17" s="10" t="s">
        <v>493</v>
      </c>
      <c r="H17" s="22" t="s">
        <v>2</v>
      </c>
      <c r="I17" s="10" t="s">
        <v>492</v>
      </c>
      <c r="J17" s="101">
        <v>42625.438771215297</v>
      </c>
      <c r="K17" s="11">
        <v>1</v>
      </c>
      <c r="M17" s="81" t="s">
        <v>47</v>
      </c>
      <c r="N17" s="81" t="s">
        <v>49</v>
      </c>
    </row>
    <row r="18" spans="1:14">
      <c r="A18" s="100">
        <v>42625.447916666701</v>
      </c>
      <c r="B18" s="19">
        <v>1.0416666666666701E-2</v>
      </c>
      <c r="C18" s="22" t="s">
        <v>107</v>
      </c>
      <c r="D18" s="22" t="s">
        <v>48</v>
      </c>
      <c r="E18" s="10" t="s">
        <v>480</v>
      </c>
      <c r="F18" s="10" t="s">
        <v>488</v>
      </c>
      <c r="G18" s="10" t="s">
        <v>493</v>
      </c>
      <c r="H18" s="22" t="s">
        <v>2</v>
      </c>
      <c r="I18" s="10" t="s">
        <v>492</v>
      </c>
      <c r="J18" s="101">
        <v>42625.438771053203</v>
      </c>
      <c r="K18" s="11">
        <v>1</v>
      </c>
      <c r="M18" s="81" t="s">
        <v>47</v>
      </c>
      <c r="N18" s="81" t="s">
        <v>49</v>
      </c>
    </row>
    <row r="19" spans="1:14">
      <c r="A19" s="100">
        <v>42625.447916666701</v>
      </c>
      <c r="B19" s="19">
        <v>1.0416666666666701E-2</v>
      </c>
      <c r="C19" s="22" t="s">
        <v>107</v>
      </c>
      <c r="D19" s="22" t="s">
        <v>48</v>
      </c>
      <c r="E19" s="10" t="s">
        <v>480</v>
      </c>
      <c r="F19" s="10" t="s">
        <v>488</v>
      </c>
      <c r="G19" s="10" t="s">
        <v>493</v>
      </c>
      <c r="H19" s="22" t="s">
        <v>2</v>
      </c>
      <c r="I19" s="10" t="s">
        <v>492</v>
      </c>
      <c r="J19" s="101">
        <v>42625.438943298599</v>
      </c>
      <c r="K19" s="11">
        <v>1</v>
      </c>
      <c r="M19" s="81" t="s">
        <v>47</v>
      </c>
      <c r="N19" s="81" t="s">
        <v>49</v>
      </c>
    </row>
    <row r="20" spans="1:14">
      <c r="A20" s="100">
        <v>42625.447916666701</v>
      </c>
      <c r="B20" s="19">
        <v>1.0416666666666701E-2</v>
      </c>
      <c r="C20" s="22" t="s">
        <v>107</v>
      </c>
      <c r="D20" s="22" t="s">
        <v>48</v>
      </c>
      <c r="E20" s="10" t="s">
        <v>480</v>
      </c>
      <c r="F20" s="10" t="s">
        <v>488</v>
      </c>
      <c r="G20" s="10" t="s">
        <v>493</v>
      </c>
      <c r="H20" s="22" t="s">
        <v>2</v>
      </c>
      <c r="I20" s="10" t="s">
        <v>492</v>
      </c>
      <c r="J20" s="101">
        <v>42625.438942592598</v>
      </c>
      <c r="K20" s="11">
        <v>1</v>
      </c>
      <c r="M20" s="81" t="s">
        <v>47</v>
      </c>
      <c r="N20" s="81" t="s">
        <v>49</v>
      </c>
    </row>
    <row r="21" spans="1:14">
      <c r="A21" s="100">
        <v>42625.447916666701</v>
      </c>
      <c r="B21" s="19">
        <v>1.0416666666666701E-2</v>
      </c>
      <c r="C21" s="22" t="s">
        <v>107</v>
      </c>
      <c r="D21" s="22" t="s">
        <v>48</v>
      </c>
      <c r="E21" s="10" t="s">
        <v>480</v>
      </c>
      <c r="F21" s="10" t="s">
        <v>488</v>
      </c>
      <c r="G21" s="10" t="s">
        <v>493</v>
      </c>
      <c r="H21" s="22" t="s">
        <v>2</v>
      </c>
      <c r="I21" s="10" t="s">
        <v>492</v>
      </c>
      <c r="J21" s="101">
        <v>42625.4389420023</v>
      </c>
      <c r="K21" s="11">
        <v>1</v>
      </c>
      <c r="M21" s="81" t="s">
        <v>47</v>
      </c>
      <c r="N21" s="81" t="s">
        <v>49</v>
      </c>
    </row>
    <row r="22" spans="1:14">
      <c r="A22" s="100">
        <v>42625.447916666701</v>
      </c>
      <c r="B22" s="19">
        <v>1.0416666666666701E-2</v>
      </c>
      <c r="C22" s="22" t="s">
        <v>107</v>
      </c>
      <c r="D22" s="22" t="s">
        <v>48</v>
      </c>
      <c r="E22" s="10" t="s">
        <v>480</v>
      </c>
      <c r="F22" s="10" t="s">
        <v>488</v>
      </c>
      <c r="G22" s="10" t="s">
        <v>493</v>
      </c>
      <c r="H22" s="22" t="s">
        <v>2</v>
      </c>
      <c r="I22" s="10" t="s">
        <v>492</v>
      </c>
      <c r="J22" s="101">
        <v>42625.438896134299</v>
      </c>
      <c r="K22" s="11">
        <v>1</v>
      </c>
      <c r="M22" s="81" t="s">
        <v>47</v>
      </c>
      <c r="N22" s="81" t="s">
        <v>49</v>
      </c>
    </row>
    <row r="23" spans="1:14">
      <c r="A23" s="100">
        <v>42625.447916666701</v>
      </c>
      <c r="B23" s="19">
        <v>1.0416666666666701E-2</v>
      </c>
      <c r="C23" s="22" t="s">
        <v>107</v>
      </c>
      <c r="D23" s="22" t="s">
        <v>48</v>
      </c>
      <c r="E23" s="10" t="s">
        <v>480</v>
      </c>
      <c r="F23" s="10" t="s">
        <v>488</v>
      </c>
      <c r="G23" s="10" t="s">
        <v>493</v>
      </c>
      <c r="H23" s="22" t="s">
        <v>2</v>
      </c>
      <c r="I23" s="10" t="s">
        <v>492</v>
      </c>
      <c r="J23" s="101">
        <v>42625.438895173596</v>
      </c>
      <c r="K23" s="11">
        <v>1</v>
      </c>
      <c r="M23" s="81" t="s">
        <v>47</v>
      </c>
      <c r="N23" s="81" t="s">
        <v>49</v>
      </c>
    </row>
    <row r="24" spans="1:14">
      <c r="A24" s="100">
        <v>42625.447916666701</v>
      </c>
      <c r="B24" s="19">
        <v>1.0416666666666701E-2</v>
      </c>
      <c r="C24" s="22" t="s">
        <v>107</v>
      </c>
      <c r="D24" s="22" t="s">
        <v>48</v>
      </c>
      <c r="E24" s="10" t="s">
        <v>480</v>
      </c>
      <c r="F24" s="10" t="s">
        <v>489</v>
      </c>
      <c r="G24" s="10" t="s">
        <v>494</v>
      </c>
      <c r="H24" s="22" t="s">
        <v>2</v>
      </c>
      <c r="I24" s="22" t="s">
        <v>492</v>
      </c>
      <c r="J24" s="101">
        <v>42625.445107256899</v>
      </c>
      <c r="K24" s="11">
        <v>9</v>
      </c>
      <c r="M24" s="81" t="s">
        <v>47</v>
      </c>
      <c r="N24" s="81" t="s">
        <v>49</v>
      </c>
    </row>
    <row r="25" spans="1:14">
      <c r="A25" s="100">
        <v>42625.447916666701</v>
      </c>
      <c r="B25" s="19">
        <v>1.0416666666666701E-2</v>
      </c>
      <c r="C25" s="22" t="s">
        <v>107</v>
      </c>
      <c r="D25" s="22" t="s">
        <v>48</v>
      </c>
      <c r="E25" s="10" t="s">
        <v>480</v>
      </c>
      <c r="F25" s="10" t="s">
        <v>489</v>
      </c>
      <c r="G25" s="10" t="s">
        <v>494</v>
      </c>
      <c r="H25" s="22" t="s">
        <v>2</v>
      </c>
      <c r="I25" s="22" t="s">
        <v>492</v>
      </c>
      <c r="J25" s="101">
        <v>42625.444668923599</v>
      </c>
      <c r="K25" s="11">
        <v>7</v>
      </c>
      <c r="M25" s="81" t="s">
        <v>47</v>
      </c>
      <c r="N25" s="81" t="s">
        <v>49</v>
      </c>
    </row>
    <row r="26" spans="1:14">
      <c r="A26" s="100">
        <v>42625.447916666701</v>
      </c>
      <c r="B26" s="19">
        <v>1.0416666666666701E-2</v>
      </c>
      <c r="C26" s="22" t="s">
        <v>107</v>
      </c>
      <c r="D26" s="22" t="s">
        <v>48</v>
      </c>
      <c r="E26" s="10" t="s">
        <v>480</v>
      </c>
      <c r="F26" s="10" t="s">
        <v>489</v>
      </c>
      <c r="G26" s="10" t="s">
        <v>494</v>
      </c>
      <c r="H26" s="22" t="s">
        <v>2</v>
      </c>
      <c r="I26" s="10" t="s">
        <v>492</v>
      </c>
      <c r="J26" s="101">
        <v>42625.4442489352</v>
      </c>
      <c r="K26" s="11">
        <v>4</v>
      </c>
      <c r="M26" s="81" t="s">
        <v>47</v>
      </c>
      <c r="N26" s="81" t="s">
        <v>49</v>
      </c>
    </row>
    <row r="27" spans="1:14">
      <c r="A27" s="100">
        <v>42625.447916666701</v>
      </c>
      <c r="B27" s="19">
        <v>1.0416666666666701E-2</v>
      </c>
      <c r="C27" s="22" t="s">
        <v>107</v>
      </c>
      <c r="D27" s="22" t="s">
        <v>48</v>
      </c>
      <c r="E27" s="10" t="s">
        <v>480</v>
      </c>
      <c r="F27" s="10" t="s">
        <v>489</v>
      </c>
      <c r="G27" s="10" t="s">
        <v>494</v>
      </c>
      <c r="H27" s="22" t="s">
        <v>2</v>
      </c>
      <c r="I27" s="10" t="s">
        <v>492</v>
      </c>
      <c r="J27" s="101">
        <v>42625.443937488402</v>
      </c>
      <c r="K27" s="11">
        <v>5</v>
      </c>
      <c r="M27" s="81" t="s">
        <v>47</v>
      </c>
      <c r="N27" s="81" t="s">
        <v>49</v>
      </c>
    </row>
    <row r="28" spans="1:14">
      <c r="A28" s="100">
        <v>42625.447916666701</v>
      </c>
      <c r="B28" s="19">
        <v>1.0416666666666701E-2</v>
      </c>
      <c r="C28" s="22" t="s">
        <v>107</v>
      </c>
      <c r="D28" s="22" t="s">
        <v>48</v>
      </c>
      <c r="E28" s="10" t="s">
        <v>480</v>
      </c>
      <c r="F28" s="10" t="s">
        <v>489</v>
      </c>
      <c r="G28" s="10" t="s">
        <v>494</v>
      </c>
      <c r="H28" s="22" t="s">
        <v>2</v>
      </c>
      <c r="I28" s="10" t="s">
        <v>492</v>
      </c>
      <c r="J28" s="101">
        <v>42625.443808344899</v>
      </c>
      <c r="K28" s="11">
        <v>5</v>
      </c>
      <c r="M28" s="81" t="s">
        <v>47</v>
      </c>
      <c r="N28" s="81" t="s">
        <v>49</v>
      </c>
    </row>
    <row r="29" spans="1:14">
      <c r="A29" s="100">
        <v>42625.447916666701</v>
      </c>
      <c r="B29" s="19">
        <v>1.0416666666666701E-2</v>
      </c>
      <c r="C29" s="22" t="s">
        <v>107</v>
      </c>
      <c r="D29" s="22" t="s">
        <v>48</v>
      </c>
      <c r="E29" s="10" t="s">
        <v>480</v>
      </c>
      <c r="F29" s="10" t="s">
        <v>489</v>
      </c>
      <c r="G29" s="10" t="s">
        <v>494</v>
      </c>
      <c r="H29" s="22" t="s">
        <v>2</v>
      </c>
      <c r="I29" s="22" t="s">
        <v>492</v>
      </c>
      <c r="J29" s="101">
        <v>42625.444967418996</v>
      </c>
      <c r="K29" s="11">
        <v>7</v>
      </c>
      <c r="M29" s="81" t="s">
        <v>47</v>
      </c>
      <c r="N29" s="81" t="s">
        <v>49</v>
      </c>
    </row>
    <row r="30" spans="1:14">
      <c r="A30" s="100">
        <v>42625.447916666701</v>
      </c>
      <c r="B30" s="19">
        <v>1.0416666666666701E-2</v>
      </c>
      <c r="C30" s="22" t="s">
        <v>107</v>
      </c>
      <c r="D30" s="22" t="s">
        <v>48</v>
      </c>
      <c r="E30" s="10" t="s">
        <v>480</v>
      </c>
      <c r="F30" s="10" t="s">
        <v>489</v>
      </c>
      <c r="G30" s="10" t="s">
        <v>494</v>
      </c>
      <c r="H30" s="22" t="s">
        <v>2</v>
      </c>
      <c r="I30" s="10" t="s">
        <v>492</v>
      </c>
      <c r="J30" s="101">
        <v>42625.444642419003</v>
      </c>
      <c r="K30" s="11">
        <v>5</v>
      </c>
      <c r="M30" s="81" t="s">
        <v>47</v>
      </c>
      <c r="N30" s="81" t="s">
        <v>49</v>
      </c>
    </row>
    <row r="31" spans="1:14">
      <c r="A31" s="100">
        <v>42625.447916666701</v>
      </c>
      <c r="B31" s="19">
        <v>1.0416666666666701E-2</v>
      </c>
      <c r="C31" s="22" t="s">
        <v>107</v>
      </c>
      <c r="D31" s="22" t="s">
        <v>48</v>
      </c>
      <c r="E31" s="10" t="s">
        <v>480</v>
      </c>
      <c r="F31" s="10" t="s">
        <v>489</v>
      </c>
      <c r="G31" s="10" t="s">
        <v>494</v>
      </c>
      <c r="H31" s="22" t="s">
        <v>2</v>
      </c>
      <c r="I31" s="10" t="s">
        <v>492</v>
      </c>
      <c r="J31" s="101">
        <v>42625.444506574102</v>
      </c>
      <c r="K31" s="11">
        <v>5</v>
      </c>
      <c r="M31" s="81" t="s">
        <v>47</v>
      </c>
      <c r="N31" s="81" t="s">
        <v>49</v>
      </c>
    </row>
    <row r="32" spans="1:14">
      <c r="A32" s="100">
        <v>42625.447916666701</v>
      </c>
      <c r="B32" s="19">
        <v>1.0416666666666701E-2</v>
      </c>
      <c r="C32" s="22" t="s">
        <v>107</v>
      </c>
      <c r="D32" s="22" t="s">
        <v>48</v>
      </c>
      <c r="E32" s="10" t="s">
        <v>480</v>
      </c>
      <c r="F32" s="10" t="s">
        <v>489</v>
      </c>
      <c r="G32" s="10" t="s">
        <v>494</v>
      </c>
      <c r="H32" s="22" t="s">
        <v>2</v>
      </c>
      <c r="I32" s="10" t="s">
        <v>492</v>
      </c>
      <c r="J32" s="101">
        <v>42625.443731342602</v>
      </c>
      <c r="K32" s="11">
        <v>3</v>
      </c>
      <c r="M32" s="81" t="s">
        <v>47</v>
      </c>
      <c r="N32" s="81" t="s">
        <v>49</v>
      </c>
    </row>
    <row r="33" spans="1:14">
      <c r="A33" s="100">
        <v>42625.447916666701</v>
      </c>
      <c r="B33" s="19">
        <v>1.0416666666666701E-2</v>
      </c>
      <c r="C33" s="22" t="s">
        <v>107</v>
      </c>
      <c r="D33" s="22" t="s">
        <v>48</v>
      </c>
      <c r="E33" s="10" t="s">
        <v>480</v>
      </c>
      <c r="F33" s="10" t="s">
        <v>489</v>
      </c>
      <c r="G33" s="10" t="s">
        <v>494</v>
      </c>
      <c r="H33" s="22" t="s">
        <v>2</v>
      </c>
      <c r="I33" s="10" t="s">
        <v>492</v>
      </c>
      <c r="J33" s="101">
        <v>42625.443672905101</v>
      </c>
      <c r="K33" s="11">
        <v>1</v>
      </c>
      <c r="M33" s="81" t="s">
        <v>47</v>
      </c>
      <c r="N33" s="81" t="s">
        <v>49</v>
      </c>
    </row>
    <row r="34" spans="1:14">
      <c r="A34" s="100">
        <v>42625.447916666701</v>
      </c>
      <c r="B34" s="19">
        <v>1.0416666666666701E-2</v>
      </c>
      <c r="C34" s="22" t="s">
        <v>107</v>
      </c>
      <c r="D34" s="22" t="s">
        <v>48</v>
      </c>
      <c r="E34" s="10" t="s">
        <v>480</v>
      </c>
      <c r="F34" s="10" t="s">
        <v>484</v>
      </c>
      <c r="I34" s="10"/>
      <c r="J34" s="101">
        <v>42625.444821585603</v>
      </c>
      <c r="K34" s="11">
        <v>2</v>
      </c>
    </row>
    <row r="35" spans="1:14">
      <c r="A35" s="100">
        <v>42625.447916666701</v>
      </c>
      <c r="B35" s="19">
        <v>1.0416666666666701E-2</v>
      </c>
      <c r="C35" s="22" t="s">
        <v>107</v>
      </c>
      <c r="D35" s="22" t="s">
        <v>48</v>
      </c>
      <c r="E35" s="10" t="s">
        <v>480</v>
      </c>
      <c r="F35" s="10" t="s">
        <v>488</v>
      </c>
      <c r="G35" s="10" t="s">
        <v>493</v>
      </c>
      <c r="H35" s="22" t="s">
        <v>2</v>
      </c>
      <c r="I35" s="10" t="s">
        <v>492</v>
      </c>
      <c r="J35" s="101">
        <v>42625.438943796296</v>
      </c>
      <c r="K35" s="11">
        <v>1</v>
      </c>
      <c r="M35" s="81" t="s">
        <v>47</v>
      </c>
      <c r="N35" s="81" t="s">
        <v>49</v>
      </c>
    </row>
    <row r="36" spans="1:14">
      <c r="A36" s="100">
        <v>42625.4375</v>
      </c>
      <c r="B36" s="19">
        <v>1.0416666666666701E-2</v>
      </c>
      <c r="C36" s="22" t="s">
        <v>107</v>
      </c>
      <c r="D36" s="22" t="s">
        <v>48</v>
      </c>
      <c r="E36" s="10" t="s">
        <v>480</v>
      </c>
      <c r="F36" s="10" t="s">
        <v>483</v>
      </c>
      <c r="G36" s="10" t="s">
        <v>491</v>
      </c>
      <c r="H36" s="22" t="s">
        <v>2</v>
      </c>
      <c r="I36" s="22" t="s">
        <v>492</v>
      </c>
      <c r="J36" s="101">
        <v>42625.435046516199</v>
      </c>
      <c r="K36" s="11">
        <v>4</v>
      </c>
      <c r="M36" s="81" t="s">
        <v>47</v>
      </c>
      <c r="N36" s="81" t="s">
        <v>49</v>
      </c>
    </row>
    <row r="37" spans="1:14">
      <c r="A37" s="100">
        <v>42625.4375</v>
      </c>
      <c r="B37" s="19">
        <v>1.0416666666666701E-2</v>
      </c>
      <c r="C37" s="22" t="s">
        <v>107</v>
      </c>
      <c r="D37" s="22" t="s">
        <v>48</v>
      </c>
      <c r="E37" s="10" t="s">
        <v>480</v>
      </c>
      <c r="F37" s="10" t="s">
        <v>483</v>
      </c>
      <c r="G37" s="10" t="s">
        <v>491</v>
      </c>
      <c r="H37" s="22" t="s">
        <v>2</v>
      </c>
      <c r="I37" s="10" t="s">
        <v>492</v>
      </c>
      <c r="J37" s="101">
        <v>42625.434333391197</v>
      </c>
      <c r="K37" s="11">
        <v>1</v>
      </c>
      <c r="M37" s="81" t="s">
        <v>47</v>
      </c>
      <c r="N37" s="81" t="s">
        <v>49</v>
      </c>
    </row>
    <row r="38" spans="1:14">
      <c r="A38" s="100">
        <v>42625.4375</v>
      </c>
      <c r="B38" s="19">
        <v>1.0416666666666701E-2</v>
      </c>
      <c r="C38" s="22" t="s">
        <v>107</v>
      </c>
      <c r="D38" s="22" t="s">
        <v>48</v>
      </c>
      <c r="E38" s="10" t="s">
        <v>480</v>
      </c>
      <c r="F38" s="10" t="s">
        <v>483</v>
      </c>
      <c r="G38" s="10" t="s">
        <v>491</v>
      </c>
      <c r="H38" s="22" t="s">
        <v>2</v>
      </c>
      <c r="I38" s="10" t="s">
        <v>492</v>
      </c>
      <c r="J38" s="101">
        <v>42625.4335628935</v>
      </c>
      <c r="K38" s="11">
        <v>2</v>
      </c>
      <c r="M38" s="81" t="s">
        <v>47</v>
      </c>
      <c r="N38" s="81" t="s">
        <v>49</v>
      </c>
    </row>
    <row r="39" spans="1:14">
      <c r="A39" s="100">
        <v>42625.4375</v>
      </c>
      <c r="B39" s="19">
        <v>1.0416666666666701E-2</v>
      </c>
      <c r="C39" s="22" t="s">
        <v>107</v>
      </c>
      <c r="D39" s="22" t="s">
        <v>48</v>
      </c>
      <c r="E39" s="10" t="s">
        <v>480</v>
      </c>
      <c r="F39" s="10" t="s">
        <v>484</v>
      </c>
      <c r="I39" s="10"/>
      <c r="J39" s="101">
        <v>42625.436727592598</v>
      </c>
      <c r="K39" s="11">
        <v>1</v>
      </c>
    </row>
    <row r="40" spans="1:14">
      <c r="A40" s="100">
        <v>42625.4375</v>
      </c>
      <c r="B40" s="19">
        <v>1.0416666666666701E-2</v>
      </c>
      <c r="C40" s="22" t="s">
        <v>107</v>
      </c>
      <c r="D40" s="22" t="s">
        <v>48</v>
      </c>
      <c r="E40" s="10" t="s">
        <v>480</v>
      </c>
      <c r="F40" s="10" t="s">
        <v>484</v>
      </c>
      <c r="I40" s="10"/>
      <c r="J40" s="101">
        <v>42625.435050428197</v>
      </c>
      <c r="K40" s="11">
        <v>3</v>
      </c>
    </row>
    <row r="41" spans="1:14">
      <c r="A41" s="100">
        <v>42625.4375</v>
      </c>
      <c r="B41" s="19">
        <v>1.0416666666666701E-2</v>
      </c>
      <c r="C41" s="22" t="s">
        <v>107</v>
      </c>
      <c r="D41" s="22" t="s">
        <v>48</v>
      </c>
      <c r="E41" s="10" t="s">
        <v>480</v>
      </c>
      <c r="F41" s="10" t="s">
        <v>484</v>
      </c>
      <c r="I41" s="10"/>
      <c r="J41" s="101">
        <v>42625.433836689801</v>
      </c>
      <c r="K41" s="11">
        <v>3</v>
      </c>
    </row>
    <row r="42" spans="1:14">
      <c r="A42" s="100">
        <v>42625.4375</v>
      </c>
      <c r="B42" s="19">
        <v>1.0416666666666701E-2</v>
      </c>
      <c r="C42" s="22" t="s">
        <v>107</v>
      </c>
      <c r="D42" s="22" t="s">
        <v>48</v>
      </c>
      <c r="E42" s="10" t="s">
        <v>480</v>
      </c>
      <c r="F42" s="10" t="s">
        <v>484</v>
      </c>
      <c r="I42" s="10"/>
      <c r="J42" s="101">
        <v>42625.433578333301</v>
      </c>
      <c r="K42" s="11">
        <v>4</v>
      </c>
    </row>
    <row r="43" spans="1:14">
      <c r="A43" s="100">
        <v>42625.4375</v>
      </c>
      <c r="B43" s="19">
        <v>1.0416666666666701E-2</v>
      </c>
      <c r="C43" s="22" t="s">
        <v>107</v>
      </c>
      <c r="D43" s="22" t="s">
        <v>48</v>
      </c>
      <c r="E43" s="10" t="s">
        <v>480</v>
      </c>
      <c r="F43" s="10" t="s">
        <v>485</v>
      </c>
      <c r="G43" s="10" t="s">
        <v>495</v>
      </c>
      <c r="H43" s="10" t="s">
        <v>501</v>
      </c>
      <c r="I43" s="22" t="s">
        <v>504</v>
      </c>
      <c r="J43" s="101">
        <v>42625.4281066435</v>
      </c>
      <c r="K43" s="11">
        <v>1</v>
      </c>
    </row>
    <row r="44" spans="1:14">
      <c r="A44" s="100">
        <v>42625.4375</v>
      </c>
      <c r="B44" s="19">
        <v>1.0416666666666701E-2</v>
      </c>
      <c r="C44" s="22" t="s">
        <v>107</v>
      </c>
      <c r="D44" s="22" t="s">
        <v>48</v>
      </c>
      <c r="E44" s="10" t="s">
        <v>480</v>
      </c>
      <c r="F44" s="10" t="s">
        <v>487</v>
      </c>
      <c r="I44" s="10"/>
      <c r="J44" s="101">
        <v>42625.437197847197</v>
      </c>
      <c r="K44" s="11">
        <v>15</v>
      </c>
    </row>
    <row r="45" spans="1:14">
      <c r="A45" s="100">
        <v>42625.4375</v>
      </c>
      <c r="B45" s="19">
        <v>1.0416666666666701E-2</v>
      </c>
      <c r="C45" s="22" t="s">
        <v>107</v>
      </c>
      <c r="D45" s="22" t="s">
        <v>48</v>
      </c>
      <c r="E45" s="10" t="s">
        <v>480</v>
      </c>
      <c r="F45" s="10" t="s">
        <v>487</v>
      </c>
      <c r="I45" s="10"/>
      <c r="J45" s="101">
        <v>42625.437189525503</v>
      </c>
      <c r="K45" s="11">
        <v>15</v>
      </c>
    </row>
    <row r="46" spans="1:14">
      <c r="A46" s="100">
        <v>42625.4375</v>
      </c>
      <c r="B46" s="19">
        <v>1.0416666666666701E-2</v>
      </c>
      <c r="C46" s="22" t="s">
        <v>107</v>
      </c>
      <c r="D46" s="22" t="s">
        <v>48</v>
      </c>
      <c r="E46" s="10" t="s">
        <v>480</v>
      </c>
      <c r="F46" s="10" t="s">
        <v>487</v>
      </c>
      <c r="I46" s="10"/>
      <c r="J46" s="101">
        <v>42625.437093090302</v>
      </c>
      <c r="K46" s="11">
        <v>15</v>
      </c>
    </row>
    <row r="47" spans="1:14">
      <c r="A47" s="100">
        <v>42625.4375</v>
      </c>
      <c r="B47" s="19">
        <v>1.0416666666666701E-2</v>
      </c>
      <c r="C47" s="22" t="s">
        <v>107</v>
      </c>
      <c r="D47" s="22" t="s">
        <v>48</v>
      </c>
      <c r="E47" s="10" t="s">
        <v>480</v>
      </c>
      <c r="F47" s="10" t="s">
        <v>487</v>
      </c>
      <c r="I47" s="10"/>
      <c r="J47" s="101">
        <v>42625.437067858802</v>
      </c>
      <c r="K47" s="11">
        <v>15</v>
      </c>
    </row>
    <row r="48" spans="1:14">
      <c r="A48" s="100">
        <v>42625.4375</v>
      </c>
      <c r="B48" s="19">
        <v>1.0416666666666701E-2</v>
      </c>
      <c r="C48" s="22" t="s">
        <v>107</v>
      </c>
      <c r="D48" s="22" t="s">
        <v>48</v>
      </c>
      <c r="E48" s="10" t="s">
        <v>480</v>
      </c>
      <c r="F48" s="10" t="s">
        <v>487</v>
      </c>
      <c r="I48" s="10"/>
      <c r="J48" s="101">
        <v>42625.429922546296</v>
      </c>
      <c r="K48" s="11">
        <v>3</v>
      </c>
    </row>
    <row r="49" spans="1:14">
      <c r="A49" s="100">
        <v>42625.4375</v>
      </c>
      <c r="B49" s="19">
        <v>1.0416666666666701E-2</v>
      </c>
      <c r="C49" s="22" t="s">
        <v>107</v>
      </c>
      <c r="D49" s="22" t="s">
        <v>48</v>
      </c>
      <c r="E49" s="10" t="s">
        <v>480</v>
      </c>
      <c r="F49" s="10" t="s">
        <v>488</v>
      </c>
      <c r="G49" s="10" t="s">
        <v>493</v>
      </c>
      <c r="H49" s="22" t="s">
        <v>2</v>
      </c>
      <c r="I49" s="10" t="s">
        <v>492</v>
      </c>
      <c r="J49" s="101">
        <v>42625.428740000003</v>
      </c>
      <c r="K49" s="11">
        <v>1</v>
      </c>
      <c r="M49" s="81" t="s">
        <v>47</v>
      </c>
      <c r="N49" s="81" t="s">
        <v>49</v>
      </c>
    </row>
    <row r="50" spans="1:14">
      <c r="A50" s="100">
        <v>42625.4375</v>
      </c>
      <c r="B50" s="19">
        <v>1.0416666666666701E-2</v>
      </c>
      <c r="C50" s="22" t="s">
        <v>107</v>
      </c>
      <c r="D50" s="22" t="s">
        <v>48</v>
      </c>
      <c r="E50" s="10" t="s">
        <v>480</v>
      </c>
      <c r="F50" s="10" t="s">
        <v>488</v>
      </c>
      <c r="G50" s="10" t="s">
        <v>493</v>
      </c>
      <c r="H50" s="22" t="s">
        <v>2</v>
      </c>
      <c r="I50" s="10" t="s">
        <v>492</v>
      </c>
      <c r="J50" s="101">
        <v>42625.428721620403</v>
      </c>
      <c r="K50" s="11">
        <v>1</v>
      </c>
      <c r="M50" s="81" t="s">
        <v>47</v>
      </c>
      <c r="N50" s="81" t="s">
        <v>49</v>
      </c>
    </row>
    <row r="51" spans="1:14">
      <c r="A51" s="100">
        <v>42625.4375</v>
      </c>
      <c r="B51" s="19">
        <v>1.0416666666666701E-2</v>
      </c>
      <c r="C51" s="22" t="s">
        <v>107</v>
      </c>
      <c r="D51" s="22" t="s">
        <v>48</v>
      </c>
      <c r="E51" s="10" t="s">
        <v>480</v>
      </c>
      <c r="F51" s="10" t="s">
        <v>488</v>
      </c>
      <c r="G51" s="10" t="s">
        <v>493</v>
      </c>
      <c r="H51" s="22" t="s">
        <v>2</v>
      </c>
      <c r="I51" s="10" t="s">
        <v>492</v>
      </c>
      <c r="J51" s="101">
        <v>42625.428928530098</v>
      </c>
      <c r="K51" s="11">
        <v>1</v>
      </c>
      <c r="M51" s="81" t="s">
        <v>47</v>
      </c>
      <c r="N51" s="81" t="s">
        <v>49</v>
      </c>
    </row>
    <row r="52" spans="1:14">
      <c r="A52" s="100">
        <v>42625.4375</v>
      </c>
      <c r="B52" s="19">
        <v>1.0416666666666701E-2</v>
      </c>
      <c r="C52" s="22" t="s">
        <v>107</v>
      </c>
      <c r="D52" s="22" t="s">
        <v>48</v>
      </c>
      <c r="E52" s="10" t="s">
        <v>480</v>
      </c>
      <c r="F52" s="10" t="s">
        <v>488</v>
      </c>
      <c r="G52" s="10" t="s">
        <v>493</v>
      </c>
      <c r="H52" s="22" t="s">
        <v>2</v>
      </c>
      <c r="I52" s="10" t="s">
        <v>492</v>
      </c>
      <c r="J52" s="101">
        <v>42625.428927650501</v>
      </c>
      <c r="K52" s="11">
        <v>2</v>
      </c>
      <c r="M52" s="81" t="s">
        <v>47</v>
      </c>
      <c r="N52" s="81" t="s">
        <v>49</v>
      </c>
    </row>
    <row r="53" spans="1:14">
      <c r="A53" s="100">
        <v>42625.4375</v>
      </c>
      <c r="B53" s="19">
        <v>1.0416666666666701E-2</v>
      </c>
      <c r="C53" s="22" t="s">
        <v>107</v>
      </c>
      <c r="D53" s="22" t="s">
        <v>48</v>
      </c>
      <c r="E53" s="10" t="s">
        <v>480</v>
      </c>
      <c r="F53" s="10" t="s">
        <v>488</v>
      </c>
      <c r="G53" s="10" t="s">
        <v>493</v>
      </c>
      <c r="H53" s="22" t="s">
        <v>2</v>
      </c>
      <c r="I53" s="10" t="s">
        <v>492</v>
      </c>
      <c r="J53" s="101">
        <v>42625.428878877297</v>
      </c>
      <c r="K53" s="11">
        <v>1</v>
      </c>
      <c r="M53" s="81" t="s">
        <v>47</v>
      </c>
      <c r="N53" s="81" t="s">
        <v>49</v>
      </c>
    </row>
    <row r="54" spans="1:14">
      <c r="A54" s="100">
        <v>42625.4375</v>
      </c>
      <c r="B54" s="19">
        <v>1.0416666666666701E-2</v>
      </c>
      <c r="C54" s="22" t="s">
        <v>107</v>
      </c>
      <c r="D54" s="22" t="s">
        <v>48</v>
      </c>
      <c r="E54" s="10" t="s">
        <v>480</v>
      </c>
      <c r="F54" s="10" t="s">
        <v>488</v>
      </c>
      <c r="G54" s="10" t="s">
        <v>493</v>
      </c>
      <c r="H54" s="22" t="s">
        <v>2</v>
      </c>
      <c r="I54" s="10" t="s">
        <v>492</v>
      </c>
      <c r="J54" s="101">
        <v>42625.428877129598</v>
      </c>
      <c r="K54" s="11">
        <v>1</v>
      </c>
      <c r="M54" s="81" t="s">
        <v>47</v>
      </c>
      <c r="N54" s="81" t="s">
        <v>49</v>
      </c>
    </row>
    <row r="55" spans="1:14">
      <c r="A55" s="100">
        <v>42625.4375</v>
      </c>
      <c r="B55" s="19">
        <v>1.0416666666666701E-2</v>
      </c>
      <c r="C55" s="22" t="s">
        <v>107</v>
      </c>
      <c r="D55" s="22" t="s">
        <v>48</v>
      </c>
      <c r="E55" s="10" t="s">
        <v>480</v>
      </c>
      <c r="F55" s="10" t="s">
        <v>489</v>
      </c>
      <c r="G55" s="10" t="s">
        <v>494</v>
      </c>
      <c r="H55" s="22" t="s">
        <v>2</v>
      </c>
      <c r="I55" s="10" t="s">
        <v>492</v>
      </c>
      <c r="J55" s="101">
        <v>42625.437392453699</v>
      </c>
      <c r="K55" s="11">
        <v>10</v>
      </c>
      <c r="M55" s="81" t="s">
        <v>47</v>
      </c>
      <c r="N55" s="81" t="s">
        <v>49</v>
      </c>
    </row>
    <row r="56" spans="1:14">
      <c r="A56" s="100">
        <v>42625.4375</v>
      </c>
      <c r="B56" s="19">
        <v>1.0416666666666701E-2</v>
      </c>
      <c r="C56" s="22" t="s">
        <v>107</v>
      </c>
      <c r="D56" s="22" t="s">
        <v>48</v>
      </c>
      <c r="E56" s="10" t="s">
        <v>480</v>
      </c>
      <c r="F56" s="10" t="s">
        <v>489</v>
      </c>
      <c r="G56" s="10" t="s">
        <v>494</v>
      </c>
      <c r="H56" s="22" t="s">
        <v>2</v>
      </c>
      <c r="I56" s="10" t="s">
        <v>492</v>
      </c>
      <c r="J56" s="101">
        <v>42625.437198182903</v>
      </c>
      <c r="K56" s="11">
        <v>7</v>
      </c>
      <c r="M56" s="81" t="s">
        <v>47</v>
      </c>
      <c r="N56" s="81" t="s">
        <v>49</v>
      </c>
    </row>
    <row r="57" spans="1:14">
      <c r="A57" s="100">
        <v>42625.4375</v>
      </c>
      <c r="B57" s="19">
        <v>1.0416666666666701E-2</v>
      </c>
      <c r="C57" s="22" t="s">
        <v>107</v>
      </c>
      <c r="D57" s="22" t="s">
        <v>48</v>
      </c>
      <c r="E57" s="10" t="s">
        <v>480</v>
      </c>
      <c r="F57" s="10" t="s">
        <v>489</v>
      </c>
      <c r="G57" s="10" t="s">
        <v>494</v>
      </c>
      <c r="H57" s="22" t="s">
        <v>2</v>
      </c>
      <c r="I57" s="10" t="s">
        <v>492</v>
      </c>
      <c r="J57" s="101">
        <v>42625.437087418999</v>
      </c>
      <c r="K57" s="11">
        <v>7</v>
      </c>
      <c r="M57" s="81" t="s">
        <v>47</v>
      </c>
      <c r="N57" s="81" t="s">
        <v>49</v>
      </c>
    </row>
    <row r="58" spans="1:14">
      <c r="A58" s="100">
        <v>42625.4375</v>
      </c>
      <c r="B58" s="19">
        <v>1.0416666666666701E-2</v>
      </c>
      <c r="C58" s="22" t="s">
        <v>107</v>
      </c>
      <c r="D58" s="22" t="s">
        <v>48</v>
      </c>
      <c r="E58" s="10" t="s">
        <v>480</v>
      </c>
      <c r="F58" s="10" t="s">
        <v>489</v>
      </c>
      <c r="G58" s="10" t="s">
        <v>494</v>
      </c>
      <c r="H58" s="22" t="s">
        <v>2</v>
      </c>
      <c r="I58" s="10" t="s">
        <v>492</v>
      </c>
      <c r="J58" s="101">
        <v>42625.437021770798</v>
      </c>
      <c r="K58" s="11">
        <v>9</v>
      </c>
      <c r="M58" s="81" t="s">
        <v>47</v>
      </c>
      <c r="N58" s="81" t="s">
        <v>49</v>
      </c>
    </row>
    <row r="59" spans="1:14">
      <c r="A59" s="100">
        <v>42625.4375</v>
      </c>
      <c r="B59" s="19">
        <v>1.0416666666666701E-2</v>
      </c>
      <c r="C59" s="22" t="s">
        <v>107</v>
      </c>
      <c r="D59" s="22" t="s">
        <v>48</v>
      </c>
      <c r="E59" s="10" t="s">
        <v>480</v>
      </c>
      <c r="F59" s="10" t="s">
        <v>489</v>
      </c>
      <c r="G59" s="10" t="s">
        <v>494</v>
      </c>
      <c r="H59" s="22" t="s">
        <v>2</v>
      </c>
      <c r="I59" s="10" t="s">
        <v>492</v>
      </c>
      <c r="J59" s="101">
        <v>42625.434791145803</v>
      </c>
      <c r="K59" s="11">
        <v>5</v>
      </c>
      <c r="M59" s="81" t="s">
        <v>47</v>
      </c>
      <c r="N59" s="81" t="s">
        <v>49</v>
      </c>
    </row>
    <row r="60" spans="1:14">
      <c r="A60" s="100">
        <v>42625.4375</v>
      </c>
      <c r="B60" s="19">
        <v>1.0416666666666701E-2</v>
      </c>
      <c r="C60" s="22" t="s">
        <v>107</v>
      </c>
      <c r="D60" s="22" t="s">
        <v>48</v>
      </c>
      <c r="E60" s="10" t="s">
        <v>480</v>
      </c>
      <c r="F60" s="10" t="s">
        <v>489</v>
      </c>
      <c r="G60" s="10" t="s">
        <v>494</v>
      </c>
      <c r="H60" s="22" t="s">
        <v>2</v>
      </c>
      <c r="I60" s="10" t="s">
        <v>492</v>
      </c>
      <c r="J60" s="101">
        <v>42625.436934826401</v>
      </c>
      <c r="K60" s="11">
        <v>9</v>
      </c>
      <c r="M60" s="81" t="s">
        <v>47</v>
      </c>
      <c r="N60" s="81" t="s">
        <v>49</v>
      </c>
    </row>
    <row r="61" spans="1:14">
      <c r="A61" s="100">
        <v>42625.4375</v>
      </c>
      <c r="B61" s="19">
        <v>1.0416666666666701E-2</v>
      </c>
      <c r="C61" s="22" t="s">
        <v>107</v>
      </c>
      <c r="D61" s="22" t="s">
        <v>48</v>
      </c>
      <c r="E61" s="10" t="s">
        <v>480</v>
      </c>
      <c r="F61" s="10" t="s">
        <v>489</v>
      </c>
      <c r="G61" s="10" t="s">
        <v>494</v>
      </c>
      <c r="H61" s="22" t="s">
        <v>2</v>
      </c>
      <c r="I61" s="10" t="s">
        <v>492</v>
      </c>
      <c r="J61" s="101">
        <v>42625.4358123032</v>
      </c>
      <c r="K61" s="11">
        <v>4</v>
      </c>
      <c r="M61" s="81" t="s">
        <v>47</v>
      </c>
      <c r="N61" s="81" t="s">
        <v>49</v>
      </c>
    </row>
    <row r="62" spans="1:14">
      <c r="A62" s="100">
        <v>42625.4375</v>
      </c>
      <c r="B62" s="19">
        <v>1.0416666666666701E-2</v>
      </c>
      <c r="C62" s="22" t="s">
        <v>107</v>
      </c>
      <c r="D62" s="22" t="s">
        <v>48</v>
      </c>
      <c r="E62" s="10" t="s">
        <v>480</v>
      </c>
      <c r="F62" s="10" t="s">
        <v>489</v>
      </c>
      <c r="G62" s="10" t="s">
        <v>494</v>
      </c>
      <c r="H62" s="22" t="s">
        <v>2</v>
      </c>
      <c r="I62" s="10" t="s">
        <v>492</v>
      </c>
      <c r="J62" s="101">
        <v>42625.435456574101</v>
      </c>
      <c r="K62" s="11">
        <v>5</v>
      </c>
      <c r="M62" s="81" t="s">
        <v>47</v>
      </c>
      <c r="N62" s="81" t="s">
        <v>49</v>
      </c>
    </row>
    <row r="63" spans="1:14">
      <c r="A63" s="100">
        <v>42625.4375</v>
      </c>
      <c r="B63" s="19">
        <v>1.0416666666666701E-2</v>
      </c>
      <c r="C63" s="22" t="s">
        <v>107</v>
      </c>
      <c r="D63" s="22" t="s">
        <v>48</v>
      </c>
      <c r="E63" s="10" t="s">
        <v>480</v>
      </c>
      <c r="F63" s="10" t="s">
        <v>489</v>
      </c>
      <c r="G63" s="10" t="s">
        <v>494</v>
      </c>
      <c r="H63" s="22" t="s">
        <v>2</v>
      </c>
      <c r="I63" s="10" t="s">
        <v>492</v>
      </c>
      <c r="J63" s="101">
        <v>42625.4342049884</v>
      </c>
      <c r="K63" s="11">
        <v>7</v>
      </c>
      <c r="M63" s="81" t="s">
        <v>47</v>
      </c>
      <c r="N63" s="81" t="s">
        <v>49</v>
      </c>
    </row>
    <row r="64" spans="1:14">
      <c r="A64" s="100">
        <v>42625.4375</v>
      </c>
      <c r="B64" s="19">
        <v>1.0416666666666701E-2</v>
      </c>
      <c r="C64" s="22" t="s">
        <v>107</v>
      </c>
      <c r="D64" s="22" t="s">
        <v>48</v>
      </c>
      <c r="E64" s="10" t="s">
        <v>480</v>
      </c>
      <c r="F64" s="10" t="s">
        <v>489</v>
      </c>
      <c r="G64" s="10" t="s">
        <v>494</v>
      </c>
      <c r="H64" s="22" t="s">
        <v>2</v>
      </c>
      <c r="I64" s="10" t="s">
        <v>492</v>
      </c>
      <c r="J64" s="101">
        <v>42625.433444525501</v>
      </c>
      <c r="K64" s="11">
        <v>7</v>
      </c>
      <c r="M64" s="81" t="s">
        <v>47</v>
      </c>
      <c r="N64" s="81" t="s">
        <v>49</v>
      </c>
    </row>
    <row r="65" spans="1:14">
      <c r="A65" s="100">
        <v>42625.4375</v>
      </c>
      <c r="B65" s="19">
        <v>1.0416666666666701E-2</v>
      </c>
      <c r="C65" s="22" t="s">
        <v>107</v>
      </c>
      <c r="D65" s="22" t="s">
        <v>48</v>
      </c>
      <c r="E65" s="10" t="s">
        <v>480</v>
      </c>
      <c r="F65" s="10" t="s">
        <v>483</v>
      </c>
      <c r="G65" s="10" t="s">
        <v>491</v>
      </c>
      <c r="H65" s="22" t="s">
        <v>2</v>
      </c>
      <c r="I65" s="10" t="s">
        <v>492</v>
      </c>
      <c r="J65" s="101">
        <v>42625.4343277546</v>
      </c>
      <c r="K65" s="11">
        <v>1</v>
      </c>
      <c r="M65" s="81" t="s">
        <v>47</v>
      </c>
      <c r="N65" s="81" t="s">
        <v>49</v>
      </c>
    </row>
    <row r="66" spans="1:14">
      <c r="A66" s="100">
        <v>42625.4375</v>
      </c>
      <c r="B66" s="19">
        <v>1.0416666666666701E-2</v>
      </c>
      <c r="C66" s="22" t="s">
        <v>107</v>
      </c>
      <c r="D66" s="22" t="s">
        <v>48</v>
      </c>
      <c r="E66" s="10" t="s">
        <v>480</v>
      </c>
      <c r="F66" s="10" t="s">
        <v>484</v>
      </c>
      <c r="I66" s="10"/>
      <c r="J66" s="101">
        <v>42625.434380081002</v>
      </c>
      <c r="K66" s="11">
        <v>3</v>
      </c>
    </row>
    <row r="67" spans="1:14">
      <c r="A67" s="100">
        <v>42625.4375</v>
      </c>
      <c r="B67" s="19">
        <v>1.0416666666666701E-2</v>
      </c>
      <c r="C67" s="22" t="s">
        <v>107</v>
      </c>
      <c r="D67" s="22" t="s">
        <v>48</v>
      </c>
      <c r="E67" s="10" t="s">
        <v>480</v>
      </c>
      <c r="F67" s="10" t="s">
        <v>484</v>
      </c>
      <c r="I67" s="10"/>
      <c r="J67" s="101">
        <v>42625.433583530103</v>
      </c>
      <c r="K67" s="11">
        <v>2</v>
      </c>
    </row>
    <row r="68" spans="1:14">
      <c r="A68" s="100">
        <v>42625.427083333299</v>
      </c>
      <c r="B68" s="19">
        <v>1.0416666666666701E-2</v>
      </c>
      <c r="C68" s="22" t="s">
        <v>107</v>
      </c>
      <c r="D68" s="22" t="s">
        <v>48</v>
      </c>
      <c r="E68" s="10" t="s">
        <v>480</v>
      </c>
      <c r="F68" s="10" t="s">
        <v>483</v>
      </c>
      <c r="G68" s="10" t="s">
        <v>491</v>
      </c>
      <c r="H68" s="22" t="s">
        <v>2</v>
      </c>
      <c r="I68" s="10" t="s">
        <v>492</v>
      </c>
      <c r="J68" s="101">
        <v>42625.420727754601</v>
      </c>
      <c r="K68" s="11">
        <v>1</v>
      </c>
      <c r="M68" s="81" t="s">
        <v>47</v>
      </c>
      <c r="N68" s="81" t="s">
        <v>49</v>
      </c>
    </row>
    <row r="69" spans="1:14">
      <c r="A69" s="100">
        <v>42625.427083333299</v>
      </c>
      <c r="B69" s="19">
        <v>1.0416666666666701E-2</v>
      </c>
      <c r="C69" s="22" t="s">
        <v>107</v>
      </c>
      <c r="D69" s="22" t="s">
        <v>48</v>
      </c>
      <c r="E69" s="10" t="s">
        <v>480</v>
      </c>
      <c r="F69" s="10" t="s">
        <v>484</v>
      </c>
      <c r="I69" s="10"/>
      <c r="J69" s="101">
        <v>42625.425633877298</v>
      </c>
      <c r="K69" s="11">
        <v>2</v>
      </c>
    </row>
    <row r="70" spans="1:14">
      <c r="A70" s="100">
        <v>42625.427083333299</v>
      </c>
      <c r="B70" s="19">
        <v>1.0416666666666701E-2</v>
      </c>
      <c r="C70" s="22" t="s">
        <v>107</v>
      </c>
      <c r="D70" s="22" t="s">
        <v>48</v>
      </c>
      <c r="E70" s="10" t="s">
        <v>480</v>
      </c>
      <c r="F70" s="10" t="s">
        <v>484</v>
      </c>
      <c r="I70" s="10"/>
      <c r="J70" s="101">
        <v>42625.424192488397</v>
      </c>
      <c r="K70" s="11">
        <v>5</v>
      </c>
    </row>
    <row r="71" spans="1:14">
      <c r="A71" s="100">
        <v>42625.427083333299</v>
      </c>
      <c r="B71" s="19">
        <v>1.0416666666666701E-2</v>
      </c>
      <c r="C71" s="22" t="s">
        <v>107</v>
      </c>
      <c r="D71" s="22" t="s">
        <v>48</v>
      </c>
      <c r="E71" s="10" t="s">
        <v>480</v>
      </c>
      <c r="F71" s="10" t="s">
        <v>484</v>
      </c>
      <c r="I71" s="10"/>
      <c r="J71" s="101">
        <v>42625.4203659954</v>
      </c>
      <c r="K71" s="11">
        <v>1</v>
      </c>
    </row>
    <row r="72" spans="1:14">
      <c r="A72" s="100">
        <v>42625.427083333299</v>
      </c>
      <c r="B72" s="19">
        <v>1.0416666666666701E-2</v>
      </c>
      <c r="C72" s="22" t="s">
        <v>107</v>
      </c>
      <c r="D72" s="22" t="s">
        <v>48</v>
      </c>
      <c r="E72" s="10" t="s">
        <v>480</v>
      </c>
      <c r="F72" s="10" t="s">
        <v>484</v>
      </c>
      <c r="I72" s="10"/>
      <c r="J72" s="101">
        <v>42625.419559050897</v>
      </c>
      <c r="K72" s="11">
        <v>2</v>
      </c>
    </row>
    <row r="73" spans="1:14">
      <c r="A73" s="100">
        <v>42625.427083333299</v>
      </c>
      <c r="B73" s="19">
        <v>1.0416666666666701E-2</v>
      </c>
      <c r="C73" s="22" t="s">
        <v>107</v>
      </c>
      <c r="D73" s="22" t="s">
        <v>48</v>
      </c>
      <c r="E73" s="10" t="s">
        <v>480</v>
      </c>
      <c r="F73" s="10" t="s">
        <v>485</v>
      </c>
      <c r="G73" s="10" t="s">
        <v>496</v>
      </c>
      <c r="H73" s="10" t="s">
        <v>501</v>
      </c>
      <c r="I73" s="10" t="s">
        <v>505</v>
      </c>
      <c r="J73" s="101">
        <v>42625.425661597197</v>
      </c>
      <c r="K73" s="11">
        <v>1</v>
      </c>
    </row>
    <row r="74" spans="1:14">
      <c r="A74" s="100">
        <v>42625.427083333299</v>
      </c>
      <c r="B74" s="19">
        <v>1.0416666666666701E-2</v>
      </c>
      <c r="C74" s="22" t="s">
        <v>107</v>
      </c>
      <c r="D74" s="22" t="s">
        <v>48</v>
      </c>
      <c r="E74" s="10" t="s">
        <v>480</v>
      </c>
      <c r="F74" s="10" t="s">
        <v>485</v>
      </c>
      <c r="G74" s="10" t="s">
        <v>497</v>
      </c>
      <c r="H74" s="10" t="s">
        <v>501</v>
      </c>
      <c r="I74" s="10" t="s">
        <v>506</v>
      </c>
      <c r="J74" s="101">
        <v>42625.420063310201</v>
      </c>
      <c r="K74" s="11">
        <v>1</v>
      </c>
    </row>
    <row r="75" spans="1:14">
      <c r="A75" s="100">
        <v>42625.427083333299</v>
      </c>
      <c r="B75" s="19">
        <v>1.0416666666666701E-2</v>
      </c>
      <c r="C75" s="22" t="s">
        <v>107</v>
      </c>
      <c r="D75" s="22" t="s">
        <v>48</v>
      </c>
      <c r="E75" s="10" t="s">
        <v>480</v>
      </c>
      <c r="F75" s="10" t="s">
        <v>485</v>
      </c>
      <c r="G75" s="10" t="s">
        <v>498</v>
      </c>
      <c r="H75" s="10" t="s">
        <v>501</v>
      </c>
      <c r="I75" s="10" t="s">
        <v>507</v>
      </c>
      <c r="J75" s="101">
        <v>42625.420212430603</v>
      </c>
      <c r="K75" s="11">
        <v>1</v>
      </c>
    </row>
    <row r="76" spans="1:14">
      <c r="A76" s="100">
        <v>42625.427083333299</v>
      </c>
      <c r="B76" s="19">
        <v>1.0416666666666701E-2</v>
      </c>
      <c r="C76" s="22" t="s">
        <v>107</v>
      </c>
      <c r="D76" s="22" t="s">
        <v>48</v>
      </c>
      <c r="E76" s="10" t="s">
        <v>480</v>
      </c>
      <c r="F76" s="10" t="s">
        <v>485</v>
      </c>
      <c r="G76" s="10" t="s">
        <v>499</v>
      </c>
      <c r="H76" s="10" t="s">
        <v>501</v>
      </c>
      <c r="I76" s="10" t="s">
        <v>508</v>
      </c>
      <c r="J76" s="101">
        <v>42625.421656435203</v>
      </c>
      <c r="K76" s="11">
        <v>1</v>
      </c>
    </row>
    <row r="77" spans="1:14">
      <c r="A77" s="100">
        <v>42625.427083333299</v>
      </c>
      <c r="B77" s="19">
        <v>1.0416666666666701E-2</v>
      </c>
      <c r="C77" s="22" t="s">
        <v>107</v>
      </c>
      <c r="D77" s="22" t="s">
        <v>48</v>
      </c>
      <c r="E77" s="10" t="s">
        <v>480</v>
      </c>
      <c r="F77" s="10" t="s">
        <v>487</v>
      </c>
      <c r="I77" s="10"/>
      <c r="J77" s="101">
        <v>42625.426781180598</v>
      </c>
      <c r="K77" s="11">
        <v>15</v>
      </c>
    </row>
    <row r="78" spans="1:14">
      <c r="A78" s="100">
        <v>42625.427083333299</v>
      </c>
      <c r="B78" s="19">
        <v>1.0416666666666701E-2</v>
      </c>
      <c r="C78" s="22" t="s">
        <v>107</v>
      </c>
      <c r="D78" s="22" t="s">
        <v>48</v>
      </c>
      <c r="E78" s="10" t="s">
        <v>480</v>
      </c>
      <c r="F78" s="10" t="s">
        <v>487</v>
      </c>
      <c r="I78" s="10"/>
      <c r="J78" s="101">
        <v>42625.426772858802</v>
      </c>
      <c r="K78" s="11">
        <v>15</v>
      </c>
    </row>
    <row r="79" spans="1:14">
      <c r="A79" s="100">
        <v>42625.427083333299</v>
      </c>
      <c r="B79" s="19">
        <v>1.0416666666666701E-2</v>
      </c>
      <c r="C79" s="22" t="s">
        <v>107</v>
      </c>
      <c r="D79" s="22" t="s">
        <v>48</v>
      </c>
      <c r="E79" s="10" t="s">
        <v>480</v>
      </c>
      <c r="F79" s="10" t="s">
        <v>487</v>
      </c>
      <c r="I79" s="10"/>
      <c r="J79" s="101">
        <v>42625.426676423602</v>
      </c>
      <c r="K79" s="11">
        <v>15</v>
      </c>
    </row>
    <row r="80" spans="1:14">
      <c r="A80" s="100">
        <v>42625.427083333299</v>
      </c>
      <c r="B80" s="19">
        <v>1.0416666666666701E-2</v>
      </c>
      <c r="C80" s="22" t="s">
        <v>107</v>
      </c>
      <c r="D80" s="22" t="s">
        <v>48</v>
      </c>
      <c r="E80" s="10" t="s">
        <v>480</v>
      </c>
      <c r="F80" s="10" t="s">
        <v>487</v>
      </c>
      <c r="I80" s="10"/>
      <c r="J80" s="101">
        <v>42625.426651192101</v>
      </c>
      <c r="K80" s="11">
        <v>15</v>
      </c>
    </row>
    <row r="81" spans="1:14">
      <c r="A81" s="100">
        <v>42625.427083333299</v>
      </c>
      <c r="B81" s="19">
        <v>1.0416666666666701E-2</v>
      </c>
      <c r="C81" s="22" t="s">
        <v>107</v>
      </c>
      <c r="D81" s="22" t="s">
        <v>48</v>
      </c>
      <c r="E81" s="10" t="s">
        <v>480</v>
      </c>
      <c r="F81" s="10" t="s">
        <v>488</v>
      </c>
      <c r="G81" s="10" t="s">
        <v>493</v>
      </c>
      <c r="H81" s="22" t="s">
        <v>2</v>
      </c>
      <c r="I81" s="10" t="s">
        <v>492</v>
      </c>
      <c r="J81" s="101">
        <v>42625.426043229199</v>
      </c>
      <c r="K81" s="11">
        <v>4</v>
      </c>
      <c r="M81" s="81" t="s">
        <v>47</v>
      </c>
      <c r="N81" s="81" t="s">
        <v>49</v>
      </c>
    </row>
    <row r="82" spans="1:14">
      <c r="A82" s="100">
        <v>42625.427083333299</v>
      </c>
      <c r="B82" s="19">
        <v>1.0416666666666701E-2</v>
      </c>
      <c r="C82" s="22" t="s">
        <v>107</v>
      </c>
      <c r="D82" s="22" t="s">
        <v>48</v>
      </c>
      <c r="E82" s="10" t="s">
        <v>480</v>
      </c>
      <c r="F82" s="10" t="s">
        <v>488</v>
      </c>
      <c r="G82" s="10" t="s">
        <v>493</v>
      </c>
      <c r="H82" s="22" t="s">
        <v>2</v>
      </c>
      <c r="I82" s="10" t="s">
        <v>492</v>
      </c>
      <c r="J82" s="101">
        <v>42625.4260422222</v>
      </c>
      <c r="K82" s="11">
        <v>1</v>
      </c>
      <c r="M82" s="81" t="s">
        <v>47</v>
      </c>
      <c r="N82" s="81" t="s">
        <v>49</v>
      </c>
    </row>
    <row r="83" spans="1:14">
      <c r="A83" s="100">
        <v>42625.427083333299</v>
      </c>
      <c r="B83" s="19">
        <v>1.0416666666666701E-2</v>
      </c>
      <c r="C83" s="22" t="s">
        <v>107</v>
      </c>
      <c r="D83" s="22" t="s">
        <v>48</v>
      </c>
      <c r="E83" s="10" t="s">
        <v>480</v>
      </c>
      <c r="F83" s="10" t="s">
        <v>489</v>
      </c>
      <c r="G83" s="10" t="s">
        <v>494</v>
      </c>
      <c r="H83" s="22" t="s">
        <v>2</v>
      </c>
      <c r="I83" s="10" t="s">
        <v>492</v>
      </c>
      <c r="J83" s="101">
        <v>42625.426861018503</v>
      </c>
      <c r="K83" s="11">
        <v>6</v>
      </c>
      <c r="M83" s="81" t="s">
        <v>47</v>
      </c>
      <c r="N83" s="81" t="s">
        <v>49</v>
      </c>
    </row>
    <row r="84" spans="1:14">
      <c r="A84" s="100">
        <v>42625.427083333299</v>
      </c>
      <c r="B84" s="19">
        <v>1.0416666666666701E-2</v>
      </c>
      <c r="C84" s="22" t="s">
        <v>107</v>
      </c>
      <c r="D84" s="22" t="s">
        <v>48</v>
      </c>
      <c r="E84" s="10" t="s">
        <v>480</v>
      </c>
      <c r="F84" s="10" t="s">
        <v>489</v>
      </c>
      <c r="G84" s="10" t="s">
        <v>494</v>
      </c>
      <c r="H84" s="22" t="s">
        <v>2</v>
      </c>
      <c r="I84" s="10" t="s">
        <v>492</v>
      </c>
      <c r="J84" s="101">
        <v>42625.426609386603</v>
      </c>
      <c r="K84" s="11">
        <v>6</v>
      </c>
      <c r="M84" s="81" t="s">
        <v>47</v>
      </c>
      <c r="N84" s="81" t="s">
        <v>49</v>
      </c>
    </row>
    <row r="85" spans="1:14">
      <c r="A85" s="100">
        <v>42625.427083333299</v>
      </c>
      <c r="B85" s="19">
        <v>1.0416666666666701E-2</v>
      </c>
      <c r="C85" s="22" t="s">
        <v>107</v>
      </c>
      <c r="D85" s="22" t="s">
        <v>48</v>
      </c>
      <c r="E85" s="10" t="s">
        <v>480</v>
      </c>
      <c r="F85" s="10" t="s">
        <v>489</v>
      </c>
      <c r="G85" s="10" t="s">
        <v>494</v>
      </c>
      <c r="H85" s="22" t="s">
        <v>2</v>
      </c>
      <c r="I85" s="10" t="s">
        <v>492</v>
      </c>
      <c r="J85" s="101">
        <v>42625.426135011599</v>
      </c>
      <c r="K85" s="11">
        <v>10</v>
      </c>
      <c r="M85" s="81" t="s">
        <v>47</v>
      </c>
      <c r="N85" s="81" t="s">
        <v>49</v>
      </c>
    </row>
    <row r="86" spans="1:14">
      <c r="A86" s="100">
        <v>42625.427083333299</v>
      </c>
      <c r="B86" s="19">
        <v>1.0416666666666701E-2</v>
      </c>
      <c r="C86" s="22" t="s">
        <v>107</v>
      </c>
      <c r="D86" s="22" t="s">
        <v>48</v>
      </c>
      <c r="E86" s="10" t="s">
        <v>480</v>
      </c>
      <c r="F86" s="10" t="s">
        <v>489</v>
      </c>
      <c r="G86" s="10" t="s">
        <v>494</v>
      </c>
      <c r="H86" s="22" t="s">
        <v>2</v>
      </c>
      <c r="I86" s="10" t="s">
        <v>492</v>
      </c>
      <c r="J86" s="101">
        <v>42625.4260164468</v>
      </c>
      <c r="K86" s="11">
        <v>6</v>
      </c>
      <c r="M86" s="81" t="s">
        <v>47</v>
      </c>
      <c r="N86" s="81" t="s">
        <v>49</v>
      </c>
    </row>
    <row r="87" spans="1:14">
      <c r="A87" s="100">
        <v>42625.427083333299</v>
      </c>
      <c r="B87" s="19">
        <v>1.0416666666666701E-2</v>
      </c>
      <c r="C87" s="22" t="s">
        <v>107</v>
      </c>
      <c r="D87" s="22" t="s">
        <v>48</v>
      </c>
      <c r="E87" s="10" t="s">
        <v>480</v>
      </c>
      <c r="F87" s="10" t="s">
        <v>489</v>
      </c>
      <c r="G87" s="10" t="s">
        <v>494</v>
      </c>
      <c r="H87" s="22" t="s">
        <v>2</v>
      </c>
      <c r="I87" s="10" t="s">
        <v>492</v>
      </c>
      <c r="J87" s="101">
        <v>42625.4256564815</v>
      </c>
      <c r="K87" s="11">
        <v>4</v>
      </c>
      <c r="M87" s="81" t="s">
        <v>47</v>
      </c>
      <c r="N87" s="81" t="s">
        <v>49</v>
      </c>
    </row>
    <row r="88" spans="1:14">
      <c r="A88" s="100">
        <v>42625.427083333299</v>
      </c>
      <c r="B88" s="19">
        <v>1.0416666666666701E-2</v>
      </c>
      <c r="C88" s="22" t="s">
        <v>107</v>
      </c>
      <c r="D88" s="22" t="s">
        <v>48</v>
      </c>
      <c r="E88" s="10" t="s">
        <v>480</v>
      </c>
      <c r="F88" s="10" t="s">
        <v>489</v>
      </c>
      <c r="G88" s="10" t="s">
        <v>494</v>
      </c>
      <c r="H88" s="22" t="s">
        <v>2</v>
      </c>
      <c r="I88" s="10" t="s">
        <v>492</v>
      </c>
      <c r="J88" s="101">
        <v>42625.426890266201</v>
      </c>
      <c r="K88" s="11">
        <v>4</v>
      </c>
      <c r="M88" s="81" t="s">
        <v>47</v>
      </c>
      <c r="N88" s="81" t="s">
        <v>49</v>
      </c>
    </row>
    <row r="89" spans="1:14">
      <c r="A89" s="100">
        <v>42625.427083333299</v>
      </c>
      <c r="B89" s="19">
        <v>1.0416666666666701E-2</v>
      </c>
      <c r="C89" s="22" t="s">
        <v>107</v>
      </c>
      <c r="D89" s="22" t="s">
        <v>48</v>
      </c>
      <c r="E89" s="10" t="s">
        <v>480</v>
      </c>
      <c r="F89" s="10" t="s">
        <v>489</v>
      </c>
      <c r="G89" s="10" t="s">
        <v>494</v>
      </c>
      <c r="H89" s="22" t="s">
        <v>2</v>
      </c>
      <c r="I89" s="10" t="s">
        <v>492</v>
      </c>
      <c r="J89" s="101">
        <v>42625.426771689803</v>
      </c>
      <c r="K89" s="11">
        <v>8</v>
      </c>
      <c r="M89" s="81" t="s">
        <v>47</v>
      </c>
      <c r="N89" s="81" t="s">
        <v>49</v>
      </c>
    </row>
    <row r="90" spans="1:14">
      <c r="A90" s="100">
        <v>42625.427083333299</v>
      </c>
      <c r="B90" s="19">
        <v>1.0416666666666701E-2</v>
      </c>
      <c r="C90" s="22" t="s">
        <v>107</v>
      </c>
      <c r="D90" s="22" t="s">
        <v>48</v>
      </c>
      <c r="E90" s="10" t="s">
        <v>480</v>
      </c>
      <c r="F90" s="10" t="s">
        <v>489</v>
      </c>
      <c r="G90" s="10" t="s">
        <v>494</v>
      </c>
      <c r="H90" s="22" t="s">
        <v>2</v>
      </c>
      <c r="I90" s="10" t="s">
        <v>492</v>
      </c>
      <c r="J90" s="101">
        <v>42625.4263569213</v>
      </c>
      <c r="K90" s="11">
        <v>9</v>
      </c>
      <c r="M90" s="81" t="s">
        <v>47</v>
      </c>
      <c r="N90" s="81" t="s">
        <v>49</v>
      </c>
    </row>
    <row r="91" spans="1:14">
      <c r="A91" s="100">
        <v>42625.427083333299</v>
      </c>
      <c r="B91" s="19">
        <v>1.0416666666666701E-2</v>
      </c>
      <c r="C91" s="22" t="s">
        <v>107</v>
      </c>
      <c r="D91" s="22" t="s">
        <v>48</v>
      </c>
      <c r="E91" s="10" t="s">
        <v>480</v>
      </c>
      <c r="F91" s="10" t="s">
        <v>489</v>
      </c>
      <c r="G91" s="10" t="s">
        <v>494</v>
      </c>
      <c r="H91" s="22" t="s">
        <v>2</v>
      </c>
      <c r="I91" s="10" t="s">
        <v>492</v>
      </c>
      <c r="J91" s="101">
        <v>42625.4259866551</v>
      </c>
      <c r="K91" s="11">
        <v>8</v>
      </c>
      <c r="M91" s="81" t="s">
        <v>47</v>
      </c>
      <c r="N91" s="81" t="s">
        <v>49</v>
      </c>
    </row>
    <row r="92" spans="1:14">
      <c r="A92" s="100">
        <v>42625.427083333299</v>
      </c>
      <c r="B92" s="19">
        <v>1.0416666666666701E-2</v>
      </c>
      <c r="C92" s="22" t="s">
        <v>107</v>
      </c>
      <c r="D92" s="22" t="s">
        <v>48</v>
      </c>
      <c r="E92" s="10" t="s">
        <v>480</v>
      </c>
      <c r="F92" s="10" t="s">
        <v>489</v>
      </c>
      <c r="G92" s="10" t="s">
        <v>494</v>
      </c>
      <c r="H92" s="22" t="s">
        <v>2</v>
      </c>
      <c r="I92" s="10" t="s">
        <v>492</v>
      </c>
      <c r="J92" s="101">
        <v>42625.425182048602</v>
      </c>
      <c r="K92" s="11">
        <v>8</v>
      </c>
      <c r="M92" s="81" t="s">
        <v>47</v>
      </c>
      <c r="N92" s="81" t="s">
        <v>49</v>
      </c>
    </row>
    <row r="93" spans="1:14">
      <c r="A93" s="100">
        <v>42625.427083333299</v>
      </c>
      <c r="B93" s="19">
        <v>1.0416666666666701E-2</v>
      </c>
      <c r="C93" s="22" t="s">
        <v>107</v>
      </c>
      <c r="D93" s="22" t="s">
        <v>48</v>
      </c>
      <c r="E93" s="10" t="s">
        <v>480</v>
      </c>
      <c r="F93" s="10" t="s">
        <v>483</v>
      </c>
      <c r="G93" s="10" t="s">
        <v>491</v>
      </c>
      <c r="H93" s="22" t="s">
        <v>2</v>
      </c>
      <c r="I93" s="10" t="s">
        <v>492</v>
      </c>
      <c r="J93" s="101">
        <v>42625.420014039402</v>
      </c>
      <c r="K93" s="11">
        <v>1</v>
      </c>
      <c r="M93" s="81" t="s">
        <v>47</v>
      </c>
      <c r="N93" s="81" t="s">
        <v>49</v>
      </c>
    </row>
    <row r="94" spans="1:14">
      <c r="A94" s="100">
        <v>42625.427083333299</v>
      </c>
      <c r="B94" s="19">
        <v>1.0416666666666701E-2</v>
      </c>
      <c r="C94" s="22" t="s">
        <v>107</v>
      </c>
      <c r="D94" s="22" t="s">
        <v>48</v>
      </c>
      <c r="E94" s="10" t="s">
        <v>480</v>
      </c>
      <c r="F94" s="10" t="s">
        <v>483</v>
      </c>
      <c r="G94" s="10" t="s">
        <v>491</v>
      </c>
      <c r="H94" s="22" t="s">
        <v>2</v>
      </c>
      <c r="I94" s="22" t="s">
        <v>492</v>
      </c>
      <c r="J94" s="101">
        <v>42625.420417604197</v>
      </c>
      <c r="K94" s="11">
        <v>1</v>
      </c>
      <c r="M94" s="81" t="s">
        <v>47</v>
      </c>
      <c r="N94" s="81" t="s">
        <v>49</v>
      </c>
    </row>
    <row r="95" spans="1:14">
      <c r="A95" s="100">
        <v>42625.427083333299</v>
      </c>
      <c r="B95" s="19">
        <v>1.0416666666666701E-2</v>
      </c>
      <c r="C95" s="22" t="s">
        <v>107</v>
      </c>
      <c r="D95" s="22" t="s">
        <v>48</v>
      </c>
      <c r="E95" s="10" t="s">
        <v>480</v>
      </c>
      <c r="F95" s="10" t="s">
        <v>484</v>
      </c>
      <c r="I95" s="10"/>
      <c r="J95" s="101">
        <v>42625.426778888897</v>
      </c>
      <c r="K95" s="11">
        <v>7</v>
      </c>
    </row>
    <row r="96" spans="1:14">
      <c r="A96" s="100">
        <v>42625.427083333299</v>
      </c>
      <c r="B96" s="19">
        <v>1.0416666666666701E-2</v>
      </c>
      <c r="C96" s="22" t="s">
        <v>107</v>
      </c>
      <c r="D96" s="22" t="s">
        <v>48</v>
      </c>
      <c r="E96" s="10" t="s">
        <v>480</v>
      </c>
      <c r="F96" s="10" t="s">
        <v>484</v>
      </c>
      <c r="I96" s="10"/>
      <c r="J96" s="101">
        <v>42625.422410613399</v>
      </c>
      <c r="K96" s="11">
        <v>1</v>
      </c>
    </row>
    <row r="97" spans="1:14">
      <c r="A97" s="100">
        <v>42625.416666666701</v>
      </c>
      <c r="B97" s="19">
        <v>1.0416666666666701E-2</v>
      </c>
      <c r="C97" s="22" t="s">
        <v>107</v>
      </c>
      <c r="D97" s="22" t="s">
        <v>48</v>
      </c>
      <c r="E97" s="10" t="s">
        <v>480</v>
      </c>
      <c r="F97" s="10" t="s">
        <v>483</v>
      </c>
      <c r="G97" s="10" t="s">
        <v>491</v>
      </c>
      <c r="H97" s="22" t="s">
        <v>2</v>
      </c>
      <c r="I97" s="10" t="s">
        <v>492</v>
      </c>
      <c r="J97" s="101">
        <v>42625.412745300899</v>
      </c>
      <c r="K97" s="11">
        <v>1</v>
      </c>
      <c r="M97" s="81" t="s">
        <v>47</v>
      </c>
      <c r="N97" s="81" t="s">
        <v>49</v>
      </c>
    </row>
    <row r="98" spans="1:14">
      <c r="A98" s="100">
        <v>42625.416666666701</v>
      </c>
      <c r="B98" s="19">
        <v>1.0416666666666701E-2</v>
      </c>
      <c r="C98" s="22" t="s">
        <v>107</v>
      </c>
      <c r="D98" s="22" t="s">
        <v>48</v>
      </c>
      <c r="E98" s="10" t="s">
        <v>480</v>
      </c>
      <c r="F98" s="10" t="s">
        <v>483</v>
      </c>
      <c r="G98" s="10" t="s">
        <v>491</v>
      </c>
      <c r="H98" s="22" t="s">
        <v>2</v>
      </c>
      <c r="I98" s="10" t="s">
        <v>492</v>
      </c>
      <c r="J98" s="101">
        <v>42625.410580752301</v>
      </c>
      <c r="K98" s="11">
        <v>1</v>
      </c>
      <c r="M98" s="81" t="s">
        <v>47</v>
      </c>
      <c r="N98" s="81" t="s">
        <v>49</v>
      </c>
    </row>
    <row r="99" spans="1:14">
      <c r="A99" s="100">
        <v>42625.416666666701</v>
      </c>
      <c r="B99" s="19">
        <v>1.0416666666666701E-2</v>
      </c>
      <c r="C99" s="22" t="s">
        <v>107</v>
      </c>
      <c r="D99" s="22" t="s">
        <v>48</v>
      </c>
      <c r="E99" s="10" t="s">
        <v>480</v>
      </c>
      <c r="F99" s="10" t="s">
        <v>483</v>
      </c>
      <c r="G99" s="10" t="s">
        <v>491</v>
      </c>
      <c r="H99" s="22" t="s">
        <v>2</v>
      </c>
      <c r="I99" s="10" t="s">
        <v>492</v>
      </c>
      <c r="J99" s="101">
        <v>42625.4105613426</v>
      </c>
      <c r="K99" s="11">
        <v>2</v>
      </c>
      <c r="M99" s="81" t="s">
        <v>47</v>
      </c>
      <c r="N99" s="81" t="s">
        <v>49</v>
      </c>
    </row>
    <row r="100" spans="1:14">
      <c r="A100" s="100">
        <v>42625.416666666701</v>
      </c>
      <c r="B100" s="19">
        <v>1.0416666666666701E-2</v>
      </c>
      <c r="C100" s="22" t="s">
        <v>107</v>
      </c>
      <c r="D100" s="22" t="s">
        <v>48</v>
      </c>
      <c r="E100" s="10" t="s">
        <v>480</v>
      </c>
      <c r="F100" s="10" t="s">
        <v>483</v>
      </c>
      <c r="G100" s="10" t="s">
        <v>491</v>
      </c>
      <c r="H100" s="22" t="s">
        <v>2</v>
      </c>
      <c r="I100" s="10" t="s">
        <v>492</v>
      </c>
      <c r="J100" s="101">
        <v>42625.411406678199</v>
      </c>
      <c r="K100" s="11">
        <v>1</v>
      </c>
      <c r="M100" s="81" t="s">
        <v>47</v>
      </c>
      <c r="N100" s="81" t="s">
        <v>49</v>
      </c>
    </row>
    <row r="101" spans="1:14">
      <c r="A101" s="100">
        <v>42625.416666666701</v>
      </c>
      <c r="B101" s="19">
        <v>1.0416666666666701E-2</v>
      </c>
      <c r="C101" s="22" t="s">
        <v>107</v>
      </c>
      <c r="D101" s="22" t="s">
        <v>48</v>
      </c>
      <c r="E101" s="10" t="s">
        <v>480</v>
      </c>
      <c r="F101" s="10" t="s">
        <v>483</v>
      </c>
      <c r="G101" s="10" t="s">
        <v>491</v>
      </c>
      <c r="H101" s="22" t="s">
        <v>2</v>
      </c>
      <c r="I101" s="10" t="s">
        <v>492</v>
      </c>
      <c r="J101" s="101">
        <v>42625.408550544002</v>
      </c>
      <c r="K101" s="11">
        <v>1</v>
      </c>
      <c r="M101" s="81" t="s">
        <v>47</v>
      </c>
      <c r="N101" s="81" t="s">
        <v>49</v>
      </c>
    </row>
  </sheetData>
  <autoFilter ref="A2:H2"/>
  <mergeCells count="1">
    <mergeCell ref="A1: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8" customWidth="1"/>
    <col min="4" max="4" width="7" style="17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30"/>
      <c r="B1" s="30"/>
      <c r="C1" s="30"/>
      <c r="D1" s="30"/>
      <c r="E1" s="30"/>
      <c r="F1" s="30"/>
      <c r="G1" s="30"/>
      <c r="H1" s="30"/>
      <c r="I1" s="30"/>
      <c r="J1" s="30"/>
      <c r="K1" s="30"/>
      <c r="L1" s="30"/>
      <c r="M1" s="30"/>
      <c r="N1" s="30"/>
      <c r="O1" s="30"/>
      <c r="P1" s="30"/>
      <c r="Q1" s="30"/>
      <c r="R1" s="30"/>
      <c r="S1" s="30"/>
      <c r="T1" s="30"/>
      <c r="U1" s="30"/>
      <c r="V1" s="30"/>
      <c r="W1" s="30"/>
      <c r="X1" s="30"/>
    </row>
    <row r="2" spans="1:24">
      <c r="A2" s="215" t="s">
        <v>293</v>
      </c>
      <c r="B2" s="208"/>
      <c r="C2" s="208"/>
      <c r="D2" s="208"/>
      <c r="E2" s="208"/>
      <c r="F2" s="208"/>
      <c r="G2" s="208"/>
      <c r="H2" s="208"/>
      <c r="I2" s="208"/>
      <c r="J2" s="216"/>
      <c r="M2" s="215" t="s">
        <v>293</v>
      </c>
      <c r="N2" s="208"/>
      <c r="O2" s="208"/>
      <c r="P2" s="208"/>
      <c r="Q2" s="208"/>
      <c r="R2" s="208"/>
      <c r="S2" s="208"/>
      <c r="T2" s="208"/>
      <c r="U2" s="208"/>
      <c r="V2" s="216"/>
      <c r="W2" s="179"/>
    </row>
    <row r="3" spans="1:24">
      <c r="C3" s="139"/>
      <c r="D3" s="178"/>
      <c r="E3" s="139"/>
      <c r="H3" s="139"/>
      <c r="M3" s="179"/>
      <c r="N3" s="179"/>
      <c r="O3" s="180"/>
      <c r="P3" s="180"/>
      <c r="Q3" s="180"/>
      <c r="T3" s="180"/>
      <c r="W3" s="179"/>
    </row>
    <row r="4" spans="1:24">
      <c r="A4" s="188" t="s">
        <v>149</v>
      </c>
      <c r="B4" s="189" t="s">
        <v>16</v>
      </c>
      <c r="E4" s="33"/>
      <c r="F4" s="188" t="s">
        <v>149</v>
      </c>
      <c r="G4" s="189" t="s">
        <v>16</v>
      </c>
      <c r="H4" s="33"/>
      <c r="I4" s="188" t="s">
        <v>149</v>
      </c>
      <c r="J4" s="189" t="s">
        <v>16</v>
      </c>
      <c r="M4" s="188" t="s">
        <v>149</v>
      </c>
      <c r="N4" s="189" t="s">
        <v>16</v>
      </c>
      <c r="O4" s="179"/>
      <c r="P4" s="179"/>
      <c r="Q4" s="33"/>
      <c r="R4" s="188" t="s">
        <v>149</v>
      </c>
      <c r="S4" s="189" t="s">
        <v>16</v>
      </c>
      <c r="T4" s="33"/>
      <c r="U4" s="188" t="s">
        <v>149</v>
      </c>
      <c r="V4" s="189" t="s">
        <v>16</v>
      </c>
      <c r="W4" s="179"/>
    </row>
    <row r="5" spans="1:24">
      <c r="A5" s="188" t="s">
        <v>0</v>
      </c>
      <c r="B5" s="189" t="s">
        <v>16</v>
      </c>
      <c r="E5" s="33"/>
      <c r="F5" s="188" t="s">
        <v>0</v>
      </c>
      <c r="G5" s="189" t="s">
        <v>16</v>
      </c>
      <c r="H5" s="33"/>
      <c r="I5" s="188" t="s">
        <v>0</v>
      </c>
      <c r="J5" s="189" t="s">
        <v>16</v>
      </c>
      <c r="M5" s="188" t="s">
        <v>0</v>
      </c>
      <c r="N5" s="189" t="s">
        <v>16</v>
      </c>
      <c r="O5" s="179"/>
      <c r="P5" s="179"/>
      <c r="Q5" s="33"/>
      <c r="R5" s="188" t="s">
        <v>0</v>
      </c>
      <c r="S5" s="189" t="s">
        <v>16</v>
      </c>
      <c r="T5" s="33"/>
      <c r="U5" s="188" t="s">
        <v>0</v>
      </c>
      <c r="V5" s="189" t="s">
        <v>16</v>
      </c>
      <c r="W5" s="179"/>
    </row>
    <row r="6" spans="1:24">
      <c r="A6" s="188" t="s">
        <v>3</v>
      </c>
      <c r="B6" s="189" t="s">
        <v>554</v>
      </c>
      <c r="E6" s="33"/>
      <c r="F6" s="188" t="s">
        <v>3</v>
      </c>
      <c r="G6" s="189" t="s">
        <v>558</v>
      </c>
      <c r="H6" s="33"/>
      <c r="I6" s="188" t="s">
        <v>3</v>
      </c>
      <c r="J6" s="189" t="s">
        <v>556</v>
      </c>
      <c r="M6" s="188" t="s">
        <v>3</v>
      </c>
      <c r="N6" s="189" t="s">
        <v>741</v>
      </c>
      <c r="O6" s="179"/>
      <c r="P6" s="179"/>
      <c r="Q6" s="33"/>
      <c r="R6" s="188" t="s">
        <v>3</v>
      </c>
      <c r="S6" s="189" t="s">
        <v>745</v>
      </c>
      <c r="T6" s="33"/>
      <c r="U6" s="188" t="s">
        <v>3</v>
      </c>
      <c r="V6" s="189" t="s">
        <v>743</v>
      </c>
      <c r="W6" s="179"/>
    </row>
    <row r="7" spans="1:24">
      <c r="A7" s="138"/>
      <c r="B7" s="138"/>
      <c r="E7" s="138"/>
      <c r="F7" s="138"/>
      <c r="G7" s="138"/>
      <c r="H7" s="138"/>
      <c r="I7" s="138"/>
      <c r="J7" s="138"/>
      <c r="M7" s="179"/>
      <c r="N7" s="179"/>
      <c r="O7" s="179"/>
      <c r="P7" s="179"/>
      <c r="Q7" s="179"/>
      <c r="R7" s="179"/>
      <c r="S7" s="179"/>
      <c r="T7" s="179"/>
      <c r="U7" s="179"/>
      <c r="V7" s="179"/>
      <c r="W7" s="179"/>
    </row>
    <row r="8" spans="1:24">
      <c r="A8" s="188" t="s">
        <v>725</v>
      </c>
      <c r="B8" s="189" t="s">
        <v>626</v>
      </c>
      <c r="C8" s="189" t="s">
        <v>241</v>
      </c>
      <c r="D8" s="189" t="s">
        <v>525</v>
      </c>
      <c r="E8" s="138"/>
      <c r="F8" s="188" t="s">
        <v>725</v>
      </c>
      <c r="G8" s="32" t="s">
        <v>287</v>
      </c>
      <c r="H8" s="138"/>
      <c r="I8" s="188" t="s">
        <v>725</v>
      </c>
      <c r="J8" s="189" t="s">
        <v>627</v>
      </c>
      <c r="K8" s="189" t="s">
        <v>525</v>
      </c>
      <c r="M8" s="188" t="s">
        <v>725</v>
      </c>
      <c r="N8" s="189" t="s">
        <v>626</v>
      </c>
      <c r="O8" s="189" t="s">
        <v>241</v>
      </c>
      <c r="P8" s="189" t="s">
        <v>525</v>
      </c>
      <c r="Q8" s="179"/>
      <c r="R8" s="188" t="s">
        <v>725</v>
      </c>
      <c r="S8" s="32" t="s">
        <v>287</v>
      </c>
      <c r="T8" s="179"/>
      <c r="U8" s="188" t="s">
        <v>725</v>
      </c>
      <c r="V8" s="189" t="s">
        <v>627</v>
      </c>
      <c r="W8" s="189" t="s">
        <v>525</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4" customWidth="1"/>
    <col min="2" max="2" width="10.77734375" style="138" customWidth="1"/>
    <col min="3" max="3" width="29" style="138" customWidth="1"/>
    <col min="4" max="4" width="9.109375" style="138" customWidth="1"/>
    <col min="5" max="5" width="7" style="177" customWidth="1"/>
    <col min="6" max="6" width="9.109375" style="138"/>
    <col min="7" max="7" width="10.77734375" style="138" customWidth="1"/>
    <col min="8" max="8" width="23.33203125" style="138" customWidth="1"/>
    <col min="9" max="9" width="9.109375" style="138"/>
    <col min="10" max="10" width="10.77734375" style="138" customWidth="1"/>
    <col min="11" max="11" width="27.77734375" style="138" customWidth="1"/>
    <col min="12" max="12" width="7" style="138" customWidth="1"/>
    <col min="13" max="13" width="4.21875" style="138" customWidth="1"/>
    <col min="14" max="14" width="10.77734375" style="138" bestFit="1" customWidth="1"/>
    <col min="15" max="15" width="33.88671875" style="138" customWidth="1"/>
    <col min="16" max="16" width="7.88671875" style="138" customWidth="1"/>
    <col min="17" max="17" width="7" style="138" customWidth="1"/>
    <col min="18" max="18" width="5.44140625" style="138" customWidth="1"/>
    <col min="19" max="19" width="10.77734375" style="138" bestFit="1" customWidth="1"/>
    <col min="20" max="20" width="28.33203125" style="138" customWidth="1"/>
    <col min="21" max="21" width="9.109375" style="138"/>
    <col min="22" max="22" width="10.77734375" style="138" bestFit="1" customWidth="1"/>
    <col min="23" max="23" width="30.33203125" style="138" customWidth="1"/>
    <col min="24" max="24" width="7" style="138" customWidth="1"/>
    <col min="25" max="16384" width="9.109375" style="138"/>
  </cols>
  <sheetData>
    <row r="1" spans="1:24">
      <c r="A1" s="31"/>
      <c r="B1" s="30"/>
      <c r="C1" s="30"/>
      <c r="D1" s="30"/>
      <c r="E1" s="30"/>
      <c r="F1" s="30"/>
      <c r="G1" s="30"/>
      <c r="H1" s="30"/>
      <c r="I1" s="30"/>
      <c r="J1" s="30"/>
      <c r="K1" s="30"/>
      <c r="N1" s="30"/>
      <c r="O1" s="30"/>
      <c r="P1" s="30"/>
      <c r="Q1" s="30"/>
      <c r="R1" s="30"/>
      <c r="S1" s="30"/>
      <c r="T1" s="30"/>
      <c r="U1" s="30"/>
      <c r="V1" s="30"/>
      <c r="W1" s="30"/>
      <c r="X1" s="179"/>
    </row>
    <row r="2" spans="1:24">
      <c r="A2" s="31"/>
      <c r="B2" s="215" t="s">
        <v>293</v>
      </c>
      <c r="C2" s="208"/>
      <c r="D2" s="208"/>
      <c r="E2" s="208"/>
      <c r="F2" s="208"/>
      <c r="G2" s="208"/>
      <c r="H2" s="208"/>
      <c r="I2" s="208"/>
      <c r="J2" s="208"/>
      <c r="K2" s="216"/>
      <c r="N2" s="215" t="s">
        <v>293</v>
      </c>
      <c r="O2" s="208"/>
      <c r="P2" s="208"/>
      <c r="Q2" s="208"/>
      <c r="R2" s="208"/>
      <c r="S2" s="208"/>
      <c r="T2" s="208"/>
      <c r="U2" s="208"/>
      <c r="V2" s="208"/>
      <c r="W2" s="216"/>
      <c r="X2" s="179"/>
    </row>
    <row r="3" spans="1:24">
      <c r="A3" s="31"/>
      <c r="B3" s="188" t="s">
        <v>149</v>
      </c>
      <c r="C3" s="189" t="s">
        <v>16</v>
      </c>
      <c r="D3" s="139"/>
      <c r="E3" s="178"/>
      <c r="F3" s="139"/>
      <c r="G3" s="188" t="s">
        <v>149</v>
      </c>
      <c r="H3" s="189" t="s">
        <v>16</v>
      </c>
      <c r="I3" s="139"/>
      <c r="J3" s="188" t="s">
        <v>149</v>
      </c>
      <c r="K3" s="189" t="s">
        <v>16</v>
      </c>
      <c r="N3" s="188" t="s">
        <v>149</v>
      </c>
      <c r="O3" s="189" t="s">
        <v>16</v>
      </c>
      <c r="P3" s="180"/>
      <c r="Q3" s="180"/>
      <c r="R3" s="180"/>
      <c r="S3" s="188" t="s">
        <v>149</v>
      </c>
      <c r="T3" s="189" t="s">
        <v>16</v>
      </c>
      <c r="U3" s="180"/>
      <c r="V3" s="188" t="s">
        <v>149</v>
      </c>
      <c r="W3" s="189" t="s">
        <v>16</v>
      </c>
      <c r="X3" s="179"/>
    </row>
    <row r="4" spans="1:24">
      <c r="A4" s="31"/>
      <c r="B4" s="188" t="s">
        <v>0</v>
      </c>
      <c r="C4" s="189" t="s">
        <v>16</v>
      </c>
      <c r="F4" s="33"/>
      <c r="G4" s="188" t="s">
        <v>0</v>
      </c>
      <c r="H4" s="189" t="s">
        <v>16</v>
      </c>
      <c r="I4" s="33"/>
      <c r="J4" s="188" t="s">
        <v>0</v>
      </c>
      <c r="K4" s="189" t="s">
        <v>16</v>
      </c>
      <c r="N4" s="188" t="s">
        <v>0</v>
      </c>
      <c r="O4" s="189" t="s">
        <v>16</v>
      </c>
      <c r="P4" s="179"/>
      <c r="Q4" s="179"/>
      <c r="R4" s="33"/>
      <c r="S4" s="188" t="s">
        <v>0</v>
      </c>
      <c r="T4" s="189" t="s">
        <v>16</v>
      </c>
      <c r="U4" s="33"/>
      <c r="V4" s="188" t="s">
        <v>0</v>
      </c>
      <c r="W4" s="189" t="s">
        <v>16</v>
      </c>
      <c r="X4" s="179"/>
    </row>
    <row r="5" spans="1:24">
      <c r="A5" s="31"/>
      <c r="B5" s="188" t="s">
        <v>1</v>
      </c>
      <c r="C5" s="189" t="s">
        <v>16</v>
      </c>
      <c r="F5" s="33"/>
      <c r="G5" s="188" t="s">
        <v>1</v>
      </c>
      <c r="H5" s="189" t="s">
        <v>16</v>
      </c>
      <c r="I5" s="33"/>
      <c r="J5" s="188" t="s">
        <v>1</v>
      </c>
      <c r="K5" s="189" t="s">
        <v>16</v>
      </c>
      <c r="N5" s="188" t="s">
        <v>1</v>
      </c>
      <c r="O5" s="189" t="s">
        <v>16</v>
      </c>
      <c r="P5" s="179"/>
      <c r="Q5" s="179"/>
      <c r="R5" s="33"/>
      <c r="S5" s="188" t="s">
        <v>1</v>
      </c>
      <c r="T5" s="189" t="s">
        <v>16</v>
      </c>
      <c r="U5" s="33"/>
      <c r="V5" s="188" t="s">
        <v>1</v>
      </c>
      <c r="W5" s="189" t="s">
        <v>16</v>
      </c>
      <c r="X5" s="179"/>
    </row>
    <row r="6" spans="1:24">
      <c r="A6" s="31"/>
      <c r="B6" s="188" t="s">
        <v>3</v>
      </c>
      <c r="C6" s="189" t="s">
        <v>554</v>
      </c>
      <c r="F6" s="33"/>
      <c r="G6" s="188" t="s">
        <v>3</v>
      </c>
      <c r="H6" s="189" t="s">
        <v>558</v>
      </c>
      <c r="I6" s="33"/>
      <c r="J6" s="188" t="s">
        <v>3</v>
      </c>
      <c r="K6" s="189" t="s">
        <v>556</v>
      </c>
      <c r="N6" s="188" t="s">
        <v>3</v>
      </c>
      <c r="O6" s="189" t="s">
        <v>741</v>
      </c>
      <c r="P6" s="179"/>
      <c r="Q6" s="179"/>
      <c r="R6" s="33"/>
      <c r="S6" s="188" t="s">
        <v>3</v>
      </c>
      <c r="T6" s="189" t="s">
        <v>745</v>
      </c>
      <c r="U6" s="33"/>
      <c r="V6" s="188" t="s">
        <v>3</v>
      </c>
      <c r="W6" s="189" t="s">
        <v>743</v>
      </c>
      <c r="X6" s="179"/>
    </row>
    <row r="7" spans="1:24">
      <c r="A7" s="31"/>
      <c r="N7" s="179"/>
      <c r="O7" s="179"/>
      <c r="P7" s="179"/>
      <c r="Q7" s="179"/>
      <c r="R7" s="179"/>
      <c r="S7" s="179"/>
      <c r="T7" s="179"/>
      <c r="U7" s="179"/>
      <c r="V7" s="179"/>
      <c r="W7" s="179"/>
      <c r="X7" s="179"/>
    </row>
    <row r="8" spans="1:24">
      <c r="A8" s="24" t="s">
        <v>685</v>
      </c>
      <c r="B8" s="188" t="s">
        <v>288</v>
      </c>
      <c r="C8" s="189" t="s">
        <v>626</v>
      </c>
      <c r="D8" s="189" t="s">
        <v>241</v>
      </c>
      <c r="E8" s="189" t="s">
        <v>525</v>
      </c>
      <c r="G8" s="188" t="s">
        <v>288</v>
      </c>
      <c r="H8" s="32" t="s">
        <v>287</v>
      </c>
      <c r="J8" s="188" t="s">
        <v>288</v>
      </c>
      <c r="K8" s="189" t="s">
        <v>627</v>
      </c>
      <c r="L8" s="189" t="s">
        <v>525</v>
      </c>
      <c r="N8" s="188" t="s">
        <v>288</v>
      </c>
      <c r="O8" s="189" t="s">
        <v>626</v>
      </c>
      <c r="P8" s="189" t="s">
        <v>241</v>
      </c>
      <c r="Q8" s="189" t="s">
        <v>525</v>
      </c>
      <c r="R8" s="179"/>
      <c r="S8" s="188" t="s">
        <v>288</v>
      </c>
      <c r="T8" s="32" t="s">
        <v>287</v>
      </c>
      <c r="U8" s="179"/>
      <c r="V8" s="188" t="s">
        <v>288</v>
      </c>
      <c r="W8" s="189" t="s">
        <v>627</v>
      </c>
      <c r="X8" s="189" t="s">
        <v>525</v>
      </c>
    </row>
    <row r="9" spans="1:24">
      <c r="A9" s="29"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740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3"/>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6" customWidth="1"/>
    <col min="39" max="39" width="20.33203125" customWidth="1"/>
    <col min="40" max="40" width="22.88671875" customWidth="1"/>
  </cols>
  <sheetData>
    <row r="1" spans="1:44" s="16" customFormat="1">
      <c r="A1" s="119"/>
      <c r="B1" s="119"/>
      <c r="C1" s="119"/>
      <c r="D1" s="119"/>
      <c r="E1" s="119"/>
      <c r="F1" s="119"/>
      <c r="G1" s="119"/>
      <c r="H1" s="119"/>
      <c r="I1" s="198" t="s">
        <v>88</v>
      </c>
      <c r="J1" s="226" t="s">
        <v>88</v>
      </c>
      <c r="K1" s="199" t="s">
        <v>88</v>
      </c>
      <c r="L1" s="199" t="s">
        <v>88</v>
      </c>
      <c r="M1" s="227" t="s">
        <v>88</v>
      </c>
      <c r="N1" s="199" t="s">
        <v>88</v>
      </c>
      <c r="O1" s="227" t="s">
        <v>88</v>
      </c>
      <c r="P1" s="199" t="s">
        <v>88</v>
      </c>
      <c r="Q1" s="227" t="s">
        <v>88</v>
      </c>
      <c r="R1" s="227" t="s">
        <v>88</v>
      </c>
      <c r="S1" s="227" t="s">
        <v>88</v>
      </c>
      <c r="T1" s="227" t="s">
        <v>88</v>
      </c>
      <c r="U1" s="227" t="s">
        <v>88</v>
      </c>
      <c r="V1" s="227" t="s">
        <v>88</v>
      </c>
      <c r="W1" s="199" t="s">
        <v>88</v>
      </c>
      <c r="X1" s="228" t="s">
        <v>88</v>
      </c>
      <c r="Y1" s="165"/>
      <c r="Z1" s="225" t="s">
        <v>255</v>
      </c>
      <c r="AA1" s="229" t="s">
        <v>255</v>
      </c>
      <c r="AB1" s="229" t="s">
        <v>255</v>
      </c>
      <c r="AC1" s="230" t="s">
        <v>255</v>
      </c>
      <c r="AD1" s="225" t="s">
        <v>561</v>
      </c>
      <c r="AE1" s="229" t="s">
        <v>561</v>
      </c>
      <c r="AF1" s="227" t="s">
        <v>561</v>
      </c>
      <c r="AG1" s="227" t="s">
        <v>561</v>
      </c>
      <c r="AH1" s="231" t="s">
        <v>561</v>
      </c>
      <c r="AI1" s="225" t="s">
        <v>629</v>
      </c>
      <c r="AJ1" s="232" t="s">
        <v>629</v>
      </c>
      <c r="AK1" s="227" t="s">
        <v>629</v>
      </c>
      <c r="AL1" s="227" t="s">
        <v>629</v>
      </c>
      <c r="AM1" s="231" t="s">
        <v>629</v>
      </c>
      <c r="AN1" s="225" t="s">
        <v>692</v>
      </c>
      <c r="AO1" s="228" t="s">
        <v>692</v>
      </c>
      <c r="AP1" s="225" t="s">
        <v>750</v>
      </c>
      <c r="AQ1" s="202" t="s">
        <v>750</v>
      </c>
    </row>
    <row r="2" spans="1:44" s="16" customFormat="1">
      <c r="A2" s="119" t="s">
        <v>562</v>
      </c>
      <c r="B2" s="119" t="s">
        <v>563</v>
      </c>
      <c r="C2" s="119" t="s">
        <v>0</v>
      </c>
      <c r="D2" s="119" t="s">
        <v>87</v>
      </c>
      <c r="E2" s="119" t="s">
        <v>415</v>
      </c>
      <c r="F2" s="119" t="s">
        <v>1</v>
      </c>
      <c r="G2" s="119" t="s">
        <v>2</v>
      </c>
      <c r="H2" s="119" t="s">
        <v>564</v>
      </c>
      <c r="I2" s="42" t="s">
        <v>565</v>
      </c>
      <c r="J2" s="121" t="s">
        <v>566</v>
      </c>
      <c r="K2" s="120" t="s">
        <v>567</v>
      </c>
      <c r="L2" s="120" t="s">
        <v>568</v>
      </c>
      <c r="M2" s="120" t="s">
        <v>717</v>
      </c>
      <c r="N2" s="120" t="s">
        <v>718</v>
      </c>
      <c r="O2" s="120" t="s">
        <v>719</v>
      </c>
      <c r="P2" s="120" t="s">
        <v>720</v>
      </c>
      <c r="Q2" s="120" t="s">
        <v>569</v>
      </c>
      <c r="R2" s="120" t="s">
        <v>570</v>
      </c>
      <c r="S2" s="120" t="s">
        <v>721</v>
      </c>
      <c r="T2" s="120" t="s">
        <v>571</v>
      </c>
      <c r="U2" s="120" t="s">
        <v>747</v>
      </c>
      <c r="V2" s="120" t="s">
        <v>572</v>
      </c>
      <c r="W2" s="120" t="s">
        <v>599</v>
      </c>
      <c r="X2" s="165" t="s">
        <v>600</v>
      </c>
      <c r="Y2" s="165" t="s">
        <v>573</v>
      </c>
      <c r="Z2" s="122" t="s">
        <v>574</v>
      </c>
      <c r="AA2" s="123" t="s">
        <v>575</v>
      </c>
      <c r="AB2" s="123" t="s">
        <v>576</v>
      </c>
      <c r="AC2" s="124" t="s">
        <v>577</v>
      </c>
      <c r="AD2" s="122" t="s">
        <v>351</v>
      </c>
      <c r="AE2" s="123" t="s">
        <v>578</v>
      </c>
      <c r="AF2" s="120" t="s">
        <v>579</v>
      </c>
      <c r="AG2" s="120" t="s">
        <v>580</v>
      </c>
      <c r="AH2" s="135" t="s">
        <v>581</v>
      </c>
      <c r="AI2" s="122" t="s">
        <v>287</v>
      </c>
      <c r="AJ2" s="144" t="s">
        <v>630</v>
      </c>
      <c r="AK2" s="120" t="s">
        <v>631</v>
      </c>
      <c r="AL2" s="120" t="s">
        <v>632</v>
      </c>
      <c r="AM2" s="135" t="s">
        <v>633</v>
      </c>
      <c r="AN2" s="122" t="s">
        <v>690</v>
      </c>
      <c r="AO2" s="165" t="s">
        <v>691</v>
      </c>
      <c r="AP2" s="122" t="s">
        <v>748</v>
      </c>
      <c r="AQ2" s="17" t="s">
        <v>749</v>
      </c>
      <c r="AR2" s="16" t="s">
        <v>518</v>
      </c>
    </row>
    <row r="3" spans="1:44" s="10" customFormat="1">
      <c r="A3" s="125">
        <v>42660.659882673601</v>
      </c>
      <c r="B3" s="10" t="s">
        <v>601</v>
      </c>
      <c r="C3" s="10" t="s">
        <v>50</v>
      </c>
      <c r="D3" s="22" t="s">
        <v>48</v>
      </c>
      <c r="E3" s="10" t="s">
        <v>582</v>
      </c>
      <c r="F3" s="21" t="s">
        <v>47</v>
      </c>
      <c r="H3" s="125">
        <v>42660.660379594898</v>
      </c>
      <c r="I3" s="10" t="s">
        <v>601</v>
      </c>
      <c r="J3" s="126">
        <v>4.9692129629629598E-4</v>
      </c>
      <c r="K3" s="10" t="s">
        <v>602</v>
      </c>
      <c r="L3" s="10" t="s">
        <v>603</v>
      </c>
      <c r="M3" s="127">
        <v>0</v>
      </c>
      <c r="O3" s="127">
        <v>0</v>
      </c>
      <c r="P3" s="127"/>
      <c r="Q3" s="127">
        <v>0</v>
      </c>
      <c r="R3" s="127">
        <v>0</v>
      </c>
      <c r="S3" s="127">
        <v>0</v>
      </c>
      <c r="T3" s="10" t="s">
        <v>604</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4" s="10" customFormat="1">
      <c r="A4" s="125">
        <v>42660.6603799074</v>
      </c>
      <c r="B4" s="10" t="s">
        <v>605</v>
      </c>
      <c r="C4" s="10" t="s">
        <v>50</v>
      </c>
      <c r="D4" s="22" t="s">
        <v>48</v>
      </c>
      <c r="E4" s="10" t="s">
        <v>582</v>
      </c>
      <c r="F4" s="21" t="s">
        <v>47</v>
      </c>
      <c r="H4" s="125">
        <v>42660.660550254601</v>
      </c>
      <c r="I4" s="10" t="s">
        <v>605</v>
      </c>
      <c r="J4" s="126">
        <v>1.7034722222222199E-4</v>
      </c>
      <c r="K4" s="10" t="s">
        <v>602</v>
      </c>
      <c r="L4" s="10" t="s">
        <v>603</v>
      </c>
      <c r="M4" s="127">
        <v>0</v>
      </c>
      <c r="O4" s="127">
        <v>0</v>
      </c>
      <c r="P4" s="127"/>
      <c r="Q4" s="127">
        <v>3</v>
      </c>
      <c r="R4" s="127">
        <v>0</v>
      </c>
      <c r="S4" s="127">
        <v>0</v>
      </c>
      <c r="T4" s="10" t="s">
        <v>604</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4" s="10" customFormat="1">
      <c r="A5" s="125">
        <v>42660.6603917014</v>
      </c>
      <c r="B5" s="10" t="s">
        <v>605</v>
      </c>
      <c r="C5" s="10" t="s">
        <v>50</v>
      </c>
      <c r="D5" s="22" t="s">
        <v>48</v>
      </c>
      <c r="E5" s="10" t="s">
        <v>561</v>
      </c>
      <c r="F5" s="21" t="s">
        <v>47</v>
      </c>
      <c r="G5" s="21" t="s">
        <v>49</v>
      </c>
      <c r="H5" s="125">
        <v>42660.660997245403</v>
      </c>
      <c r="I5" s="10" t="s">
        <v>605</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4" s="10" customFormat="1">
      <c r="A6" s="125">
        <v>42660.660420231499</v>
      </c>
      <c r="B6" s="10" t="s">
        <v>605</v>
      </c>
      <c r="C6" s="10" t="s">
        <v>50</v>
      </c>
      <c r="D6" s="22" t="s">
        <v>48</v>
      </c>
      <c r="E6" s="10" t="s">
        <v>561</v>
      </c>
      <c r="F6" s="21" t="s">
        <v>47</v>
      </c>
      <c r="G6" s="21" t="s">
        <v>49</v>
      </c>
      <c r="H6" s="125">
        <v>42660.661220648202</v>
      </c>
      <c r="I6" s="10" t="s">
        <v>605</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4" s="10" customFormat="1">
      <c r="A7" s="125">
        <v>42660.660486238397</v>
      </c>
      <c r="B7" s="10" t="s">
        <v>605</v>
      </c>
      <c r="C7" s="10" t="s">
        <v>50</v>
      </c>
      <c r="D7" s="22" t="s">
        <v>48</v>
      </c>
      <c r="E7" s="10" t="s">
        <v>561</v>
      </c>
      <c r="F7" s="21" t="s">
        <v>47</v>
      </c>
      <c r="G7" s="21" t="s">
        <v>49</v>
      </c>
      <c r="H7" s="125">
        <v>42660.661230150501</v>
      </c>
      <c r="I7" s="10" t="s">
        <v>605</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4" s="10" customFormat="1">
      <c r="A8" s="125">
        <v>42872.467158067098</v>
      </c>
      <c r="B8" s="10" t="s">
        <v>751</v>
      </c>
      <c r="C8" s="10" t="s">
        <v>50</v>
      </c>
      <c r="D8" s="22" t="s">
        <v>48</v>
      </c>
      <c r="E8" s="10" t="s">
        <v>561</v>
      </c>
      <c r="F8" s="21" t="s">
        <v>47</v>
      </c>
      <c r="G8" s="21" t="s">
        <v>49</v>
      </c>
      <c r="H8" s="125">
        <v>42872.467159942098</v>
      </c>
      <c r="I8" s="10" t="s">
        <v>751</v>
      </c>
      <c r="J8" s="126"/>
      <c r="M8" s="127"/>
      <c r="O8" s="127"/>
      <c r="Q8" s="127"/>
      <c r="R8" s="127"/>
      <c r="S8" s="127"/>
      <c r="T8" s="127"/>
      <c r="U8" s="127"/>
      <c r="V8" s="127"/>
      <c r="X8" s="127"/>
      <c r="Y8" s="127"/>
      <c r="Z8" s="127"/>
      <c r="AA8" s="128"/>
      <c r="AB8" s="128"/>
      <c r="AC8" s="128"/>
      <c r="AD8" s="127"/>
      <c r="AE8" s="128"/>
      <c r="AF8" s="127"/>
      <c r="AG8" s="127"/>
      <c r="AH8" s="136"/>
      <c r="AI8" s="127"/>
      <c r="AJ8" s="136"/>
      <c r="AK8" s="127"/>
      <c r="AL8" s="127"/>
      <c r="AM8" s="136"/>
      <c r="AN8" s="127"/>
      <c r="AO8" s="127"/>
      <c r="AP8" s="127"/>
      <c r="AQ8" s="10">
        <v>162</v>
      </c>
      <c r="AR8" s="10">
        <v>44</v>
      </c>
    </row>
    <row r="9" spans="1:44">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4">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7" t="s">
        <v>6</v>
      </c>
      <c r="J1" s="3" t="s">
        <v>51</v>
      </c>
      <c r="K1" s="7" t="s">
        <v>19</v>
      </c>
      <c r="L1" s="7" t="s">
        <v>518</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8"/>
      <c r="J36" s="2" t="b">
        <v>1</v>
      </c>
      <c r="K36" s="10">
        <v>21671</v>
      </c>
    </row>
    <row r="37" spans="1:11" s="10" customFormat="1">
      <c r="A37" t="s">
        <v>154</v>
      </c>
      <c r="B37" t="s">
        <v>50</v>
      </c>
      <c r="C37" t="s">
        <v>48</v>
      </c>
      <c r="D37" t="s">
        <v>47</v>
      </c>
      <c r="E37" t="s">
        <v>49</v>
      </c>
      <c r="F37" s="10" t="s">
        <v>333</v>
      </c>
      <c r="G37" s="10">
        <v>258</v>
      </c>
      <c r="H37" s="10" t="s">
        <v>34</v>
      </c>
      <c r="I37" s="88"/>
      <c r="J37" s="2" t="b">
        <v>1</v>
      </c>
      <c r="K37" s="10">
        <v>258</v>
      </c>
    </row>
    <row r="38" spans="1:11" s="10" customFormat="1">
      <c r="A38" t="s">
        <v>154</v>
      </c>
      <c r="B38" t="s">
        <v>50</v>
      </c>
      <c r="C38" t="s">
        <v>48</v>
      </c>
      <c r="D38" t="s">
        <v>47</v>
      </c>
      <c r="E38" t="s">
        <v>49</v>
      </c>
      <c r="F38" s="10" t="s">
        <v>331</v>
      </c>
      <c r="G38" s="10">
        <v>14414</v>
      </c>
      <c r="H38" s="10" t="s">
        <v>34</v>
      </c>
      <c r="I38" s="88"/>
      <c r="J38" s="2" t="b">
        <v>1</v>
      </c>
      <c r="K38" s="10">
        <v>14414</v>
      </c>
    </row>
    <row r="39" spans="1:11" s="10" customFormat="1">
      <c r="A39" t="s">
        <v>154</v>
      </c>
      <c r="B39" t="s">
        <v>50</v>
      </c>
      <c r="C39" t="s">
        <v>48</v>
      </c>
      <c r="D39" t="s">
        <v>47</v>
      </c>
      <c r="E39" t="s">
        <v>49</v>
      </c>
      <c r="F39" s="10" t="s">
        <v>108</v>
      </c>
      <c r="G39" s="10">
        <v>326294685</v>
      </c>
      <c r="H39" s="10" t="s">
        <v>109</v>
      </c>
      <c r="I39" s="88">
        <v>311.17886066436768</v>
      </c>
      <c r="J39" s="2" t="b">
        <v>1</v>
      </c>
    </row>
    <row r="40" spans="1:11" s="10" customFormat="1">
      <c r="A40" t="s">
        <v>154</v>
      </c>
      <c r="B40" t="s">
        <v>50</v>
      </c>
      <c r="C40" t="s">
        <v>48</v>
      </c>
      <c r="D40" t="s">
        <v>47</v>
      </c>
      <c r="E40" t="s">
        <v>49</v>
      </c>
      <c r="F40" s="10" t="s">
        <v>110</v>
      </c>
      <c r="G40" s="10">
        <v>110678904</v>
      </c>
      <c r="H40" s="10" t="s">
        <v>109</v>
      </c>
      <c r="I40" s="88">
        <v>105.55162811279297</v>
      </c>
      <c r="J40" s="2" t="b">
        <v>1</v>
      </c>
    </row>
    <row r="41" spans="1:11" s="10" customFormat="1">
      <c r="A41" t="s">
        <v>154</v>
      </c>
      <c r="B41" t="s">
        <v>50</v>
      </c>
      <c r="C41" t="s">
        <v>48</v>
      </c>
      <c r="D41" t="s">
        <v>47</v>
      </c>
      <c r="E41" t="s">
        <v>49</v>
      </c>
      <c r="F41" s="10" t="s">
        <v>111</v>
      </c>
      <c r="G41" s="10">
        <v>231011406</v>
      </c>
      <c r="H41" s="10" t="s">
        <v>109</v>
      </c>
      <c r="I41" s="88">
        <v>220.30964517593384</v>
      </c>
      <c r="J41" s="2" t="b">
        <v>1</v>
      </c>
    </row>
    <row r="42" spans="1:11" s="10" customFormat="1">
      <c r="A42" t="s">
        <v>154</v>
      </c>
      <c r="B42" t="s">
        <v>50</v>
      </c>
      <c r="C42" t="s">
        <v>48</v>
      </c>
      <c r="D42" t="s">
        <v>47</v>
      </c>
      <c r="E42" t="s">
        <v>49</v>
      </c>
      <c r="F42" s="10" t="s">
        <v>112</v>
      </c>
      <c r="G42" s="10">
        <v>7475</v>
      </c>
      <c r="I42" s="88"/>
      <c r="J42" s="2" t="b">
        <v>1</v>
      </c>
      <c r="K42" s="10">
        <v>7475</v>
      </c>
    </row>
    <row r="43" spans="1:11" s="10" customFormat="1">
      <c r="A43" t="s">
        <v>154</v>
      </c>
      <c r="B43" t="s">
        <v>50</v>
      </c>
      <c r="C43" t="s">
        <v>48</v>
      </c>
      <c r="D43" t="s">
        <v>47</v>
      </c>
      <c r="E43" t="s">
        <v>49</v>
      </c>
      <c r="F43" s="10" t="s">
        <v>113</v>
      </c>
      <c r="G43" s="10">
        <v>1025</v>
      </c>
      <c r="I43" s="88"/>
      <c r="J43" s="2" t="b">
        <v>1</v>
      </c>
      <c r="K43" s="10">
        <v>1025</v>
      </c>
    </row>
    <row r="44" spans="1:11" s="10" customFormat="1">
      <c r="A44" t="s">
        <v>154</v>
      </c>
      <c r="B44" t="s">
        <v>50</v>
      </c>
      <c r="C44" t="s">
        <v>48</v>
      </c>
      <c r="D44" t="s">
        <v>47</v>
      </c>
      <c r="E44" t="s">
        <v>49</v>
      </c>
      <c r="F44" s="10" t="s">
        <v>114</v>
      </c>
      <c r="G44" s="10">
        <v>2422</v>
      </c>
      <c r="I44" s="88"/>
      <c r="J44" s="2" t="b">
        <v>1</v>
      </c>
      <c r="K44" s="10">
        <v>2422</v>
      </c>
    </row>
    <row r="45" spans="1:11" s="10" customFormat="1">
      <c r="A45" t="s">
        <v>154</v>
      </c>
      <c r="B45" t="s">
        <v>50</v>
      </c>
      <c r="C45" t="s">
        <v>48</v>
      </c>
      <c r="D45" t="s">
        <v>47</v>
      </c>
      <c r="E45" t="s">
        <v>49</v>
      </c>
      <c r="F45" s="10" t="s">
        <v>141</v>
      </c>
      <c r="G45" s="10">
        <v>107</v>
      </c>
      <c r="I45" s="88"/>
      <c r="J45" s="2" t="b">
        <v>1</v>
      </c>
      <c r="K45" s="10">
        <v>107</v>
      </c>
    </row>
    <row r="46" spans="1:11" s="10" customFormat="1">
      <c r="A46" t="s">
        <v>154</v>
      </c>
      <c r="B46" t="s">
        <v>50</v>
      </c>
      <c r="C46" t="s">
        <v>48</v>
      </c>
      <c r="D46" t="s">
        <v>47</v>
      </c>
      <c r="E46" t="s">
        <v>49</v>
      </c>
      <c r="F46" s="10" t="s">
        <v>142</v>
      </c>
      <c r="G46" s="10">
        <v>531</v>
      </c>
      <c r="I46" s="88"/>
      <c r="J46" s="2" t="b">
        <v>1</v>
      </c>
      <c r="K46" s="10">
        <v>531</v>
      </c>
    </row>
    <row r="47" spans="1:11" s="10" customFormat="1">
      <c r="A47" t="s">
        <v>154</v>
      </c>
      <c r="B47" t="s">
        <v>50</v>
      </c>
      <c r="C47" t="s">
        <v>48</v>
      </c>
      <c r="D47" t="s">
        <v>47</v>
      </c>
      <c r="E47" t="s">
        <v>49</v>
      </c>
      <c r="F47" s="10" t="s">
        <v>143</v>
      </c>
      <c r="G47" s="10">
        <v>17942</v>
      </c>
      <c r="I47" s="88"/>
      <c r="J47" s="2" t="b">
        <v>1</v>
      </c>
      <c r="K47" s="10">
        <v>17942</v>
      </c>
    </row>
    <row r="48" spans="1:11" s="10" customFormat="1">
      <c r="A48" t="s">
        <v>154</v>
      </c>
      <c r="B48" t="s">
        <v>50</v>
      </c>
      <c r="C48" t="s">
        <v>48</v>
      </c>
      <c r="D48" t="s">
        <v>47</v>
      </c>
      <c r="E48" t="s">
        <v>49</v>
      </c>
      <c r="F48" s="10" t="s">
        <v>150</v>
      </c>
      <c r="G48" s="10">
        <v>0.191833</v>
      </c>
      <c r="H48" s="10" t="s">
        <v>151</v>
      </c>
      <c r="I48" s="88"/>
      <c r="J48" s="2" t="b">
        <v>1</v>
      </c>
      <c r="K48" s="10">
        <v>0.191833</v>
      </c>
    </row>
    <row r="49" spans="1:11" s="10" customFormat="1">
      <c r="A49" t="s">
        <v>154</v>
      </c>
      <c r="B49" t="s">
        <v>50</v>
      </c>
      <c r="C49" t="s">
        <v>48</v>
      </c>
      <c r="D49" t="s">
        <v>47</v>
      </c>
      <c r="E49" t="s">
        <v>49</v>
      </c>
      <c r="F49" s="10" t="s">
        <v>152</v>
      </c>
      <c r="G49" s="10">
        <v>0.191833</v>
      </c>
      <c r="H49" s="10" t="s">
        <v>151</v>
      </c>
      <c r="I49" s="88"/>
      <c r="J49" s="2" t="b">
        <v>1</v>
      </c>
      <c r="K49" s="10">
        <v>0.191833</v>
      </c>
    </row>
    <row r="50" spans="1:11" s="10" customFormat="1">
      <c r="A50" t="s">
        <v>154</v>
      </c>
      <c r="B50" t="s">
        <v>50</v>
      </c>
      <c r="C50" t="s">
        <v>48</v>
      </c>
      <c r="D50" t="s">
        <v>47</v>
      </c>
      <c r="E50" t="s">
        <v>49</v>
      </c>
      <c r="F50" s="10" t="s">
        <v>153</v>
      </c>
      <c r="G50" s="10">
        <v>0.191833</v>
      </c>
      <c r="H50" s="10" t="s">
        <v>151</v>
      </c>
      <c r="I50" s="88"/>
      <c r="J50" s="2" t="b">
        <v>1</v>
      </c>
      <c r="K50" s="10">
        <v>0.191833</v>
      </c>
    </row>
    <row r="51" spans="1:11" s="10" customFormat="1">
      <c r="A51" s="10" t="s">
        <v>154</v>
      </c>
      <c r="B51" t="s">
        <v>50</v>
      </c>
      <c r="C51" t="s">
        <v>48</v>
      </c>
      <c r="D51" t="s">
        <v>47</v>
      </c>
      <c r="E51" t="s">
        <v>49</v>
      </c>
      <c r="F51" s="10" t="s">
        <v>150</v>
      </c>
      <c r="G51" s="10">
        <v>4.5546290000000003</v>
      </c>
      <c r="H51" s="10" t="s">
        <v>151</v>
      </c>
      <c r="I51" s="88"/>
      <c r="J51" s="2" t="b">
        <v>1</v>
      </c>
      <c r="K51" s="10">
        <v>4.5546290000000003</v>
      </c>
    </row>
    <row r="52" spans="1:11" s="10" customFormat="1">
      <c r="A52" s="10" t="s">
        <v>154</v>
      </c>
      <c r="B52" t="s">
        <v>50</v>
      </c>
      <c r="C52" t="s">
        <v>48</v>
      </c>
      <c r="D52" t="s">
        <v>47</v>
      </c>
      <c r="E52" t="s">
        <v>49</v>
      </c>
      <c r="F52" s="10" t="s">
        <v>152</v>
      </c>
      <c r="G52" s="10">
        <v>2.280383</v>
      </c>
      <c r="H52" s="10" t="s">
        <v>151</v>
      </c>
      <c r="I52" s="88"/>
      <c r="J52" s="2" t="b">
        <v>1</v>
      </c>
      <c r="K52" s="10">
        <v>2.280383</v>
      </c>
    </row>
    <row r="53" spans="1:11" s="10" customFormat="1" ht="18" customHeight="1">
      <c r="A53" s="10" t="s">
        <v>154</v>
      </c>
      <c r="B53" t="s">
        <v>50</v>
      </c>
      <c r="C53" t="s">
        <v>48</v>
      </c>
      <c r="D53" t="s">
        <v>47</v>
      </c>
      <c r="E53" t="s">
        <v>49</v>
      </c>
      <c r="F53" s="10" t="s">
        <v>153</v>
      </c>
      <c r="G53" s="10">
        <v>3.8825877000000002</v>
      </c>
      <c r="H53" s="10" t="s">
        <v>151</v>
      </c>
      <c r="I53" s="88"/>
      <c r="J53" s="2" t="b">
        <v>1</v>
      </c>
      <c r="K53" s="10">
        <v>3.8825877000000002</v>
      </c>
    </row>
    <row r="54" spans="1:11">
      <c r="A54" t="s">
        <v>356</v>
      </c>
      <c r="B54" s="56" t="s">
        <v>50</v>
      </c>
      <c r="C54" s="56" t="s">
        <v>48</v>
      </c>
      <c r="D54" s="56" t="s">
        <v>47</v>
      </c>
      <c r="E54" s="56" t="s">
        <v>49</v>
      </c>
      <c r="F54" s="10" t="s">
        <v>431</v>
      </c>
      <c r="G54" s="10">
        <v>35</v>
      </c>
      <c r="H54" s="10" t="s">
        <v>351</v>
      </c>
      <c r="I54" s="88"/>
      <c r="J54" s="2" t="b">
        <v>1</v>
      </c>
      <c r="K54" s="10">
        <v>35</v>
      </c>
    </row>
    <row r="55" spans="1:11">
      <c r="A55" s="56" t="s">
        <v>356</v>
      </c>
      <c r="B55" s="56" t="s">
        <v>50</v>
      </c>
      <c r="C55" s="56" t="s">
        <v>48</v>
      </c>
      <c r="D55" s="56" t="s">
        <v>47</v>
      </c>
      <c r="E55" s="56" t="s">
        <v>49</v>
      </c>
      <c r="F55" s="10" t="s">
        <v>357</v>
      </c>
      <c r="G55" s="10">
        <v>4.4999999999999998E-2</v>
      </c>
      <c r="H55" s="10" t="s">
        <v>34</v>
      </c>
      <c r="I55" s="88"/>
      <c r="J55" s="2" t="b">
        <v>1</v>
      </c>
      <c r="K55" s="10">
        <v>4055.2689999999998</v>
      </c>
    </row>
    <row r="56" spans="1:11">
      <c r="A56" s="56" t="s">
        <v>356</v>
      </c>
      <c r="B56" s="56" t="s">
        <v>50</v>
      </c>
      <c r="C56" s="56" t="s">
        <v>48</v>
      </c>
      <c r="D56" s="56" t="s">
        <v>47</v>
      </c>
      <c r="E56" s="56" t="s">
        <v>49</v>
      </c>
      <c r="F56" s="10" t="s">
        <v>358</v>
      </c>
      <c r="G56" s="10">
        <v>10</v>
      </c>
      <c r="H56" s="10" t="s">
        <v>34</v>
      </c>
      <c r="I56" s="88"/>
      <c r="J56" s="2" t="b">
        <v>1</v>
      </c>
      <c r="K56" s="10">
        <v>10</v>
      </c>
    </row>
    <row r="57" spans="1:11">
      <c r="A57" s="86" t="s">
        <v>356</v>
      </c>
      <c r="B57" s="56" t="s">
        <v>50</v>
      </c>
      <c r="C57" s="56" t="s">
        <v>48</v>
      </c>
      <c r="D57" s="56" t="s">
        <v>47</v>
      </c>
      <c r="E57" s="56" t="s">
        <v>49</v>
      </c>
      <c r="F57" s="10" t="s">
        <v>108</v>
      </c>
      <c r="G57" s="10">
        <v>1.97</v>
      </c>
      <c r="H57" s="10" t="s">
        <v>359</v>
      </c>
      <c r="I57" s="88">
        <v>1.97</v>
      </c>
      <c r="J57" s="2" t="b">
        <v>1</v>
      </c>
      <c r="K57" s="10">
        <v>1.97</v>
      </c>
    </row>
    <row r="58" spans="1:11">
      <c r="A58" s="10" t="s">
        <v>154</v>
      </c>
      <c r="B58" s="57" t="s">
        <v>50</v>
      </c>
      <c r="C58" s="57" t="s">
        <v>48</v>
      </c>
      <c r="D58" s="57" t="s">
        <v>47</v>
      </c>
      <c r="E58" s="57" t="s">
        <v>49</v>
      </c>
      <c r="F58" s="10" t="s">
        <v>360</v>
      </c>
      <c r="G58" s="10">
        <v>2100</v>
      </c>
      <c r="H58" s="10"/>
      <c r="I58" s="88"/>
      <c r="J58" s="2" t="b">
        <v>1</v>
      </c>
      <c r="K58" s="10">
        <v>2100</v>
      </c>
    </row>
    <row r="59" spans="1:11">
      <c r="A59" s="10" t="s">
        <v>154</v>
      </c>
      <c r="B59" s="57" t="s">
        <v>50</v>
      </c>
      <c r="C59" s="57" t="s">
        <v>48</v>
      </c>
      <c r="D59" s="57" t="s">
        <v>47</v>
      </c>
      <c r="E59" s="57" t="s">
        <v>49</v>
      </c>
      <c r="F59" s="10" t="s">
        <v>361</v>
      </c>
      <c r="G59" s="10">
        <v>100</v>
      </c>
      <c r="H59" s="10"/>
      <c r="I59" s="88"/>
      <c r="J59" s="2" t="b">
        <v>1</v>
      </c>
      <c r="K59" s="10">
        <v>100</v>
      </c>
    </row>
    <row r="60" spans="1:11">
      <c r="A60" s="10" t="s">
        <v>154</v>
      </c>
      <c r="B60" s="57" t="s">
        <v>50</v>
      </c>
      <c r="C60" s="57" t="s">
        <v>48</v>
      </c>
      <c r="D60" s="57" t="s">
        <v>47</v>
      </c>
      <c r="E60" s="57" t="s">
        <v>49</v>
      </c>
      <c r="F60" s="10" t="s">
        <v>362</v>
      </c>
      <c r="G60" s="10">
        <v>1200</v>
      </c>
      <c r="H60" s="10"/>
      <c r="I60" s="88"/>
      <c r="J60" s="2" t="b">
        <v>1</v>
      </c>
      <c r="K60" s="10">
        <v>1200</v>
      </c>
    </row>
    <row r="61" spans="1:11">
      <c r="A61" s="10" t="s">
        <v>154</v>
      </c>
      <c r="B61" s="57" t="s">
        <v>50</v>
      </c>
      <c r="C61" s="57" t="s">
        <v>48</v>
      </c>
      <c r="D61" s="57" t="s">
        <v>47</v>
      </c>
      <c r="E61" s="57" t="s">
        <v>49</v>
      </c>
      <c r="F61" s="10" t="s">
        <v>363</v>
      </c>
      <c r="G61" s="10">
        <v>4</v>
      </c>
      <c r="H61" s="10"/>
      <c r="I61" s="88"/>
      <c r="J61" s="2" t="b">
        <v>1</v>
      </c>
      <c r="K61" s="10">
        <v>4</v>
      </c>
    </row>
    <row r="62" spans="1:11">
      <c r="A62" s="10" t="s">
        <v>154</v>
      </c>
      <c r="B62" s="90" t="s">
        <v>50</v>
      </c>
      <c r="C62" s="90" t="s">
        <v>48</v>
      </c>
      <c r="D62" s="90" t="s">
        <v>47</v>
      </c>
      <c r="E62" s="90" t="s">
        <v>49</v>
      </c>
      <c r="F62" s="10" t="s">
        <v>442</v>
      </c>
      <c r="G62" s="10">
        <v>12</v>
      </c>
      <c r="H62" s="10"/>
      <c r="I62" s="88"/>
      <c r="J62" s="2" t="b">
        <v>1</v>
      </c>
      <c r="K62" s="10">
        <v>12</v>
      </c>
    </row>
    <row r="63" spans="1:11">
      <c r="A63" s="10" t="s">
        <v>154</v>
      </c>
      <c r="B63" s="90" t="s">
        <v>50</v>
      </c>
      <c r="C63" s="90" t="s">
        <v>48</v>
      </c>
      <c r="D63" s="90" t="s">
        <v>47</v>
      </c>
      <c r="E63" s="90" t="s">
        <v>49</v>
      </c>
      <c r="F63" s="10" t="s">
        <v>443</v>
      </c>
      <c r="G63" s="10">
        <v>8</v>
      </c>
      <c r="H63" s="10"/>
      <c r="I63" s="88"/>
      <c r="J63" s="2" t="b">
        <v>1</v>
      </c>
      <c r="K63" s="10">
        <v>8</v>
      </c>
    </row>
    <row r="64" spans="1:11">
      <c r="A64" s="10" t="s">
        <v>154</v>
      </c>
      <c r="B64" s="90" t="s">
        <v>50</v>
      </c>
      <c r="C64" s="90" t="s">
        <v>48</v>
      </c>
      <c r="D64" s="90" t="s">
        <v>47</v>
      </c>
      <c r="E64" s="90" t="s">
        <v>49</v>
      </c>
      <c r="F64" s="10" t="s">
        <v>444</v>
      </c>
      <c r="G64" s="10">
        <v>4</v>
      </c>
      <c r="H64" s="10"/>
      <c r="I64" s="88"/>
      <c r="J64" s="2" t="b">
        <v>1</v>
      </c>
      <c r="K64" s="10">
        <v>4</v>
      </c>
    </row>
    <row r="65" spans="1:12">
      <c r="A65" s="10" t="s">
        <v>154</v>
      </c>
      <c r="B65" s="90" t="s">
        <v>50</v>
      </c>
      <c r="C65" s="90" t="s">
        <v>48</v>
      </c>
      <c r="D65" s="90" t="s">
        <v>47</v>
      </c>
      <c r="E65" s="90" t="s">
        <v>49</v>
      </c>
      <c r="F65" s="10" t="s">
        <v>445</v>
      </c>
      <c r="G65" s="10">
        <v>2</v>
      </c>
      <c r="H65" s="10"/>
      <c r="I65" s="88"/>
      <c r="J65" s="2" t="b">
        <v>1</v>
      </c>
      <c r="K65" s="10">
        <v>2</v>
      </c>
    </row>
    <row r="66" spans="1:12">
      <c r="A66" s="10" t="s">
        <v>154</v>
      </c>
      <c r="B66" s="90" t="s">
        <v>50</v>
      </c>
      <c r="C66" s="90" t="s">
        <v>48</v>
      </c>
      <c r="D66" s="90" t="s">
        <v>47</v>
      </c>
      <c r="E66" s="90" t="s">
        <v>49</v>
      </c>
      <c r="F66" s="10" t="s">
        <v>446</v>
      </c>
      <c r="G66" s="10">
        <v>3</v>
      </c>
      <c r="H66" s="10"/>
      <c r="I66" s="88"/>
      <c r="J66" s="2" t="b">
        <v>1</v>
      </c>
      <c r="K66" s="10">
        <v>3</v>
      </c>
    </row>
    <row r="67" spans="1:12">
      <c r="A67" s="10" t="s">
        <v>154</v>
      </c>
      <c r="B67" s="90" t="s">
        <v>50</v>
      </c>
      <c r="C67" s="90" t="s">
        <v>48</v>
      </c>
      <c r="D67" s="90" t="s">
        <v>47</v>
      </c>
      <c r="E67" s="90" t="s">
        <v>49</v>
      </c>
      <c r="F67" s="10" t="s">
        <v>455</v>
      </c>
      <c r="G67" s="10">
        <v>7</v>
      </c>
      <c r="H67" s="10"/>
      <c r="I67" s="88"/>
      <c r="J67" s="2" t="b">
        <v>1</v>
      </c>
      <c r="K67" s="10">
        <v>7</v>
      </c>
    </row>
    <row r="68" spans="1:12">
      <c r="A68" s="10" t="s">
        <v>154</v>
      </c>
      <c r="B68" s="90" t="s">
        <v>50</v>
      </c>
      <c r="C68" s="90" t="s">
        <v>48</v>
      </c>
      <c r="D68" s="90" t="s">
        <v>47</v>
      </c>
      <c r="E68" s="90" t="s">
        <v>49</v>
      </c>
      <c r="F68" s="10" t="s">
        <v>456</v>
      </c>
      <c r="G68" s="10">
        <v>3</v>
      </c>
      <c r="H68" s="10"/>
      <c r="I68" s="88"/>
      <c r="J68" s="2" t="b">
        <v>1</v>
      </c>
      <c r="K68" s="10">
        <v>3</v>
      </c>
    </row>
    <row r="69" spans="1:12">
      <c r="A69" s="10" t="s">
        <v>154</v>
      </c>
      <c r="B69" s="90" t="s">
        <v>50</v>
      </c>
      <c r="C69" s="90" t="s">
        <v>48</v>
      </c>
      <c r="D69" s="90" t="s">
        <v>47</v>
      </c>
      <c r="E69" s="90" t="s">
        <v>49</v>
      </c>
      <c r="F69" s="10" t="s">
        <v>457</v>
      </c>
      <c r="G69" s="10">
        <v>2</v>
      </c>
      <c r="H69" s="10"/>
      <c r="I69" s="88"/>
      <c r="J69" s="2" t="b">
        <v>1</v>
      </c>
      <c r="K69" s="10">
        <v>2</v>
      </c>
    </row>
    <row r="70" spans="1:12">
      <c r="A70" s="10" t="s">
        <v>154</v>
      </c>
      <c r="B70" s="90" t="s">
        <v>50</v>
      </c>
      <c r="C70" s="90" t="s">
        <v>48</v>
      </c>
      <c r="D70" s="90" t="s">
        <v>47</v>
      </c>
      <c r="E70" s="90" t="s">
        <v>49</v>
      </c>
      <c r="F70" s="10" t="s">
        <v>458</v>
      </c>
      <c r="G70" s="10">
        <v>1</v>
      </c>
      <c r="H70" s="10"/>
      <c r="I70" s="88"/>
      <c r="J70" s="2" t="b">
        <v>1</v>
      </c>
      <c r="K70" s="10">
        <v>1</v>
      </c>
    </row>
    <row r="71" spans="1:12">
      <c r="A71" s="10" t="s">
        <v>154</v>
      </c>
      <c r="B71" s="90" t="s">
        <v>50</v>
      </c>
      <c r="C71" s="90" t="s">
        <v>48</v>
      </c>
      <c r="D71" s="90" t="s">
        <v>47</v>
      </c>
      <c r="E71" s="90" t="s">
        <v>49</v>
      </c>
      <c r="F71" s="10" t="s">
        <v>459</v>
      </c>
      <c r="G71" s="10">
        <v>6</v>
      </c>
      <c r="H71" s="10"/>
      <c r="I71" s="88"/>
      <c r="J71" s="2" t="b">
        <v>1</v>
      </c>
      <c r="K71" s="10">
        <v>6</v>
      </c>
    </row>
    <row r="72" spans="1:12">
      <c r="A72" s="10" t="s">
        <v>154</v>
      </c>
      <c r="B72" s="90" t="s">
        <v>50</v>
      </c>
      <c r="C72" s="90" t="s">
        <v>48</v>
      </c>
      <c r="D72" s="90" t="s">
        <v>47</v>
      </c>
      <c r="E72" s="90" t="s">
        <v>49</v>
      </c>
      <c r="F72" s="22" t="s">
        <v>460</v>
      </c>
      <c r="G72" s="10">
        <v>23</v>
      </c>
      <c r="H72" s="10"/>
      <c r="I72" s="88"/>
      <c r="J72" s="2" t="b">
        <v>1</v>
      </c>
      <c r="K72" s="10">
        <v>23</v>
      </c>
    </row>
    <row r="73" spans="1:12">
      <c r="A73" s="10" t="s">
        <v>154</v>
      </c>
      <c r="B73" s="115" t="s">
        <v>50</v>
      </c>
      <c r="C73" s="118" t="s">
        <v>48</v>
      </c>
      <c r="D73" s="118" t="s">
        <v>47</v>
      </c>
      <c r="E73" s="10"/>
      <c r="F73" s="10" t="s">
        <v>550</v>
      </c>
      <c r="G73" s="10">
        <v>7901303</v>
      </c>
      <c r="H73" s="10" t="s">
        <v>34</v>
      </c>
      <c r="I73" s="27"/>
      <c r="J73" s="10"/>
      <c r="K73" s="10">
        <v>7901303</v>
      </c>
      <c r="L73" s="10" t="s">
        <v>559</v>
      </c>
    </row>
    <row r="74" spans="1:12">
      <c r="A74" s="10" t="s">
        <v>154</v>
      </c>
      <c r="B74" s="115" t="s">
        <v>50</v>
      </c>
      <c r="C74" s="118" t="s">
        <v>48</v>
      </c>
      <c r="D74" s="118" t="s">
        <v>47</v>
      </c>
      <c r="E74" s="10"/>
      <c r="F74" s="10" t="s">
        <v>551</v>
      </c>
      <c r="G74" s="10">
        <v>9174</v>
      </c>
      <c r="H74" s="10" t="s">
        <v>34</v>
      </c>
      <c r="I74" s="27"/>
      <c r="J74" s="10"/>
      <c r="K74" s="10">
        <v>9174</v>
      </c>
      <c r="L74" s="10" t="s">
        <v>559</v>
      </c>
    </row>
    <row r="75" spans="1:12">
      <c r="A75" s="10" t="s">
        <v>154</v>
      </c>
      <c r="B75" s="115" t="s">
        <v>50</v>
      </c>
      <c r="C75" s="118" t="s">
        <v>48</v>
      </c>
      <c r="D75" s="118" t="s">
        <v>47</v>
      </c>
      <c r="E75" s="10"/>
      <c r="F75" s="10" t="s">
        <v>552</v>
      </c>
      <c r="G75" s="10">
        <v>112953</v>
      </c>
      <c r="H75" s="10" t="s">
        <v>34</v>
      </c>
      <c r="I75" s="27"/>
      <c r="J75" s="10"/>
      <c r="K75" s="10">
        <v>112953</v>
      </c>
      <c r="L75" s="10" t="s">
        <v>559</v>
      </c>
    </row>
    <row r="76" spans="1:12">
      <c r="A76" s="10" t="s">
        <v>154</v>
      </c>
      <c r="B76" s="115" t="s">
        <v>50</v>
      </c>
      <c r="C76" s="118" t="s">
        <v>48</v>
      </c>
      <c r="D76" s="118" t="s">
        <v>47</v>
      </c>
      <c r="E76" s="10"/>
      <c r="F76" s="10" t="s">
        <v>553</v>
      </c>
      <c r="G76" s="10">
        <v>246</v>
      </c>
      <c r="H76" s="10"/>
      <c r="I76" s="27"/>
      <c r="J76" s="10"/>
      <c r="K76" s="10">
        <v>246</v>
      </c>
      <c r="L76" s="10" t="s">
        <v>559</v>
      </c>
    </row>
    <row r="77" spans="1:12">
      <c r="A77" s="10" t="s">
        <v>154</v>
      </c>
      <c r="B77" s="137" t="s">
        <v>50</v>
      </c>
      <c r="C77" s="118" t="s">
        <v>48</v>
      </c>
      <c r="D77" s="118" t="s">
        <v>47</v>
      </c>
      <c r="E77" s="10"/>
      <c r="F77" s="10" t="s">
        <v>560</v>
      </c>
      <c r="G77" s="10">
        <v>1</v>
      </c>
      <c r="H77" s="10"/>
      <c r="I77" s="27"/>
      <c r="J77" s="10"/>
      <c r="K77" s="10">
        <v>1</v>
      </c>
      <c r="L77" s="10" t="s">
        <v>559</v>
      </c>
    </row>
    <row r="78" spans="1:12">
      <c r="A78" s="10" t="s">
        <v>154</v>
      </c>
      <c r="B78" s="137" t="s">
        <v>50</v>
      </c>
      <c r="C78" s="118" t="s">
        <v>48</v>
      </c>
      <c r="D78" s="118" t="s">
        <v>47</v>
      </c>
      <c r="E78" s="118" t="s">
        <v>49</v>
      </c>
      <c r="F78" s="10" t="s">
        <v>554</v>
      </c>
      <c r="G78" s="10">
        <v>5819747</v>
      </c>
      <c r="H78" s="10" t="s">
        <v>34</v>
      </c>
      <c r="I78" s="27"/>
      <c r="J78" s="10" t="b">
        <v>1</v>
      </c>
      <c r="K78" s="10">
        <v>5819747</v>
      </c>
      <c r="L78" s="10">
        <v>13</v>
      </c>
    </row>
    <row r="79" spans="1:12">
      <c r="A79" s="10" t="s">
        <v>154</v>
      </c>
      <c r="B79" s="137" t="s">
        <v>50</v>
      </c>
      <c r="C79" s="118" t="s">
        <v>48</v>
      </c>
      <c r="D79" s="118" t="s">
        <v>47</v>
      </c>
      <c r="E79" s="118" t="s">
        <v>49</v>
      </c>
      <c r="F79" s="10" t="s">
        <v>555</v>
      </c>
      <c r="G79" s="10">
        <v>23</v>
      </c>
      <c r="H79" s="10" t="s">
        <v>34</v>
      </c>
      <c r="I79" s="27"/>
      <c r="J79" s="10" t="b">
        <v>1</v>
      </c>
      <c r="K79" s="10">
        <v>23</v>
      </c>
      <c r="L79" s="10">
        <v>13</v>
      </c>
    </row>
    <row r="80" spans="1:12">
      <c r="A80" s="10" t="s">
        <v>154</v>
      </c>
      <c r="B80" s="137" t="s">
        <v>50</v>
      </c>
      <c r="C80" s="118" t="s">
        <v>48</v>
      </c>
      <c r="D80" s="118" t="s">
        <v>47</v>
      </c>
      <c r="E80" s="118" t="s">
        <v>49</v>
      </c>
      <c r="F80" s="10" t="s">
        <v>556</v>
      </c>
      <c r="G80" s="10">
        <v>1455699.25</v>
      </c>
      <c r="H80" s="10" t="s">
        <v>34</v>
      </c>
      <c r="I80" s="27"/>
      <c r="J80" s="10" t="b">
        <v>1</v>
      </c>
      <c r="K80" s="10">
        <v>1455699.25</v>
      </c>
      <c r="L80" s="10">
        <v>13</v>
      </c>
    </row>
    <row r="81" spans="1:12">
      <c r="A81" s="10" t="s">
        <v>154</v>
      </c>
      <c r="B81" s="137" t="s">
        <v>50</v>
      </c>
      <c r="C81" s="118" t="s">
        <v>48</v>
      </c>
      <c r="D81" s="118" t="s">
        <v>47</v>
      </c>
      <c r="E81" s="118" t="s">
        <v>49</v>
      </c>
      <c r="F81" s="10" t="s">
        <v>557</v>
      </c>
      <c r="G81" s="10">
        <v>2519584.2544080932</v>
      </c>
      <c r="H81" s="10" t="s">
        <v>34</v>
      </c>
      <c r="I81" s="27"/>
      <c r="J81" s="10" t="b">
        <v>1</v>
      </c>
      <c r="K81" s="10">
        <v>2519584.2544080932</v>
      </c>
      <c r="L81" s="10">
        <v>13</v>
      </c>
    </row>
    <row r="82" spans="1:12">
      <c r="A82" s="10" t="s">
        <v>154</v>
      </c>
      <c r="B82" s="137" t="s">
        <v>50</v>
      </c>
      <c r="C82" s="118" t="s">
        <v>48</v>
      </c>
      <c r="D82" s="118" t="s">
        <v>47</v>
      </c>
      <c r="E82" s="118" t="s">
        <v>49</v>
      </c>
      <c r="F82" s="10" t="s">
        <v>558</v>
      </c>
      <c r="G82" s="10">
        <v>4</v>
      </c>
      <c r="H82" s="10"/>
      <c r="I82" s="27"/>
      <c r="J82" s="10" t="b">
        <v>1</v>
      </c>
      <c r="K82" s="10">
        <v>4</v>
      </c>
      <c r="L82" s="10">
        <v>13</v>
      </c>
    </row>
    <row r="83" spans="1:12">
      <c r="A83" s="10" t="s">
        <v>154</v>
      </c>
      <c r="B83" s="137" t="s">
        <v>50</v>
      </c>
      <c r="C83" s="137" t="s">
        <v>48</v>
      </c>
      <c r="D83" s="137" t="s">
        <v>47</v>
      </c>
      <c r="E83" s="137" t="s">
        <v>49</v>
      </c>
      <c r="F83" s="10" t="s">
        <v>612</v>
      </c>
      <c r="G83" s="10">
        <v>230</v>
      </c>
      <c r="H83" s="10" t="s">
        <v>34</v>
      </c>
      <c r="I83" s="88"/>
      <c r="J83" s="10" t="b">
        <v>1</v>
      </c>
      <c r="K83" s="10">
        <v>230</v>
      </c>
      <c r="L83" s="10">
        <v>14</v>
      </c>
    </row>
    <row r="84" spans="1:12">
      <c r="A84" s="10" t="s">
        <v>154</v>
      </c>
      <c r="B84" s="137" t="s">
        <v>50</v>
      </c>
      <c r="C84" s="137" t="s">
        <v>48</v>
      </c>
      <c r="D84" s="137" t="s">
        <v>47</v>
      </c>
      <c r="E84" s="137" t="s">
        <v>49</v>
      </c>
      <c r="F84" s="10" t="s">
        <v>613</v>
      </c>
      <c r="G84" s="10">
        <v>124</v>
      </c>
      <c r="H84" s="10" t="s">
        <v>34</v>
      </c>
      <c r="I84" s="88"/>
      <c r="J84" s="10" t="b">
        <v>1</v>
      </c>
      <c r="K84" s="10">
        <v>124</v>
      </c>
      <c r="L84" s="10">
        <v>14</v>
      </c>
    </row>
    <row r="85" spans="1:12">
      <c r="A85" s="10" t="s">
        <v>154</v>
      </c>
      <c r="B85" s="137" t="s">
        <v>50</v>
      </c>
      <c r="C85" s="137" t="s">
        <v>48</v>
      </c>
      <c r="D85" s="137" t="s">
        <v>47</v>
      </c>
      <c r="E85" s="137" t="s">
        <v>49</v>
      </c>
      <c r="F85" s="10" t="s">
        <v>614</v>
      </c>
      <c r="G85" s="10">
        <v>100</v>
      </c>
      <c r="H85" s="10" t="s">
        <v>34</v>
      </c>
      <c r="I85" s="88"/>
      <c r="J85" s="10" t="b">
        <v>1</v>
      </c>
      <c r="K85" s="10">
        <v>100</v>
      </c>
      <c r="L85" s="10">
        <v>14</v>
      </c>
    </row>
    <row r="86" spans="1:12">
      <c r="A86" s="10" t="s">
        <v>154</v>
      </c>
      <c r="B86" s="137" t="s">
        <v>50</v>
      </c>
      <c r="C86" s="137" t="s">
        <v>48</v>
      </c>
      <c r="D86" s="137" t="s">
        <v>47</v>
      </c>
      <c r="E86" s="137" t="s">
        <v>49</v>
      </c>
      <c r="F86" s="10" t="s">
        <v>615</v>
      </c>
      <c r="G86" s="10">
        <v>10</v>
      </c>
      <c r="H86" s="10"/>
      <c r="I86" s="88"/>
      <c r="J86" s="10" t="b">
        <v>1</v>
      </c>
      <c r="K86" s="10">
        <v>10</v>
      </c>
      <c r="L86" s="10">
        <v>14</v>
      </c>
    </row>
    <row r="87" spans="1:12">
      <c r="A87" s="10" t="s">
        <v>154</v>
      </c>
      <c r="B87" s="137" t="s">
        <v>50</v>
      </c>
      <c r="C87" s="137" t="s">
        <v>48</v>
      </c>
      <c r="D87" s="137" t="s">
        <v>47</v>
      </c>
      <c r="E87" s="137" t="s">
        <v>49</v>
      </c>
      <c r="F87" s="10" t="s">
        <v>616</v>
      </c>
      <c r="G87" s="10">
        <v>5</v>
      </c>
      <c r="H87" s="10"/>
      <c r="I87" s="88"/>
      <c r="J87" s="10" t="b">
        <v>1</v>
      </c>
      <c r="K87" s="10">
        <v>5</v>
      </c>
      <c r="L87" s="10">
        <v>14</v>
      </c>
    </row>
    <row r="88" spans="1:12">
      <c r="A88" s="10" t="s">
        <v>154</v>
      </c>
      <c r="B88" s="143" t="s">
        <v>50</v>
      </c>
      <c r="C88" s="143" t="s">
        <v>48</v>
      </c>
      <c r="D88" s="143" t="s">
        <v>47</v>
      </c>
      <c r="E88" s="143" t="s">
        <v>49</v>
      </c>
      <c r="F88" s="10" t="s">
        <v>637</v>
      </c>
      <c r="G88" s="10">
        <v>123</v>
      </c>
      <c r="H88" s="10" t="s">
        <v>34</v>
      </c>
      <c r="I88" s="88"/>
      <c r="J88" s="10" t="b">
        <v>1</v>
      </c>
      <c r="K88" s="10">
        <v>123</v>
      </c>
      <c r="L88" s="10">
        <v>15</v>
      </c>
    </row>
    <row r="89" spans="1:12">
      <c r="A89" s="10" t="s">
        <v>154</v>
      </c>
      <c r="B89" s="143" t="s">
        <v>50</v>
      </c>
      <c r="C89" s="143" t="s">
        <v>48</v>
      </c>
      <c r="D89" s="143" t="s">
        <v>47</v>
      </c>
      <c r="E89" s="143" t="s">
        <v>49</v>
      </c>
      <c r="F89" s="10" t="s">
        <v>638</v>
      </c>
      <c r="G89" s="10">
        <v>54</v>
      </c>
      <c r="H89" s="10" t="s">
        <v>34</v>
      </c>
      <c r="I89" s="88"/>
      <c r="J89" s="10" t="b">
        <v>1</v>
      </c>
      <c r="K89" s="10">
        <v>54</v>
      </c>
      <c r="L89" s="10">
        <v>15</v>
      </c>
    </row>
    <row r="90" spans="1:12">
      <c r="A90" s="10" t="s">
        <v>154</v>
      </c>
      <c r="B90" s="143" t="s">
        <v>50</v>
      </c>
      <c r="C90" s="143" t="s">
        <v>48</v>
      </c>
      <c r="D90" s="143" t="s">
        <v>47</v>
      </c>
      <c r="E90" s="143" t="s">
        <v>49</v>
      </c>
      <c r="F90" s="10" t="s">
        <v>639</v>
      </c>
      <c r="G90" s="10">
        <v>23</v>
      </c>
      <c r="H90" s="10" t="s">
        <v>34</v>
      </c>
      <c r="I90" s="88"/>
      <c r="J90" s="10" t="b">
        <v>1</v>
      </c>
      <c r="K90" s="10">
        <v>23</v>
      </c>
      <c r="L90" s="10">
        <v>15</v>
      </c>
    </row>
    <row r="91" spans="1:12">
      <c r="A91" s="10" t="s">
        <v>154</v>
      </c>
      <c r="B91" s="143" t="s">
        <v>50</v>
      </c>
      <c r="C91" s="143" t="s">
        <v>48</v>
      </c>
      <c r="D91" s="143" t="s">
        <v>47</v>
      </c>
      <c r="E91" s="143" t="s">
        <v>49</v>
      </c>
      <c r="F91" s="10" t="s">
        <v>640</v>
      </c>
      <c r="G91" s="10">
        <v>12</v>
      </c>
      <c r="H91" s="10"/>
      <c r="I91" s="88"/>
      <c r="J91" s="10" t="b">
        <v>1</v>
      </c>
      <c r="K91" s="10">
        <v>12</v>
      </c>
      <c r="L91" s="10">
        <v>15</v>
      </c>
    </row>
    <row r="92" spans="1:12">
      <c r="A92" s="10" t="s">
        <v>154</v>
      </c>
      <c r="B92" s="143" t="s">
        <v>50</v>
      </c>
      <c r="C92" s="143" t="s">
        <v>48</v>
      </c>
      <c r="D92" s="143" t="s">
        <v>47</v>
      </c>
      <c r="E92" s="143" t="s">
        <v>49</v>
      </c>
      <c r="F92" s="10" t="s">
        <v>641</v>
      </c>
      <c r="G92" s="10">
        <v>7.89</v>
      </c>
      <c r="H92" s="10" t="s">
        <v>644</v>
      </c>
      <c r="I92" s="88"/>
      <c r="J92" s="10" t="b">
        <v>1</v>
      </c>
      <c r="K92" s="10">
        <v>7.89</v>
      </c>
      <c r="L92" s="10">
        <v>15</v>
      </c>
    </row>
    <row r="93" spans="1:12">
      <c r="A93" s="10" t="s">
        <v>154</v>
      </c>
      <c r="B93" s="143" t="s">
        <v>50</v>
      </c>
      <c r="C93" s="143" t="s">
        <v>48</v>
      </c>
      <c r="D93" s="143" t="s">
        <v>47</v>
      </c>
      <c r="E93" s="143" t="s">
        <v>49</v>
      </c>
      <c r="F93" s="10" t="s">
        <v>642</v>
      </c>
      <c r="G93" s="10">
        <v>3.45</v>
      </c>
      <c r="H93" s="10" t="s">
        <v>644</v>
      </c>
      <c r="I93" s="88"/>
      <c r="J93" s="10" t="b">
        <v>1</v>
      </c>
      <c r="K93" s="10">
        <v>3.45</v>
      </c>
      <c r="L93" s="10">
        <v>15</v>
      </c>
    </row>
    <row r="94" spans="1:12">
      <c r="A94" s="10" t="s">
        <v>154</v>
      </c>
      <c r="B94" s="143" t="s">
        <v>50</v>
      </c>
      <c r="C94" s="143" t="s">
        <v>48</v>
      </c>
      <c r="D94" s="143" t="s">
        <v>47</v>
      </c>
      <c r="E94" s="143" t="s">
        <v>49</v>
      </c>
      <c r="F94" s="10" t="s">
        <v>643</v>
      </c>
      <c r="G94" s="10">
        <v>1.23</v>
      </c>
      <c r="H94" s="10" t="s">
        <v>644</v>
      </c>
      <c r="I94" s="88"/>
      <c r="J94" s="10" t="b">
        <v>1</v>
      </c>
      <c r="K94" s="10">
        <v>1.23</v>
      </c>
      <c r="L94" s="10">
        <v>15</v>
      </c>
    </row>
    <row r="95" spans="1:12">
      <c r="A95" s="10" t="s">
        <v>154</v>
      </c>
      <c r="B95" s="146" t="s">
        <v>50</v>
      </c>
      <c r="C95" s="146" t="s">
        <v>48</v>
      </c>
      <c r="D95" s="146" t="s">
        <v>47</v>
      </c>
      <c r="E95" s="146" t="s">
        <v>49</v>
      </c>
      <c r="F95" s="10" t="s">
        <v>645</v>
      </c>
      <c r="G95" s="10">
        <v>12.43</v>
      </c>
      <c r="H95" s="10" t="s">
        <v>649</v>
      </c>
      <c r="I95" s="88"/>
      <c r="J95" s="10" t="b">
        <v>1</v>
      </c>
      <c r="K95" s="10">
        <v>12.43</v>
      </c>
      <c r="L95" s="10">
        <v>15</v>
      </c>
    </row>
    <row r="96" spans="1:12">
      <c r="A96" s="10" t="s">
        <v>154</v>
      </c>
      <c r="B96" s="146" t="s">
        <v>50</v>
      </c>
      <c r="C96" s="146" t="s">
        <v>48</v>
      </c>
      <c r="D96" s="146" t="s">
        <v>47</v>
      </c>
      <c r="E96" s="146" t="s">
        <v>49</v>
      </c>
      <c r="F96" s="10" t="s">
        <v>646</v>
      </c>
      <c r="G96" s="10">
        <v>5.67</v>
      </c>
      <c r="H96" s="10" t="s">
        <v>649</v>
      </c>
      <c r="I96" s="88"/>
      <c r="J96" s="10" t="b">
        <v>1</v>
      </c>
      <c r="K96" s="10">
        <v>5.67</v>
      </c>
      <c r="L96" s="10">
        <v>15</v>
      </c>
    </row>
    <row r="97" spans="1:12">
      <c r="A97" s="10" t="s">
        <v>154</v>
      </c>
      <c r="B97" s="146" t="s">
        <v>50</v>
      </c>
      <c r="C97" s="146" t="s">
        <v>48</v>
      </c>
      <c r="D97" s="146" t="s">
        <v>47</v>
      </c>
      <c r="E97" s="146" t="s">
        <v>49</v>
      </c>
      <c r="F97" s="10" t="s">
        <v>647</v>
      </c>
      <c r="G97" s="10">
        <v>2.34</v>
      </c>
      <c r="H97" s="10" t="s">
        <v>649</v>
      </c>
      <c r="I97" s="88"/>
      <c r="J97" s="10" t="b">
        <v>1</v>
      </c>
      <c r="K97" s="10">
        <v>2.34</v>
      </c>
      <c r="L97" s="10">
        <v>15</v>
      </c>
    </row>
    <row r="98" spans="1:12">
      <c r="A98" s="10" t="s">
        <v>154</v>
      </c>
      <c r="B98" s="146" t="s">
        <v>50</v>
      </c>
      <c r="C98" s="146" t="s">
        <v>48</v>
      </c>
      <c r="D98" s="146" t="s">
        <v>47</v>
      </c>
      <c r="E98" s="146" t="s">
        <v>49</v>
      </c>
      <c r="F98" s="10" t="s">
        <v>648</v>
      </c>
      <c r="G98" s="10">
        <v>23.45</v>
      </c>
      <c r="H98" s="10" t="s">
        <v>649</v>
      </c>
      <c r="I98" s="88"/>
      <c r="J98" s="10" t="b">
        <v>1</v>
      </c>
      <c r="K98" s="10">
        <v>23.45</v>
      </c>
      <c r="L98" s="10">
        <v>15</v>
      </c>
    </row>
    <row r="99" spans="1:12">
      <c r="A99" s="10" t="s">
        <v>156</v>
      </c>
      <c r="B99" s="160" t="s">
        <v>50</v>
      </c>
      <c r="C99" s="160" t="s">
        <v>48</v>
      </c>
      <c r="D99" s="160" t="s">
        <v>47</v>
      </c>
      <c r="E99" s="160" t="s">
        <v>49</v>
      </c>
      <c r="F99" s="10" t="s">
        <v>708</v>
      </c>
      <c r="G99" s="10"/>
      <c r="H99" s="10" t="s">
        <v>709</v>
      </c>
      <c r="I99" s="27"/>
      <c r="J99" s="10" t="b">
        <v>1</v>
      </c>
      <c r="K99" s="10"/>
    </row>
    <row r="100" spans="1:12">
      <c r="A100" s="10" t="s">
        <v>156</v>
      </c>
      <c r="B100" s="160" t="s">
        <v>50</v>
      </c>
      <c r="C100" s="160" t="s">
        <v>48</v>
      </c>
      <c r="D100" s="160" t="s">
        <v>47</v>
      </c>
      <c r="E100" s="160" t="s">
        <v>49</v>
      </c>
      <c r="F100" s="10" t="s">
        <v>708</v>
      </c>
      <c r="G100" s="10"/>
      <c r="H100" s="10" t="s">
        <v>710</v>
      </c>
      <c r="I100" s="27"/>
      <c r="J100" s="10" t="b">
        <v>1</v>
      </c>
      <c r="K100" s="10"/>
    </row>
    <row r="101" spans="1:12">
      <c r="A101" s="10" t="s">
        <v>156</v>
      </c>
      <c r="B101" s="160" t="s">
        <v>50</v>
      </c>
      <c r="C101" s="160" t="s">
        <v>48</v>
      </c>
      <c r="D101" s="160" t="s">
        <v>47</v>
      </c>
      <c r="E101" s="160" t="s">
        <v>49</v>
      </c>
      <c r="F101" s="10" t="s">
        <v>708</v>
      </c>
      <c r="G101" s="10"/>
      <c r="H101" s="10" t="s">
        <v>711</v>
      </c>
      <c r="I101" s="27"/>
      <c r="J101" s="10" t="b">
        <v>1</v>
      </c>
      <c r="K101" s="10"/>
    </row>
    <row r="102" spans="1:12">
      <c r="A102" s="10" t="s">
        <v>156</v>
      </c>
      <c r="B102" s="160" t="s">
        <v>50</v>
      </c>
      <c r="C102" s="160" t="s">
        <v>48</v>
      </c>
      <c r="D102" s="160" t="s">
        <v>47</v>
      </c>
      <c r="E102" s="160" t="s">
        <v>49</v>
      </c>
      <c r="F102" s="10" t="s">
        <v>708</v>
      </c>
      <c r="G102" s="10"/>
      <c r="H102" s="10" t="s">
        <v>712</v>
      </c>
      <c r="I102" s="27"/>
      <c r="J102" s="10" t="b">
        <v>1</v>
      </c>
      <c r="K102" s="10"/>
    </row>
    <row r="103" spans="1:12">
      <c r="A103" s="10" t="s">
        <v>156</v>
      </c>
      <c r="B103" s="160" t="s">
        <v>50</v>
      </c>
      <c r="C103" s="160" t="s">
        <v>48</v>
      </c>
      <c r="D103" s="160" t="s">
        <v>47</v>
      </c>
      <c r="E103" s="160" t="s">
        <v>49</v>
      </c>
      <c r="F103" s="10" t="s">
        <v>708</v>
      </c>
      <c r="G103" s="10"/>
      <c r="H103" s="10" t="s">
        <v>709</v>
      </c>
      <c r="I103" s="27"/>
      <c r="J103" s="10" t="b">
        <v>1</v>
      </c>
      <c r="K103" s="10"/>
    </row>
    <row r="104" spans="1:12">
      <c r="A104" s="10" t="s">
        <v>156</v>
      </c>
      <c r="B104" s="160" t="s">
        <v>50</v>
      </c>
      <c r="C104" s="160" t="s">
        <v>48</v>
      </c>
      <c r="D104" s="160" t="s">
        <v>47</v>
      </c>
      <c r="E104" s="160" t="s">
        <v>49</v>
      </c>
      <c r="F104" s="10" t="s">
        <v>708</v>
      </c>
      <c r="G104" s="10"/>
      <c r="H104" s="10" t="s">
        <v>713</v>
      </c>
      <c r="I104" s="27"/>
      <c r="J104" s="10" t="b">
        <v>1</v>
      </c>
      <c r="K104" s="10"/>
    </row>
    <row r="105" spans="1:12">
      <c r="A105" s="10" t="s">
        <v>156</v>
      </c>
      <c r="B105" s="160" t="s">
        <v>50</v>
      </c>
      <c r="C105" s="160" t="s">
        <v>48</v>
      </c>
      <c r="D105" s="160" t="s">
        <v>47</v>
      </c>
      <c r="E105" s="160" t="s">
        <v>49</v>
      </c>
      <c r="F105" s="10" t="s">
        <v>708</v>
      </c>
      <c r="G105" s="10"/>
      <c r="H105" s="10" t="s">
        <v>709</v>
      </c>
      <c r="I105" s="27"/>
      <c r="J105" s="10" t="b">
        <v>1</v>
      </c>
      <c r="K105" s="10"/>
    </row>
    <row r="106" spans="1:12">
      <c r="A106" s="10" t="s">
        <v>156</v>
      </c>
      <c r="B106" s="160" t="s">
        <v>50</v>
      </c>
      <c r="C106" s="160" t="s">
        <v>48</v>
      </c>
      <c r="D106" s="160" t="s">
        <v>47</v>
      </c>
      <c r="E106" s="160" t="s">
        <v>49</v>
      </c>
      <c r="F106" s="10" t="s">
        <v>708</v>
      </c>
      <c r="G106" s="10"/>
      <c r="H106" s="10" t="s">
        <v>714</v>
      </c>
      <c r="I106" s="27"/>
      <c r="J106" s="10" t="b">
        <v>1</v>
      </c>
      <c r="K106" s="10"/>
    </row>
    <row r="107" spans="1:12">
      <c r="A107" s="10" t="s">
        <v>156</v>
      </c>
      <c r="B107" s="160" t="s">
        <v>50</v>
      </c>
      <c r="C107" s="160" t="s">
        <v>48</v>
      </c>
      <c r="D107" s="160" t="s">
        <v>47</v>
      </c>
      <c r="E107" s="160" t="s">
        <v>49</v>
      </c>
      <c r="F107" s="10" t="s">
        <v>708</v>
      </c>
      <c r="G107" s="10"/>
      <c r="H107" s="10" t="s">
        <v>715</v>
      </c>
      <c r="I107" s="27"/>
      <c r="J107" s="10" t="b">
        <v>1</v>
      </c>
      <c r="K107" s="10"/>
    </row>
    <row r="108" spans="1:12" s="10" customFormat="1">
      <c r="A108" s="10" t="s">
        <v>154</v>
      </c>
      <c r="B108" s="179" t="s">
        <v>50</v>
      </c>
      <c r="C108" s="179" t="s">
        <v>48</v>
      </c>
      <c r="D108" s="179" t="s">
        <v>47</v>
      </c>
      <c r="E108" s="21" t="s">
        <v>746</v>
      </c>
      <c r="F108" s="10" t="s">
        <v>741</v>
      </c>
      <c r="G108" s="10">
        <v>1574</v>
      </c>
      <c r="H108" s="10" t="s">
        <v>34</v>
      </c>
      <c r="I108" s="27"/>
      <c r="J108" s="10" t="b">
        <v>1</v>
      </c>
      <c r="K108" s="10">
        <v>1574</v>
      </c>
      <c r="L108" s="10">
        <v>58</v>
      </c>
    </row>
    <row r="109" spans="1:12" s="10" customFormat="1">
      <c r="A109" s="10" t="s">
        <v>154</v>
      </c>
      <c r="B109" s="179" t="s">
        <v>50</v>
      </c>
      <c r="C109" s="179" t="s">
        <v>48</v>
      </c>
      <c r="D109" s="179" t="s">
        <v>47</v>
      </c>
      <c r="E109" s="21" t="s">
        <v>746</v>
      </c>
      <c r="F109" s="10" t="s">
        <v>742</v>
      </c>
      <c r="G109" s="10">
        <v>111</v>
      </c>
      <c r="H109" s="10" t="s">
        <v>34</v>
      </c>
      <c r="I109" s="27"/>
      <c r="J109" s="10" t="b">
        <v>1</v>
      </c>
      <c r="K109" s="10">
        <v>111</v>
      </c>
      <c r="L109" s="10">
        <v>58</v>
      </c>
    </row>
    <row r="110" spans="1:12" s="10" customFormat="1">
      <c r="A110" s="10" t="s">
        <v>154</v>
      </c>
      <c r="B110" s="179" t="s">
        <v>50</v>
      </c>
      <c r="C110" s="179" t="s">
        <v>48</v>
      </c>
      <c r="D110" s="179" t="s">
        <v>47</v>
      </c>
      <c r="E110" s="21" t="s">
        <v>746</v>
      </c>
      <c r="F110" s="10" t="s">
        <v>743</v>
      </c>
      <c r="G110" s="10">
        <v>550.5</v>
      </c>
      <c r="H110" s="10" t="s">
        <v>34</v>
      </c>
      <c r="I110" s="27"/>
      <c r="J110" s="10" t="b">
        <v>1</v>
      </c>
      <c r="K110" s="10">
        <v>550.5</v>
      </c>
      <c r="L110" s="10">
        <v>58</v>
      </c>
    </row>
    <row r="111" spans="1:12" s="10" customFormat="1">
      <c r="A111" s="10" t="s">
        <v>154</v>
      </c>
      <c r="B111" s="179" t="s">
        <v>50</v>
      </c>
      <c r="C111" s="179" t="s">
        <v>48</v>
      </c>
      <c r="D111" s="179" t="s">
        <v>47</v>
      </c>
      <c r="E111" s="21" t="s">
        <v>746</v>
      </c>
      <c r="F111" s="10" t="s">
        <v>744</v>
      </c>
      <c r="G111" s="10">
        <v>441.62229336843944</v>
      </c>
      <c r="H111" s="10" t="s">
        <v>34</v>
      </c>
      <c r="I111" s="27"/>
      <c r="J111" s="10" t="b">
        <v>1</v>
      </c>
      <c r="K111" s="10">
        <v>441.62229336843944</v>
      </c>
      <c r="L111" s="10">
        <v>58</v>
      </c>
    </row>
    <row r="112" spans="1:12" s="10" customFormat="1">
      <c r="A112" s="10" t="s">
        <v>154</v>
      </c>
      <c r="B112" s="179" t="s">
        <v>50</v>
      </c>
      <c r="C112" s="179" t="s">
        <v>48</v>
      </c>
      <c r="D112" s="179" t="s">
        <v>47</v>
      </c>
      <c r="E112" s="21" t="s">
        <v>746</v>
      </c>
      <c r="F112" s="10" t="s">
        <v>745</v>
      </c>
      <c r="G112" s="10">
        <v>8</v>
      </c>
      <c r="I112" s="27"/>
      <c r="J112" s="10" t="b">
        <v>1</v>
      </c>
      <c r="K112" s="10">
        <v>8</v>
      </c>
      <c r="L112" s="10">
        <v>58</v>
      </c>
    </row>
    <row r="113" spans="1:12" s="10" customFormat="1">
      <c r="A113" s="10" t="s">
        <v>154</v>
      </c>
      <c r="B113" s="179" t="s">
        <v>50</v>
      </c>
      <c r="C113" s="179" t="s">
        <v>48</v>
      </c>
      <c r="D113" s="179" t="s">
        <v>47</v>
      </c>
      <c r="E113" s="21" t="s">
        <v>746</v>
      </c>
      <c r="F113" s="10" t="s">
        <v>741</v>
      </c>
      <c r="G113" s="10">
        <v>240</v>
      </c>
      <c r="H113" s="10" t="s">
        <v>34</v>
      </c>
      <c r="I113" s="27"/>
      <c r="J113" s="10" t="b">
        <v>1</v>
      </c>
      <c r="K113" s="10">
        <v>240</v>
      </c>
      <c r="L113" s="10">
        <v>45</v>
      </c>
    </row>
    <row r="114" spans="1:12" s="10" customFormat="1">
      <c r="A114" s="10" t="s">
        <v>154</v>
      </c>
      <c r="B114" s="179" t="s">
        <v>50</v>
      </c>
      <c r="C114" s="179" t="s">
        <v>48</v>
      </c>
      <c r="D114" s="179" t="s">
        <v>47</v>
      </c>
      <c r="E114" s="21" t="s">
        <v>746</v>
      </c>
      <c r="F114" s="10" t="s">
        <v>742</v>
      </c>
      <c r="G114" s="10">
        <v>166</v>
      </c>
      <c r="H114" s="10" t="s">
        <v>34</v>
      </c>
      <c r="I114" s="27"/>
      <c r="J114" s="10" t="b">
        <v>1</v>
      </c>
      <c r="K114" s="10">
        <v>166</v>
      </c>
      <c r="L114" s="10">
        <v>45</v>
      </c>
    </row>
    <row r="115" spans="1:12" s="10" customFormat="1">
      <c r="A115" s="10" t="s">
        <v>154</v>
      </c>
      <c r="B115" s="179" t="s">
        <v>50</v>
      </c>
      <c r="C115" s="179" t="s">
        <v>48</v>
      </c>
      <c r="D115" s="179" t="s">
        <v>47</v>
      </c>
      <c r="E115" s="21" t="s">
        <v>746</v>
      </c>
      <c r="F115" s="10" t="s">
        <v>743</v>
      </c>
      <c r="G115" s="10">
        <v>201.33333333333334</v>
      </c>
      <c r="H115" s="10" t="s">
        <v>34</v>
      </c>
      <c r="I115" s="27"/>
      <c r="J115" s="10" t="b">
        <v>1</v>
      </c>
      <c r="K115" s="10">
        <v>201.33333333333334</v>
      </c>
      <c r="L115" s="10">
        <v>45</v>
      </c>
    </row>
    <row r="116" spans="1:12" s="10" customFormat="1">
      <c r="A116" s="10" t="s">
        <v>154</v>
      </c>
      <c r="B116" s="179" t="s">
        <v>50</v>
      </c>
      <c r="C116" s="179" t="s">
        <v>48</v>
      </c>
      <c r="D116" s="179" t="s">
        <v>47</v>
      </c>
      <c r="E116" s="21" t="s">
        <v>746</v>
      </c>
      <c r="F116" s="10" t="s">
        <v>744</v>
      </c>
      <c r="G116" s="10">
        <v>30.302181806302698</v>
      </c>
      <c r="H116" s="10" t="s">
        <v>34</v>
      </c>
      <c r="I116" s="27"/>
      <c r="J116" s="10" t="b">
        <v>1</v>
      </c>
      <c r="K116" s="10">
        <v>30.302181806302698</v>
      </c>
      <c r="L116" s="10">
        <v>45</v>
      </c>
    </row>
    <row r="117" spans="1:12" s="10" customFormat="1">
      <c r="A117" s="10" t="s">
        <v>154</v>
      </c>
      <c r="B117" s="179" t="s">
        <v>50</v>
      </c>
      <c r="C117" s="179" t="s">
        <v>48</v>
      </c>
      <c r="D117" s="179" t="s">
        <v>47</v>
      </c>
      <c r="E117" s="21" t="s">
        <v>746</v>
      </c>
      <c r="F117" s="10" t="s">
        <v>745</v>
      </c>
      <c r="G117" s="10">
        <v>3</v>
      </c>
      <c r="I117" s="27"/>
      <c r="J117" s="10" t="b">
        <v>1</v>
      </c>
      <c r="K117" s="10">
        <v>3</v>
      </c>
      <c r="L117" s="10">
        <v>45</v>
      </c>
    </row>
    <row r="118" spans="1:12" s="10" customFormat="1">
      <c r="A118" s="10" t="s">
        <v>154</v>
      </c>
      <c r="B118" s="186" t="s">
        <v>50</v>
      </c>
      <c r="C118" s="186" t="s">
        <v>48</v>
      </c>
      <c r="F118" s="10" t="s">
        <v>757</v>
      </c>
      <c r="G118" s="10">
        <v>1</v>
      </c>
      <c r="I118" s="27"/>
      <c r="K118" s="10">
        <v>1</v>
      </c>
      <c r="L118" s="10">
        <v>27</v>
      </c>
    </row>
    <row r="119" spans="1:12" s="10" customFormat="1">
      <c r="A119" s="10" t="s">
        <v>154</v>
      </c>
      <c r="B119" s="186" t="s">
        <v>50</v>
      </c>
      <c r="C119" s="186" t="s">
        <v>48</v>
      </c>
      <c r="D119" s="186" t="s">
        <v>47</v>
      </c>
      <c r="F119" s="10" t="s">
        <v>758</v>
      </c>
      <c r="G119" s="10">
        <v>1</v>
      </c>
      <c r="I119" s="27"/>
      <c r="K119" s="10">
        <v>1</v>
      </c>
      <c r="L119" s="10">
        <v>19</v>
      </c>
    </row>
    <row r="120" spans="1:12" s="10" customFormat="1">
      <c r="A120" s="10" t="s">
        <v>154</v>
      </c>
      <c r="B120" s="186" t="s">
        <v>50</v>
      </c>
      <c r="C120" s="186" t="s">
        <v>48</v>
      </c>
      <c r="D120" s="186" t="s">
        <v>47</v>
      </c>
      <c r="E120" s="186" t="s">
        <v>49</v>
      </c>
      <c r="F120" s="10" t="s">
        <v>759</v>
      </c>
      <c r="G120" s="10">
        <v>1</v>
      </c>
      <c r="I120" s="27"/>
      <c r="J120" s="10" t="b">
        <v>1</v>
      </c>
      <c r="K120" s="10">
        <v>1</v>
      </c>
      <c r="L120" s="10">
        <v>33</v>
      </c>
    </row>
    <row r="121" spans="1:12" s="10" customFormat="1">
      <c r="A121" s="10" t="s">
        <v>154</v>
      </c>
      <c r="B121" s="189" t="s">
        <v>50</v>
      </c>
      <c r="C121" s="189" t="s">
        <v>48</v>
      </c>
      <c r="D121" s="189" t="s">
        <v>47</v>
      </c>
      <c r="E121" s="189" t="s">
        <v>49</v>
      </c>
      <c r="F121" s="10" t="s">
        <v>765</v>
      </c>
      <c r="G121" s="10">
        <v>16107106</v>
      </c>
      <c r="H121" s="10" t="s">
        <v>155</v>
      </c>
      <c r="I121" s="27"/>
      <c r="J121" s="10" t="b">
        <v>1</v>
      </c>
      <c r="K121" s="10">
        <v>16107106</v>
      </c>
      <c r="L121" s="10">
        <v>5</v>
      </c>
    </row>
    <row r="122" spans="1:12" s="10" customFormat="1">
      <c r="A122" s="10" t="s">
        <v>154</v>
      </c>
      <c r="B122" s="189" t="s">
        <v>50</v>
      </c>
      <c r="C122" s="189" t="s">
        <v>48</v>
      </c>
      <c r="D122" s="189" t="s">
        <v>47</v>
      </c>
      <c r="E122" s="189" t="s">
        <v>49</v>
      </c>
      <c r="F122" s="10" t="s">
        <v>766</v>
      </c>
      <c r="G122" s="10">
        <v>216159</v>
      </c>
      <c r="H122" s="10" t="s">
        <v>155</v>
      </c>
      <c r="I122" s="27"/>
      <c r="J122" s="10" t="b">
        <v>1</v>
      </c>
      <c r="K122" s="10">
        <v>216159</v>
      </c>
      <c r="L122" s="10">
        <v>5</v>
      </c>
    </row>
    <row r="123" spans="1:12" s="10" customFormat="1">
      <c r="A123" s="10" t="s">
        <v>154</v>
      </c>
      <c r="B123" s="189" t="s">
        <v>50</v>
      </c>
      <c r="C123" s="189" t="s">
        <v>48</v>
      </c>
      <c r="D123" s="189" t="s">
        <v>47</v>
      </c>
      <c r="E123" s="189" t="s">
        <v>49</v>
      </c>
      <c r="F123" s="10" t="s">
        <v>767</v>
      </c>
      <c r="G123" s="10">
        <v>7522042</v>
      </c>
      <c r="H123" s="10" t="s">
        <v>155</v>
      </c>
      <c r="I123" s="27"/>
      <c r="J123" s="10" t="b">
        <v>1</v>
      </c>
      <c r="K123" s="10">
        <v>7522042</v>
      </c>
      <c r="L123" s="10">
        <v>5</v>
      </c>
    </row>
    <row r="124" spans="1:12" s="10" customFormat="1">
      <c r="A124" s="10" t="s">
        <v>154</v>
      </c>
      <c r="B124" s="189" t="s">
        <v>50</v>
      </c>
      <c r="C124" s="189" t="s">
        <v>48</v>
      </c>
      <c r="D124" s="189" t="s">
        <v>47</v>
      </c>
      <c r="E124" s="189" t="s">
        <v>49</v>
      </c>
      <c r="F124" s="10" t="s">
        <v>768</v>
      </c>
      <c r="G124" s="10">
        <v>94</v>
      </c>
      <c r="I124" s="27"/>
      <c r="J124" s="10" t="b">
        <v>1</v>
      </c>
      <c r="K124" s="10">
        <v>94</v>
      </c>
      <c r="L124" s="10">
        <v>5</v>
      </c>
    </row>
    <row r="125" spans="1:12" s="10" customFormat="1">
      <c r="A125" s="10" t="s">
        <v>154</v>
      </c>
      <c r="B125" s="189" t="s">
        <v>50</v>
      </c>
      <c r="C125" s="189" t="s">
        <v>48</v>
      </c>
      <c r="D125" s="189" t="s">
        <v>47</v>
      </c>
      <c r="E125" s="189" t="s">
        <v>49</v>
      </c>
      <c r="F125" s="10" t="s">
        <v>769</v>
      </c>
      <c r="G125" s="10">
        <v>692979776</v>
      </c>
      <c r="H125" s="10" t="s">
        <v>109</v>
      </c>
      <c r="I125" s="27">
        <v>660.87701416015625</v>
      </c>
      <c r="J125" s="10" t="b">
        <v>1</v>
      </c>
      <c r="L125" s="10">
        <v>5</v>
      </c>
    </row>
    <row r="126" spans="1:12" s="10" customFormat="1">
      <c r="A126" s="10" t="s">
        <v>154</v>
      </c>
      <c r="B126" s="189" t="s">
        <v>50</v>
      </c>
      <c r="C126" s="189" t="s">
        <v>48</v>
      </c>
      <c r="D126" s="189" t="s">
        <v>47</v>
      </c>
      <c r="E126" s="189" t="s">
        <v>49</v>
      </c>
      <c r="F126" s="10" t="s">
        <v>770</v>
      </c>
      <c r="G126" s="10">
        <v>8286272</v>
      </c>
      <c r="H126" s="10" t="s">
        <v>109</v>
      </c>
      <c r="I126" s="27">
        <v>7.90240478515625</v>
      </c>
      <c r="J126" s="10" t="b">
        <v>1</v>
      </c>
      <c r="L126" s="10">
        <v>5</v>
      </c>
    </row>
    <row r="127" spans="1:12" s="10" customFormat="1">
      <c r="A127" s="10" t="s">
        <v>154</v>
      </c>
      <c r="B127" s="189" t="s">
        <v>50</v>
      </c>
      <c r="C127" s="189" t="s">
        <v>48</v>
      </c>
      <c r="D127" s="189" t="s">
        <v>47</v>
      </c>
      <c r="E127" s="189" t="s">
        <v>49</v>
      </c>
      <c r="F127" s="10" t="s">
        <v>771</v>
      </c>
      <c r="G127" s="10">
        <v>329273688</v>
      </c>
      <c r="H127" s="10" t="s">
        <v>109</v>
      </c>
      <c r="I127" s="27">
        <v>314.01985947629237</v>
      </c>
      <c r="J127" s="10" t="b">
        <v>1</v>
      </c>
      <c r="L127" s="10">
        <v>5</v>
      </c>
    </row>
    <row r="128" spans="1:12" s="10" customFormat="1">
      <c r="A128" s="10" t="s">
        <v>154</v>
      </c>
      <c r="B128" s="189" t="s">
        <v>50</v>
      </c>
      <c r="C128" s="189" t="s">
        <v>48</v>
      </c>
      <c r="D128" s="189" t="s">
        <v>47</v>
      </c>
      <c r="E128" s="189" t="s">
        <v>49</v>
      </c>
      <c r="F128" s="10" t="s">
        <v>772</v>
      </c>
      <c r="G128" s="10">
        <v>10149889</v>
      </c>
      <c r="H128" s="10" t="s">
        <v>155</v>
      </c>
      <c r="I128" s="27"/>
      <c r="J128" s="10" t="b">
        <v>1</v>
      </c>
      <c r="K128" s="10">
        <v>10149889</v>
      </c>
      <c r="L128" s="10">
        <v>5</v>
      </c>
    </row>
    <row r="129" spans="1:12" s="10" customFormat="1">
      <c r="A129" s="10" t="s">
        <v>154</v>
      </c>
      <c r="B129" s="189" t="s">
        <v>50</v>
      </c>
      <c r="C129" s="189" t="s">
        <v>48</v>
      </c>
      <c r="D129" s="189" t="s">
        <v>47</v>
      </c>
      <c r="E129" s="189" t="s">
        <v>49</v>
      </c>
      <c r="F129" s="10" t="s">
        <v>773</v>
      </c>
      <c r="G129" s="10">
        <v>216159</v>
      </c>
      <c r="H129" s="10" t="s">
        <v>155</v>
      </c>
      <c r="I129" s="27"/>
      <c r="J129" s="10" t="b">
        <v>1</v>
      </c>
      <c r="K129" s="10">
        <v>216159</v>
      </c>
      <c r="L129" s="10">
        <v>5</v>
      </c>
    </row>
    <row r="130" spans="1:12" s="10" customFormat="1">
      <c r="A130" s="10" t="s">
        <v>154</v>
      </c>
      <c r="B130" s="189" t="s">
        <v>50</v>
      </c>
      <c r="C130" s="189" t="s">
        <v>48</v>
      </c>
      <c r="D130" s="189" t="s">
        <v>47</v>
      </c>
      <c r="E130" s="189" t="s">
        <v>49</v>
      </c>
      <c r="F130" s="10" t="s">
        <v>774</v>
      </c>
      <c r="G130" s="10">
        <v>5706858</v>
      </c>
      <c r="H130" s="10" t="s">
        <v>155</v>
      </c>
      <c r="I130" s="27"/>
      <c r="J130" s="10" t="b">
        <v>1</v>
      </c>
      <c r="K130" s="10">
        <v>5706858</v>
      </c>
      <c r="L130" s="10">
        <v>5</v>
      </c>
    </row>
    <row r="131" spans="1:12" s="10" customFormat="1">
      <c r="A131" s="10" t="s">
        <v>154</v>
      </c>
      <c r="B131" s="189" t="s">
        <v>50</v>
      </c>
      <c r="C131" s="189" t="s">
        <v>48</v>
      </c>
      <c r="D131" s="189" t="s">
        <v>47</v>
      </c>
      <c r="E131" s="189" t="s">
        <v>49</v>
      </c>
      <c r="F131" s="22" t="s">
        <v>779</v>
      </c>
      <c r="G131" s="10">
        <v>80</v>
      </c>
      <c r="I131" s="27"/>
      <c r="J131" s="10" t="b">
        <v>1</v>
      </c>
      <c r="K131" s="10">
        <v>80</v>
      </c>
      <c r="L131" s="10">
        <v>5</v>
      </c>
    </row>
    <row r="132" spans="1:12" s="10" customFormat="1">
      <c r="A132" s="10" t="s">
        <v>154</v>
      </c>
      <c r="B132" s="189" t="s">
        <v>50</v>
      </c>
      <c r="C132" s="189" t="s">
        <v>48</v>
      </c>
      <c r="D132" s="189" t="s">
        <v>47</v>
      </c>
      <c r="E132" s="189" t="s">
        <v>49</v>
      </c>
      <c r="F132" s="10" t="s">
        <v>775</v>
      </c>
      <c r="G132" s="10">
        <v>444342300</v>
      </c>
      <c r="H132" s="10" t="s">
        <v>109</v>
      </c>
      <c r="I132" s="27">
        <v>240.49652033003522</v>
      </c>
      <c r="J132" s="10" t="b">
        <v>1</v>
      </c>
      <c r="L132" s="10">
        <v>5</v>
      </c>
    </row>
    <row r="133" spans="1:12" s="10" customFormat="1">
      <c r="A133" s="10" t="s">
        <v>154</v>
      </c>
      <c r="B133" s="189" t="s">
        <v>50</v>
      </c>
      <c r="C133" s="189" t="s">
        <v>48</v>
      </c>
      <c r="D133" s="189" t="s">
        <v>47</v>
      </c>
      <c r="E133" s="189" t="s">
        <v>49</v>
      </c>
      <c r="F133" s="10" t="s">
        <v>776</v>
      </c>
      <c r="G133" s="10">
        <v>8286272</v>
      </c>
      <c r="H133" s="10" t="s">
        <v>109</v>
      </c>
      <c r="I133" s="27">
        <v>7.90240478515625</v>
      </c>
      <c r="J133" s="10" t="b">
        <v>1</v>
      </c>
      <c r="L133" s="10">
        <v>5</v>
      </c>
    </row>
    <row r="134" spans="1:12" s="10" customFormat="1">
      <c r="A134" s="10" t="s">
        <v>154</v>
      </c>
      <c r="B134" s="189" t="s">
        <v>50</v>
      </c>
      <c r="C134" s="189" t="s">
        <v>48</v>
      </c>
      <c r="D134" s="189" t="s">
        <v>47</v>
      </c>
      <c r="E134" s="189" t="s">
        <v>49</v>
      </c>
      <c r="F134" s="10" t="s">
        <v>777</v>
      </c>
      <c r="G134" s="10">
        <v>252178879.30158731</v>
      </c>
      <c r="H134" s="10" t="s">
        <v>109</v>
      </c>
      <c r="I134" s="27">
        <v>240.49652033003522</v>
      </c>
      <c r="J134" s="10" t="b">
        <v>1</v>
      </c>
      <c r="L134" s="10">
        <v>5</v>
      </c>
    </row>
    <row r="135" spans="1:12" s="10" customFormat="1">
      <c r="A135" s="10" t="s">
        <v>154</v>
      </c>
      <c r="B135" s="189" t="s">
        <v>50</v>
      </c>
      <c r="C135" s="189" t="s">
        <v>48</v>
      </c>
      <c r="D135" s="189" t="s">
        <v>47</v>
      </c>
      <c r="E135" s="189" t="s">
        <v>49</v>
      </c>
      <c r="F135" s="10" t="s">
        <v>778</v>
      </c>
      <c r="G135" s="10">
        <v>15887269396</v>
      </c>
      <c r="H135" s="10" t="s">
        <v>109</v>
      </c>
      <c r="I135" s="27">
        <v>15151.280780792236</v>
      </c>
      <c r="J135" s="10" t="b">
        <v>1</v>
      </c>
      <c r="L135" s="10">
        <v>5</v>
      </c>
    </row>
    <row r="136" spans="1:12">
      <c r="B136" s="10"/>
      <c r="C136" s="10"/>
      <c r="D136" s="10"/>
      <c r="E136" s="10"/>
      <c r="F136" s="10"/>
      <c r="G136" s="10"/>
      <c r="H136" s="10"/>
      <c r="I136" s="88"/>
      <c r="J136" s="11"/>
      <c r="K136" s="10"/>
    </row>
    <row r="137" spans="1:12">
      <c r="B137" s="10"/>
      <c r="C137" s="10"/>
      <c r="D137" s="10"/>
      <c r="E137" s="10"/>
      <c r="F137" s="10"/>
      <c r="G137" s="10"/>
      <c r="H137" s="10"/>
      <c r="I137" s="88"/>
      <c r="J137" s="11"/>
      <c r="K137" s="10"/>
    </row>
    <row r="138" spans="1:12">
      <c r="B138" s="10"/>
      <c r="C138" s="10"/>
      <c r="D138" s="10"/>
      <c r="E138" s="10"/>
      <c r="F138" s="10"/>
      <c r="G138" s="10"/>
      <c r="H138" s="10"/>
      <c r="I138" s="88"/>
      <c r="J138" s="11"/>
      <c r="K138" s="10"/>
    </row>
    <row r="139" spans="1:12">
      <c r="B139" s="10"/>
      <c r="C139" s="10"/>
      <c r="D139" s="10"/>
      <c r="E139" s="10"/>
      <c r="F139" s="10"/>
      <c r="G139" s="10"/>
      <c r="H139" s="10"/>
      <c r="I139" s="88"/>
      <c r="J139" s="11"/>
      <c r="K139" s="10"/>
    </row>
    <row r="140" spans="1:12">
      <c r="B140" s="10"/>
      <c r="C140" s="10"/>
      <c r="D140" s="10"/>
      <c r="E140" s="10"/>
      <c r="F140" s="10"/>
      <c r="G140" s="10"/>
      <c r="H140" s="10"/>
      <c r="I140" s="88"/>
      <c r="J140" s="11"/>
      <c r="K140" s="10"/>
    </row>
    <row r="141" spans="1:12">
      <c r="B141" s="10"/>
      <c r="C141" s="10"/>
      <c r="D141" s="10"/>
      <c r="E141" s="10"/>
      <c r="F141" s="10"/>
      <c r="G141" s="10"/>
      <c r="H141" s="10"/>
      <c r="I141" s="88"/>
      <c r="J141" s="11"/>
      <c r="K141" s="10"/>
    </row>
    <row r="142" spans="1:12">
      <c r="B142" s="10"/>
      <c r="C142" s="10"/>
      <c r="D142" s="10"/>
      <c r="E142" s="10"/>
      <c r="F142" s="10"/>
      <c r="G142" s="10"/>
      <c r="H142" s="10"/>
      <c r="I142" s="88"/>
      <c r="J142" s="11"/>
      <c r="K142" s="10"/>
    </row>
    <row r="143" spans="1:12">
      <c r="B143" s="10"/>
      <c r="C143" s="10"/>
      <c r="D143" s="10"/>
      <c r="E143" s="10"/>
      <c r="F143" s="10"/>
      <c r="G143" s="10"/>
      <c r="H143" s="10"/>
      <c r="I143" s="88"/>
      <c r="J143" s="11"/>
      <c r="K143" s="10"/>
    </row>
    <row r="144" spans="1:12">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sheetData>
  <autoFilter ref="A1:K61"/>
  <pageMargins left="0.7" right="0.7" top="0.75" bottom="0.75" header="0.3" footer="0.3"/>
  <pageSetup orientation="portrait" r:id="rId1"/>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4" t="s">
        <v>454</v>
      </c>
      <c r="N1" s="25" t="s">
        <v>547</v>
      </c>
      <c r="O1" s="25" t="s">
        <v>548</v>
      </c>
      <c r="P1" s="25" t="s">
        <v>549</v>
      </c>
      <c r="Q1" s="150" t="s">
        <v>676</v>
      </c>
      <c r="R1" s="94" t="s">
        <v>518</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5"/>
      <c r="N32" s="27"/>
      <c r="O32" s="27"/>
      <c r="P32" s="27"/>
      <c r="Q32" s="27"/>
    </row>
    <row r="33" spans="1:17" s="10" customFormat="1">
      <c r="A33" t="s">
        <v>154</v>
      </c>
      <c r="B33" s="10" t="s">
        <v>50</v>
      </c>
      <c r="C33" s="10" t="s">
        <v>48</v>
      </c>
      <c r="D33" s="10" t="s">
        <v>327</v>
      </c>
      <c r="E33" s="11"/>
      <c r="F33" s="11"/>
      <c r="G33" s="11"/>
      <c r="H33" s="11"/>
      <c r="I33" s="11"/>
      <c r="J33" s="11"/>
      <c r="K33" s="10">
        <v>396</v>
      </c>
      <c r="M33" s="95"/>
      <c r="N33" s="27"/>
      <c r="O33" s="27"/>
      <c r="P33" s="27"/>
      <c r="Q33" s="27"/>
    </row>
    <row r="34" spans="1:17" s="10" customFormat="1">
      <c r="A34" t="s">
        <v>154</v>
      </c>
      <c r="B34" s="10" t="s">
        <v>50</v>
      </c>
      <c r="C34" s="10" t="s">
        <v>48</v>
      </c>
      <c r="D34" s="10" t="s">
        <v>328</v>
      </c>
      <c r="E34" s="11"/>
      <c r="F34" s="11"/>
      <c r="G34" s="11"/>
      <c r="H34" s="11"/>
      <c r="I34" s="11"/>
      <c r="J34" s="11"/>
      <c r="K34" s="10">
        <v>240</v>
      </c>
      <c r="M34" s="95"/>
      <c r="N34" s="27"/>
      <c r="O34" s="27"/>
      <c r="P34" s="27"/>
      <c r="Q34" s="27"/>
    </row>
    <row r="35" spans="1:17" s="10" customFormat="1">
      <c r="A35" t="s">
        <v>154</v>
      </c>
      <c r="B35" s="10" t="s">
        <v>50</v>
      </c>
      <c r="C35" s="10" t="s">
        <v>48</v>
      </c>
      <c r="D35" s="10" t="s">
        <v>144</v>
      </c>
      <c r="E35" s="11"/>
      <c r="F35" s="11"/>
      <c r="H35" s="11"/>
      <c r="I35" s="11"/>
      <c r="J35" s="11"/>
      <c r="L35" s="11">
        <v>368</v>
      </c>
      <c r="M35" s="95"/>
      <c r="N35" s="27"/>
      <c r="O35" s="27"/>
      <c r="P35" s="27"/>
      <c r="Q35" s="27"/>
    </row>
    <row r="36" spans="1:17" s="10" customFormat="1">
      <c r="A36" s="10" t="s">
        <v>154</v>
      </c>
      <c r="B36" s="10" t="s">
        <v>50</v>
      </c>
      <c r="C36" s="10" t="s">
        <v>48</v>
      </c>
      <c r="D36" s="10" t="s">
        <v>158</v>
      </c>
      <c r="E36" s="11">
        <v>0</v>
      </c>
      <c r="F36" s="11">
        <v>0</v>
      </c>
      <c r="G36" s="11">
        <v>512410</v>
      </c>
      <c r="H36" s="11">
        <v>0</v>
      </c>
      <c r="I36" s="11">
        <v>0</v>
      </c>
      <c r="J36" s="11"/>
      <c r="K36" s="11"/>
      <c r="L36" s="11"/>
      <c r="M36" s="95"/>
      <c r="N36" s="27"/>
      <c r="O36" s="27"/>
      <c r="P36" s="27"/>
      <c r="Q36" s="27"/>
    </row>
    <row r="37" spans="1:17" s="10" customFormat="1">
      <c r="A37" s="10" t="s">
        <v>154</v>
      </c>
      <c r="B37" s="10" t="s">
        <v>50</v>
      </c>
      <c r="C37" s="10" t="s">
        <v>48</v>
      </c>
      <c r="D37" s="10" t="s">
        <v>159</v>
      </c>
      <c r="E37" s="11">
        <v>0</v>
      </c>
      <c r="F37" s="11">
        <v>0</v>
      </c>
      <c r="G37" s="11">
        <v>453949</v>
      </c>
      <c r="H37" s="11">
        <v>0</v>
      </c>
      <c r="I37" s="11">
        <v>0</v>
      </c>
      <c r="J37" s="11"/>
      <c r="K37" s="11"/>
      <c r="L37" s="11"/>
      <c r="M37" s="95"/>
      <c r="N37" s="27"/>
      <c r="O37" s="27"/>
      <c r="P37" s="27"/>
      <c r="Q37" s="27"/>
    </row>
    <row r="38" spans="1:17" s="10" customFormat="1">
      <c r="A38" s="10" t="s">
        <v>154</v>
      </c>
      <c r="B38" s="10" t="s">
        <v>50</v>
      </c>
      <c r="C38" s="10" t="s">
        <v>48</v>
      </c>
      <c r="D38" s="10" t="s">
        <v>160</v>
      </c>
      <c r="E38" s="11">
        <v>0</v>
      </c>
      <c r="F38" s="11">
        <v>0</v>
      </c>
      <c r="G38" s="11">
        <v>486922</v>
      </c>
      <c r="H38" s="11">
        <v>0</v>
      </c>
      <c r="I38" s="11">
        <v>0</v>
      </c>
      <c r="J38" s="11"/>
      <c r="K38" s="11"/>
      <c r="L38" s="11"/>
      <c r="M38" s="95"/>
      <c r="N38" s="27"/>
      <c r="O38" s="27"/>
      <c r="P38" s="27"/>
      <c r="Q38" s="27"/>
    </row>
    <row r="39" spans="1:17" s="10" customFormat="1">
      <c r="A39" s="10" t="s">
        <v>154</v>
      </c>
      <c r="B39" s="10" t="s">
        <v>50</v>
      </c>
      <c r="C39" s="10" t="s">
        <v>48</v>
      </c>
      <c r="D39" s="10" t="s">
        <v>161</v>
      </c>
      <c r="E39" s="11">
        <v>0</v>
      </c>
      <c r="F39" s="11">
        <v>0</v>
      </c>
      <c r="G39" s="11">
        <v>1049317074</v>
      </c>
      <c r="H39" s="11">
        <v>0</v>
      </c>
      <c r="I39" s="11">
        <v>0</v>
      </c>
      <c r="J39" s="11"/>
      <c r="K39" s="11"/>
      <c r="L39" s="11"/>
      <c r="M39" s="95"/>
      <c r="N39" s="27"/>
      <c r="O39" s="27"/>
      <c r="P39" s="27"/>
      <c r="Q39" s="27"/>
    </row>
    <row r="40" spans="1:17" s="10" customFormat="1">
      <c r="A40" s="10" t="s">
        <v>154</v>
      </c>
      <c r="B40" s="10" t="s">
        <v>50</v>
      </c>
      <c r="C40" s="10" t="s">
        <v>48</v>
      </c>
      <c r="D40" s="10" t="s">
        <v>162</v>
      </c>
      <c r="E40" s="11"/>
      <c r="F40" s="11"/>
      <c r="G40" s="11"/>
      <c r="H40" s="11"/>
      <c r="I40" s="11"/>
      <c r="J40" s="11"/>
      <c r="K40" s="11"/>
      <c r="L40" s="11">
        <v>2155</v>
      </c>
      <c r="M40" s="95"/>
      <c r="N40" s="27"/>
      <c r="O40" s="27"/>
      <c r="P40" s="27"/>
      <c r="Q40" s="27"/>
    </row>
    <row r="41" spans="1:17" s="10" customFormat="1">
      <c r="A41" s="10" t="s">
        <v>154</v>
      </c>
      <c r="B41" s="10" t="s">
        <v>50</v>
      </c>
      <c r="C41" s="10" t="s">
        <v>48</v>
      </c>
      <c r="D41" s="10" t="s">
        <v>163</v>
      </c>
      <c r="E41" s="11">
        <v>1</v>
      </c>
      <c r="F41" s="11">
        <v>0</v>
      </c>
      <c r="G41" s="11">
        <v>9765848</v>
      </c>
      <c r="H41" s="11">
        <v>0</v>
      </c>
      <c r="I41" s="11">
        <v>0</v>
      </c>
      <c r="J41" s="11"/>
      <c r="K41" s="11"/>
      <c r="L41" s="11"/>
      <c r="M41" s="95"/>
      <c r="N41" s="27"/>
      <c r="O41" s="27"/>
      <c r="P41" s="27"/>
      <c r="Q41" s="27"/>
    </row>
    <row r="42" spans="1:17" s="10" customFormat="1">
      <c r="A42" s="10" t="s">
        <v>154</v>
      </c>
      <c r="B42" s="10" t="s">
        <v>50</v>
      </c>
      <c r="C42" s="10" t="s">
        <v>48</v>
      </c>
      <c r="D42" s="10" t="s">
        <v>164</v>
      </c>
      <c r="E42" s="11">
        <v>0</v>
      </c>
      <c r="F42" s="11">
        <v>0</v>
      </c>
      <c r="G42" s="11">
        <v>9121895</v>
      </c>
      <c r="H42" s="11">
        <v>0</v>
      </c>
      <c r="I42" s="11">
        <v>0</v>
      </c>
      <c r="J42" s="11"/>
      <c r="K42" s="11"/>
      <c r="L42" s="11"/>
      <c r="M42" s="95"/>
      <c r="N42" s="27"/>
      <c r="O42" s="27"/>
      <c r="P42" s="27"/>
      <c r="Q42" s="27"/>
    </row>
    <row r="43" spans="1:17" s="10" customFormat="1">
      <c r="A43" s="10" t="s">
        <v>154</v>
      </c>
      <c r="B43" s="10" t="s">
        <v>50</v>
      </c>
      <c r="C43" s="10" t="s">
        <v>48</v>
      </c>
      <c r="D43" s="10" t="s">
        <v>165</v>
      </c>
      <c r="E43" s="11">
        <v>0</v>
      </c>
      <c r="F43" s="11">
        <v>0</v>
      </c>
      <c r="G43" s="11">
        <v>9456449</v>
      </c>
      <c r="H43" s="11">
        <v>0</v>
      </c>
      <c r="I43" s="11">
        <v>0</v>
      </c>
      <c r="J43" s="11"/>
      <c r="K43" s="11"/>
      <c r="L43" s="11"/>
      <c r="M43" s="95"/>
      <c r="N43" s="27"/>
      <c r="O43" s="27"/>
      <c r="P43" s="27"/>
      <c r="Q43" s="27"/>
    </row>
    <row r="44" spans="1:17" s="10" customFormat="1">
      <c r="A44" s="10" t="s">
        <v>154</v>
      </c>
      <c r="B44" s="10" t="s">
        <v>50</v>
      </c>
      <c r="C44" s="10" t="s">
        <v>48</v>
      </c>
      <c r="D44" s="10" t="s">
        <v>166</v>
      </c>
      <c r="E44" s="11">
        <v>28</v>
      </c>
      <c r="F44" s="11">
        <v>0</v>
      </c>
      <c r="G44" s="11">
        <v>20378648728</v>
      </c>
      <c r="H44" s="11">
        <v>0</v>
      </c>
      <c r="I44" s="11">
        <v>0</v>
      </c>
      <c r="J44" s="11"/>
      <c r="K44" s="11"/>
      <c r="L44" s="11"/>
      <c r="M44" s="95"/>
      <c r="N44" s="27"/>
      <c r="O44" s="27"/>
      <c r="P44" s="27"/>
      <c r="Q44" s="27"/>
    </row>
    <row r="45" spans="1:17" s="10" customFormat="1">
      <c r="A45" s="10" t="s">
        <v>154</v>
      </c>
      <c r="B45" s="10" t="s">
        <v>50</v>
      </c>
      <c r="C45" s="10" t="s">
        <v>48</v>
      </c>
      <c r="D45" s="10" t="s">
        <v>167</v>
      </c>
      <c r="E45" s="11"/>
      <c r="F45" s="11"/>
      <c r="G45" s="11"/>
      <c r="H45" s="11"/>
      <c r="I45" s="11"/>
      <c r="J45" s="11"/>
      <c r="K45" s="11"/>
      <c r="L45" s="11">
        <v>2155</v>
      </c>
      <c r="M45" s="95"/>
      <c r="N45" s="27"/>
      <c r="O45" s="27"/>
      <c r="P45" s="27"/>
      <c r="Q45" s="27"/>
    </row>
    <row r="46" spans="1:17" s="10" customFormat="1">
      <c r="A46" s="10" t="s">
        <v>154</v>
      </c>
      <c r="B46" s="10" t="s">
        <v>50</v>
      </c>
      <c r="C46" s="10" t="s">
        <v>48</v>
      </c>
      <c r="D46" s="10" t="s">
        <v>168</v>
      </c>
      <c r="E46" s="11">
        <v>0</v>
      </c>
      <c r="F46" s="11">
        <v>1</v>
      </c>
      <c r="G46" s="11">
        <v>36018563</v>
      </c>
      <c r="H46" s="11">
        <v>0</v>
      </c>
      <c r="I46" s="11">
        <v>0</v>
      </c>
      <c r="J46" s="11"/>
      <c r="K46" s="11"/>
      <c r="L46" s="11"/>
      <c r="M46" s="95"/>
      <c r="N46" s="27"/>
      <c r="O46" s="27"/>
      <c r="P46" s="27"/>
      <c r="Q46" s="27"/>
    </row>
    <row r="47" spans="1:17" s="10" customFormat="1">
      <c r="A47" s="10" t="s">
        <v>154</v>
      </c>
      <c r="B47" s="10" t="s">
        <v>50</v>
      </c>
      <c r="C47" s="10" t="s">
        <v>48</v>
      </c>
      <c r="D47" s="10" t="s">
        <v>169</v>
      </c>
      <c r="E47" s="11">
        <v>0</v>
      </c>
      <c r="F47" s="11">
        <v>0</v>
      </c>
      <c r="G47" s="11">
        <v>33047357</v>
      </c>
      <c r="H47" s="11">
        <v>0</v>
      </c>
      <c r="I47" s="11">
        <v>0</v>
      </c>
      <c r="J47" s="11"/>
      <c r="K47" s="11"/>
      <c r="L47" s="11"/>
      <c r="M47" s="95"/>
      <c r="N47" s="27"/>
      <c r="O47" s="27"/>
      <c r="P47" s="27"/>
      <c r="Q47" s="27"/>
    </row>
    <row r="48" spans="1:17" s="10" customFormat="1">
      <c r="A48" s="10" t="s">
        <v>154</v>
      </c>
      <c r="B48" s="10" t="s">
        <v>50</v>
      </c>
      <c r="C48" s="10" t="s">
        <v>48</v>
      </c>
      <c r="D48" s="10" t="s">
        <v>170</v>
      </c>
      <c r="E48" s="11">
        <v>0</v>
      </c>
      <c r="F48" s="11">
        <v>0</v>
      </c>
      <c r="G48" s="11">
        <v>34592870</v>
      </c>
      <c r="H48" s="11">
        <v>0</v>
      </c>
      <c r="I48" s="11">
        <v>0</v>
      </c>
      <c r="J48" s="11"/>
      <c r="K48" s="11"/>
      <c r="L48" s="11"/>
      <c r="M48" s="95"/>
      <c r="N48" s="27"/>
      <c r="O48" s="27"/>
      <c r="P48" s="27"/>
      <c r="Q48" s="27"/>
    </row>
    <row r="49" spans="1:17" s="10" customFormat="1">
      <c r="A49" s="10" t="s">
        <v>154</v>
      </c>
      <c r="B49" s="10" t="s">
        <v>50</v>
      </c>
      <c r="C49" s="10" t="s">
        <v>48</v>
      </c>
      <c r="D49" s="10" t="s">
        <v>171</v>
      </c>
      <c r="E49" s="11">
        <v>0</v>
      </c>
      <c r="F49" s="11">
        <v>10</v>
      </c>
      <c r="G49" s="11">
        <v>74547636444</v>
      </c>
      <c r="H49" s="11">
        <v>0</v>
      </c>
      <c r="I49" s="11">
        <v>0</v>
      </c>
      <c r="J49" s="11"/>
      <c r="K49" s="11"/>
      <c r="L49" s="11"/>
      <c r="M49" s="95"/>
      <c r="N49" s="27"/>
      <c r="O49" s="27"/>
      <c r="P49" s="27"/>
      <c r="Q49" s="27"/>
    </row>
    <row r="50" spans="1:17" s="10" customFormat="1">
      <c r="A50" s="10" t="s">
        <v>154</v>
      </c>
      <c r="B50" s="10" t="s">
        <v>50</v>
      </c>
      <c r="C50" s="10" t="s">
        <v>48</v>
      </c>
      <c r="D50" s="10" t="s">
        <v>172</v>
      </c>
      <c r="E50" s="11"/>
      <c r="F50" s="11"/>
      <c r="G50" s="11"/>
      <c r="H50" s="11"/>
      <c r="I50" s="11"/>
      <c r="J50" s="11"/>
      <c r="K50" s="11"/>
      <c r="L50" s="11">
        <v>2155</v>
      </c>
      <c r="M50" s="95"/>
      <c r="N50" s="27"/>
      <c r="O50" s="27"/>
      <c r="P50" s="27"/>
      <c r="Q50" s="27"/>
    </row>
    <row r="51" spans="1:17" s="10" customFormat="1">
      <c r="A51" s="10" t="s">
        <v>154</v>
      </c>
      <c r="B51" s="10" t="s">
        <v>50</v>
      </c>
      <c r="C51" s="10" t="s">
        <v>48</v>
      </c>
      <c r="D51" s="10" t="s">
        <v>173</v>
      </c>
      <c r="E51" s="11">
        <v>0</v>
      </c>
      <c r="F51" s="11">
        <v>0</v>
      </c>
      <c r="G51" s="11">
        <v>581445</v>
      </c>
      <c r="H51" s="11">
        <v>0</v>
      </c>
      <c r="I51" s="11">
        <v>0</v>
      </c>
      <c r="J51" s="11"/>
      <c r="K51" s="11"/>
      <c r="L51" s="11"/>
      <c r="M51" s="95"/>
      <c r="N51" s="27"/>
      <c r="O51" s="27"/>
      <c r="P51" s="27"/>
      <c r="Q51" s="27"/>
    </row>
    <row r="52" spans="1:17" s="10" customFormat="1">
      <c r="A52" s="10" t="s">
        <v>154</v>
      </c>
      <c r="B52" s="10" t="s">
        <v>50</v>
      </c>
      <c r="C52" s="10" t="s">
        <v>48</v>
      </c>
      <c r="D52" s="10" t="s">
        <v>174</v>
      </c>
      <c r="E52" s="11">
        <v>0</v>
      </c>
      <c r="F52" s="11">
        <v>0</v>
      </c>
      <c r="G52" s="11">
        <v>535049</v>
      </c>
      <c r="H52" s="11">
        <v>0</v>
      </c>
      <c r="I52" s="11">
        <v>0</v>
      </c>
      <c r="J52" s="11"/>
      <c r="K52" s="11"/>
      <c r="L52" s="11"/>
      <c r="M52" s="95"/>
      <c r="N52" s="27"/>
      <c r="O52" s="27"/>
      <c r="P52" s="27"/>
      <c r="Q52" s="27"/>
    </row>
    <row r="53" spans="1:17" s="10" customFormat="1">
      <c r="A53" s="10" t="s">
        <v>154</v>
      </c>
      <c r="B53" s="10" t="s">
        <v>50</v>
      </c>
      <c r="C53" s="10" t="s">
        <v>48</v>
      </c>
      <c r="D53" s="10" t="s">
        <v>175</v>
      </c>
      <c r="E53" s="11">
        <v>0</v>
      </c>
      <c r="F53" s="11">
        <v>0</v>
      </c>
      <c r="G53" s="11">
        <v>559378</v>
      </c>
      <c r="H53" s="11">
        <v>0</v>
      </c>
      <c r="I53" s="11">
        <v>0</v>
      </c>
      <c r="J53" s="11"/>
      <c r="K53" s="11"/>
      <c r="L53" s="11"/>
      <c r="M53" s="95"/>
      <c r="N53" s="27"/>
      <c r="O53" s="27"/>
      <c r="P53" s="27"/>
      <c r="Q53" s="27"/>
    </row>
    <row r="54" spans="1:17" s="10" customFormat="1">
      <c r="A54" s="10" t="s">
        <v>154</v>
      </c>
      <c r="B54" s="10" t="s">
        <v>50</v>
      </c>
      <c r="C54" s="10" t="s">
        <v>48</v>
      </c>
      <c r="D54" s="10" t="s">
        <v>176</v>
      </c>
      <c r="E54" s="11">
        <v>0</v>
      </c>
      <c r="F54" s="11">
        <v>0</v>
      </c>
      <c r="G54" s="11">
        <v>1205459904</v>
      </c>
      <c r="H54" s="11">
        <v>0</v>
      </c>
      <c r="I54" s="11">
        <v>0</v>
      </c>
      <c r="J54" s="11"/>
      <c r="K54" s="11"/>
      <c r="L54" s="11"/>
      <c r="M54" s="95"/>
      <c r="N54" s="27"/>
      <c r="O54" s="27"/>
      <c r="P54" s="27"/>
      <c r="Q54" s="27"/>
    </row>
    <row r="55" spans="1:17" s="10" customFormat="1">
      <c r="A55" s="10" t="s">
        <v>154</v>
      </c>
      <c r="B55" s="10" t="s">
        <v>50</v>
      </c>
      <c r="C55" s="10" t="s">
        <v>48</v>
      </c>
      <c r="D55" s="10" t="s">
        <v>177</v>
      </c>
      <c r="E55" s="11"/>
      <c r="F55" s="11"/>
      <c r="G55" s="11"/>
      <c r="H55" s="11"/>
      <c r="I55" s="11"/>
      <c r="J55" s="11"/>
      <c r="K55" s="11"/>
      <c r="L55" s="11">
        <v>2155</v>
      </c>
      <c r="M55" s="95"/>
      <c r="N55" s="27"/>
      <c r="O55" s="27"/>
      <c r="P55" s="27"/>
      <c r="Q55" s="27"/>
    </row>
    <row r="56" spans="1:17" s="10" customFormat="1">
      <c r="A56" s="10" t="s">
        <v>154</v>
      </c>
      <c r="B56" s="10" t="s">
        <v>50</v>
      </c>
      <c r="C56" s="10" t="s">
        <v>48</v>
      </c>
      <c r="D56" s="10" t="s">
        <v>178</v>
      </c>
      <c r="E56" s="11">
        <v>32</v>
      </c>
      <c r="F56" s="11">
        <v>169</v>
      </c>
      <c r="G56" s="11">
        <v>46678042</v>
      </c>
      <c r="H56" s="11">
        <v>0</v>
      </c>
      <c r="I56" s="11">
        <v>0</v>
      </c>
      <c r="J56" s="11"/>
      <c r="K56" s="11"/>
      <c r="L56" s="11"/>
      <c r="M56" s="95"/>
      <c r="N56" s="27"/>
      <c r="O56" s="27"/>
      <c r="P56" s="27"/>
      <c r="Q56" s="27"/>
    </row>
    <row r="57" spans="1:17" s="10" customFormat="1">
      <c r="A57" s="10" t="s">
        <v>154</v>
      </c>
      <c r="B57" s="10" t="s">
        <v>50</v>
      </c>
      <c r="C57" s="10" t="s">
        <v>48</v>
      </c>
      <c r="D57" s="10" t="s">
        <v>179</v>
      </c>
      <c r="E57" s="11">
        <v>0</v>
      </c>
      <c r="F57" s="11">
        <v>0</v>
      </c>
      <c r="G57" s="11">
        <v>42828661</v>
      </c>
      <c r="H57" s="11">
        <v>0</v>
      </c>
      <c r="I57" s="11">
        <v>0</v>
      </c>
      <c r="J57" s="11"/>
      <c r="K57" s="11"/>
      <c r="L57" s="11"/>
      <c r="M57" s="95"/>
      <c r="N57" s="27"/>
      <c r="O57" s="27"/>
      <c r="P57" s="27"/>
      <c r="Q57" s="27"/>
    </row>
    <row r="58" spans="1:17" s="10" customFormat="1">
      <c r="A58" s="10" t="s">
        <v>154</v>
      </c>
      <c r="B58" s="10" t="s">
        <v>50</v>
      </c>
      <c r="C58" s="10" t="s">
        <v>48</v>
      </c>
      <c r="D58" s="10" t="s">
        <v>180</v>
      </c>
      <c r="E58" s="11">
        <v>0</v>
      </c>
      <c r="F58" s="11">
        <v>0</v>
      </c>
      <c r="G58" s="11">
        <v>44826543</v>
      </c>
      <c r="H58" s="11">
        <v>0</v>
      </c>
      <c r="I58" s="11">
        <v>0</v>
      </c>
      <c r="J58" s="11"/>
      <c r="K58" s="11"/>
      <c r="L58" s="11"/>
      <c r="M58" s="95"/>
      <c r="N58" s="27"/>
      <c r="O58" s="27"/>
      <c r="P58" s="27"/>
      <c r="Q58" s="27"/>
    </row>
    <row r="59" spans="1:17" s="10" customFormat="1">
      <c r="A59" s="10" t="s">
        <v>154</v>
      </c>
      <c r="B59" s="10" t="s">
        <v>50</v>
      </c>
      <c r="C59" s="10" t="s">
        <v>48</v>
      </c>
      <c r="D59" s="10" t="s">
        <v>181</v>
      </c>
      <c r="E59" s="11">
        <v>45</v>
      </c>
      <c r="F59" s="11">
        <v>175</v>
      </c>
      <c r="G59" s="11">
        <v>96601201700</v>
      </c>
      <c r="H59" s="11">
        <v>0</v>
      </c>
      <c r="I59" s="11">
        <v>0</v>
      </c>
      <c r="J59" s="11"/>
      <c r="K59" s="11"/>
      <c r="L59" s="11"/>
      <c r="M59" s="95"/>
      <c r="N59" s="27"/>
      <c r="O59" s="27"/>
      <c r="P59" s="27"/>
      <c r="Q59" s="27"/>
    </row>
    <row r="60" spans="1:17" s="10" customFormat="1">
      <c r="A60" s="10" t="s">
        <v>154</v>
      </c>
      <c r="B60" s="10" t="s">
        <v>50</v>
      </c>
      <c r="C60" s="10" t="s">
        <v>48</v>
      </c>
      <c r="D60" s="10" t="s">
        <v>182</v>
      </c>
      <c r="E60" s="11"/>
      <c r="F60" s="11"/>
      <c r="G60" s="11"/>
      <c r="H60" s="11"/>
      <c r="I60" s="11"/>
      <c r="J60" s="11"/>
      <c r="K60" s="11"/>
      <c r="L60" s="11">
        <v>2155</v>
      </c>
      <c r="M60" s="95"/>
      <c r="N60" s="27"/>
      <c r="O60" s="27"/>
      <c r="P60" s="27"/>
      <c r="Q60" s="27"/>
    </row>
    <row r="61" spans="1:17" s="10" customFormat="1">
      <c r="A61" s="10" t="s">
        <v>154</v>
      </c>
      <c r="B61" s="10" t="s">
        <v>50</v>
      </c>
      <c r="C61" s="10" t="s">
        <v>48</v>
      </c>
      <c r="D61" s="10" t="s">
        <v>183</v>
      </c>
      <c r="E61" s="11">
        <v>0</v>
      </c>
      <c r="F61" s="11">
        <v>0</v>
      </c>
      <c r="G61" s="11">
        <v>3486421</v>
      </c>
      <c r="H61" s="11">
        <v>0</v>
      </c>
      <c r="I61" s="11">
        <v>0</v>
      </c>
      <c r="J61" s="11"/>
      <c r="K61" s="11"/>
      <c r="L61" s="11"/>
      <c r="M61" s="95"/>
      <c r="N61" s="27"/>
      <c r="O61" s="27"/>
      <c r="P61" s="27"/>
      <c r="Q61" s="27"/>
    </row>
    <row r="62" spans="1:17" s="10" customFormat="1">
      <c r="A62" s="10" t="s">
        <v>154</v>
      </c>
      <c r="B62" s="10" t="s">
        <v>50</v>
      </c>
      <c r="C62" s="10" t="s">
        <v>48</v>
      </c>
      <c r="D62" s="10" t="s">
        <v>184</v>
      </c>
      <c r="E62" s="11">
        <v>0</v>
      </c>
      <c r="F62" s="11">
        <v>0</v>
      </c>
      <c r="G62" s="11">
        <v>3212148</v>
      </c>
      <c r="H62" s="11">
        <v>0</v>
      </c>
      <c r="I62" s="11">
        <v>0</v>
      </c>
      <c r="J62" s="11"/>
      <c r="K62" s="11"/>
      <c r="L62" s="11"/>
      <c r="M62" s="95"/>
      <c r="N62" s="27"/>
      <c r="O62" s="27"/>
      <c r="P62" s="27"/>
      <c r="Q62" s="27"/>
    </row>
    <row r="63" spans="1:17" s="10" customFormat="1">
      <c r="A63" s="10" t="s">
        <v>154</v>
      </c>
      <c r="B63" s="10" t="s">
        <v>50</v>
      </c>
      <c r="C63" s="10" t="s">
        <v>48</v>
      </c>
      <c r="D63" s="10" t="s">
        <v>185</v>
      </c>
      <c r="E63" s="11">
        <v>0</v>
      </c>
      <c r="F63" s="11">
        <v>0</v>
      </c>
      <c r="G63" s="11">
        <v>3352628</v>
      </c>
      <c r="H63" s="11">
        <v>0</v>
      </c>
      <c r="I63" s="11">
        <v>0</v>
      </c>
      <c r="J63" s="11"/>
      <c r="K63" s="11"/>
      <c r="L63" s="11"/>
      <c r="M63" s="95"/>
      <c r="N63" s="27"/>
      <c r="O63" s="27"/>
      <c r="P63" s="27"/>
      <c r="Q63" s="27"/>
    </row>
    <row r="64" spans="1:17" s="10" customFormat="1">
      <c r="A64" s="10" t="s">
        <v>154</v>
      </c>
      <c r="B64" s="10" t="s">
        <v>50</v>
      </c>
      <c r="C64" s="10" t="s">
        <v>48</v>
      </c>
      <c r="D64" s="10" t="s">
        <v>186</v>
      </c>
      <c r="E64" s="11">
        <v>0</v>
      </c>
      <c r="F64" s="11">
        <v>0</v>
      </c>
      <c r="G64" s="11">
        <v>7224914051</v>
      </c>
      <c r="H64" s="11">
        <v>0</v>
      </c>
      <c r="I64" s="11">
        <v>0</v>
      </c>
      <c r="J64" s="11"/>
      <c r="K64" s="11"/>
      <c r="L64" s="11"/>
      <c r="M64" s="95"/>
      <c r="N64" s="27"/>
      <c r="O64" s="27"/>
      <c r="P64" s="27"/>
      <c r="Q64" s="27"/>
    </row>
    <row r="65" spans="1:17" s="10" customFormat="1">
      <c r="A65" s="10" t="s">
        <v>154</v>
      </c>
      <c r="B65" s="10" t="s">
        <v>50</v>
      </c>
      <c r="C65" s="10" t="s">
        <v>48</v>
      </c>
      <c r="D65" s="10" t="s">
        <v>187</v>
      </c>
      <c r="E65" s="11"/>
      <c r="F65" s="11"/>
      <c r="G65" s="11"/>
      <c r="H65" s="11"/>
      <c r="I65" s="11"/>
      <c r="J65" s="11"/>
      <c r="K65" s="11"/>
      <c r="L65" s="11">
        <v>2155</v>
      </c>
      <c r="M65" s="95"/>
      <c r="N65" s="27"/>
      <c r="O65" s="27"/>
      <c r="P65" s="27"/>
      <c r="Q65" s="27"/>
    </row>
    <row r="66" spans="1:17" s="10" customFormat="1">
      <c r="A66" s="10" t="s">
        <v>154</v>
      </c>
      <c r="B66" s="10" t="s">
        <v>50</v>
      </c>
      <c r="C66" s="10" t="s">
        <v>48</v>
      </c>
      <c r="D66" s="10" t="s">
        <v>188</v>
      </c>
      <c r="E66" s="11">
        <v>0</v>
      </c>
      <c r="F66" s="11">
        <v>0</v>
      </c>
      <c r="G66" s="11">
        <v>18</v>
      </c>
      <c r="H66" s="11">
        <v>0</v>
      </c>
      <c r="I66" s="11">
        <v>0</v>
      </c>
      <c r="J66" s="11"/>
      <c r="K66" s="11"/>
      <c r="L66" s="11"/>
      <c r="M66" s="95"/>
      <c r="N66" s="27"/>
      <c r="O66" s="27"/>
      <c r="P66" s="27"/>
      <c r="Q66" s="27"/>
    </row>
    <row r="67" spans="1:17" s="10" customFormat="1">
      <c r="A67" s="10" t="s">
        <v>154</v>
      </c>
      <c r="B67" s="10" t="s">
        <v>50</v>
      </c>
      <c r="C67" s="10" t="s">
        <v>48</v>
      </c>
      <c r="D67" s="10" t="s">
        <v>189</v>
      </c>
      <c r="E67" s="11">
        <v>0</v>
      </c>
      <c r="F67" s="11">
        <v>0</v>
      </c>
      <c r="G67" s="11">
        <v>6</v>
      </c>
      <c r="H67" s="11">
        <v>0</v>
      </c>
      <c r="I67" s="11">
        <v>0</v>
      </c>
      <c r="J67" s="11"/>
      <c r="K67" s="11"/>
      <c r="L67" s="11"/>
      <c r="M67" s="95"/>
      <c r="N67" s="27"/>
      <c r="O67" s="27"/>
      <c r="P67" s="27"/>
      <c r="Q67" s="27"/>
    </row>
    <row r="68" spans="1:17" s="10" customFormat="1">
      <c r="A68" s="10" t="s">
        <v>154</v>
      </c>
      <c r="B68" s="10" t="s">
        <v>50</v>
      </c>
      <c r="C68" s="10" t="s">
        <v>48</v>
      </c>
      <c r="D68" s="10" t="s">
        <v>190</v>
      </c>
      <c r="E68" s="11">
        <v>0</v>
      </c>
      <c r="F68" s="11">
        <v>0</v>
      </c>
      <c r="G68" s="11">
        <v>14</v>
      </c>
      <c r="H68" s="11">
        <v>0</v>
      </c>
      <c r="I68" s="11">
        <v>0</v>
      </c>
      <c r="J68" s="11"/>
      <c r="K68" s="11"/>
      <c r="L68" s="11"/>
      <c r="M68" s="95"/>
      <c r="N68" s="27"/>
      <c r="O68" s="27"/>
      <c r="P68" s="27"/>
      <c r="Q68" s="27"/>
    </row>
    <row r="69" spans="1:17" s="10" customFormat="1">
      <c r="A69" s="10" t="s">
        <v>154</v>
      </c>
      <c r="B69" s="10" t="s">
        <v>50</v>
      </c>
      <c r="C69" s="10" t="s">
        <v>48</v>
      </c>
      <c r="D69" s="10" t="s">
        <v>191</v>
      </c>
      <c r="E69" s="11">
        <v>0</v>
      </c>
      <c r="F69" s="11">
        <v>0</v>
      </c>
      <c r="G69" s="11">
        <v>30372</v>
      </c>
      <c r="H69" s="11">
        <v>0</v>
      </c>
      <c r="I69" s="11">
        <v>0</v>
      </c>
      <c r="J69" s="11"/>
      <c r="K69" s="11"/>
      <c r="L69" s="11"/>
      <c r="M69" s="95"/>
      <c r="N69" s="27"/>
      <c r="O69" s="27"/>
      <c r="P69" s="27"/>
      <c r="Q69" s="27"/>
    </row>
    <row r="70" spans="1:17" s="10" customFormat="1">
      <c r="A70" s="10" t="s">
        <v>154</v>
      </c>
      <c r="B70" s="10" t="s">
        <v>50</v>
      </c>
      <c r="C70" s="10" t="s">
        <v>48</v>
      </c>
      <c r="D70" s="10" t="s">
        <v>192</v>
      </c>
      <c r="E70" s="11"/>
      <c r="F70" s="11"/>
      <c r="G70" s="11"/>
      <c r="H70" s="11"/>
      <c r="I70" s="11"/>
      <c r="J70" s="11"/>
      <c r="K70" s="11"/>
      <c r="L70" s="11">
        <v>2155</v>
      </c>
      <c r="M70" s="95"/>
      <c r="N70" s="27"/>
      <c r="O70" s="27"/>
      <c r="P70" s="27"/>
      <c r="Q70" s="27"/>
    </row>
    <row r="71" spans="1:17" s="10" customFormat="1">
      <c r="A71" s="10" t="s">
        <v>154</v>
      </c>
      <c r="B71" s="10" t="s">
        <v>50</v>
      </c>
      <c r="C71" s="10" t="s">
        <v>48</v>
      </c>
      <c r="D71" s="10" t="s">
        <v>193</v>
      </c>
      <c r="E71" s="11">
        <v>1</v>
      </c>
      <c r="F71" s="11">
        <v>1</v>
      </c>
      <c r="G71" s="11">
        <v>7356</v>
      </c>
      <c r="H71" s="11">
        <v>0</v>
      </c>
      <c r="I71" s="11">
        <v>0</v>
      </c>
      <c r="J71" s="11"/>
      <c r="K71" s="11"/>
      <c r="L71" s="11"/>
      <c r="M71" s="95"/>
      <c r="N71" s="27"/>
      <c r="O71" s="27"/>
      <c r="P71" s="27"/>
      <c r="Q71" s="27"/>
    </row>
    <row r="72" spans="1:17" s="10" customFormat="1">
      <c r="A72" s="10" t="s">
        <v>154</v>
      </c>
      <c r="B72" s="10" t="s">
        <v>50</v>
      </c>
      <c r="C72" s="10" t="s">
        <v>48</v>
      </c>
      <c r="D72" s="10" t="s">
        <v>194</v>
      </c>
      <c r="E72" s="11">
        <v>0</v>
      </c>
      <c r="F72" s="11">
        <v>0</v>
      </c>
      <c r="G72" s="11">
        <v>6780</v>
      </c>
      <c r="H72" s="11">
        <v>0</v>
      </c>
      <c r="I72" s="11">
        <v>0</v>
      </c>
      <c r="J72" s="11"/>
      <c r="K72" s="11"/>
      <c r="L72" s="11"/>
      <c r="M72" s="95"/>
      <c r="N72" s="27"/>
      <c r="O72" s="27"/>
      <c r="P72" s="27"/>
      <c r="Q72" s="27"/>
    </row>
    <row r="73" spans="1:17" s="10" customFormat="1">
      <c r="A73" s="10" t="s">
        <v>154</v>
      </c>
      <c r="B73" s="10" t="s">
        <v>50</v>
      </c>
      <c r="C73" s="10" t="s">
        <v>48</v>
      </c>
      <c r="D73" s="10" t="s">
        <v>195</v>
      </c>
      <c r="E73" s="11">
        <v>0</v>
      </c>
      <c r="F73" s="11">
        <v>0</v>
      </c>
      <c r="G73" s="11">
        <v>7069</v>
      </c>
      <c r="H73" s="11">
        <v>0</v>
      </c>
      <c r="I73" s="11">
        <v>0</v>
      </c>
      <c r="J73" s="11"/>
      <c r="K73" s="11"/>
      <c r="L73" s="11"/>
      <c r="M73" s="95"/>
      <c r="N73" s="27"/>
      <c r="O73" s="27"/>
      <c r="P73" s="27"/>
      <c r="Q73" s="27"/>
    </row>
    <row r="74" spans="1:17" s="10" customFormat="1">
      <c r="A74" s="10" t="s">
        <v>154</v>
      </c>
      <c r="B74" s="10" t="s">
        <v>50</v>
      </c>
      <c r="C74" s="10" t="s">
        <v>48</v>
      </c>
      <c r="D74" s="10" t="s">
        <v>196</v>
      </c>
      <c r="E74" s="11">
        <v>19</v>
      </c>
      <c r="F74" s="11">
        <v>19</v>
      </c>
      <c r="G74" s="11">
        <v>15234400</v>
      </c>
      <c r="H74" s="11">
        <v>0</v>
      </c>
      <c r="I74" s="11">
        <v>0</v>
      </c>
      <c r="J74" s="11"/>
      <c r="K74" s="11"/>
      <c r="L74" s="11"/>
      <c r="M74" s="95"/>
      <c r="N74" s="27"/>
      <c r="O74" s="27"/>
      <c r="P74" s="27"/>
      <c r="Q74" s="27"/>
    </row>
    <row r="75" spans="1:17" s="10" customFormat="1">
      <c r="A75" s="10" t="s">
        <v>154</v>
      </c>
      <c r="B75" s="10" t="s">
        <v>50</v>
      </c>
      <c r="C75" s="10" t="s">
        <v>48</v>
      </c>
      <c r="D75" s="10" t="s">
        <v>197</v>
      </c>
      <c r="E75" s="11"/>
      <c r="F75" s="11"/>
      <c r="G75" s="11"/>
      <c r="H75" s="11"/>
      <c r="I75" s="11"/>
      <c r="J75" s="11"/>
      <c r="K75" s="11"/>
      <c r="L75" s="11">
        <v>2155</v>
      </c>
      <c r="M75" s="95"/>
      <c r="N75" s="27"/>
      <c r="O75" s="27"/>
      <c r="P75" s="27"/>
      <c r="Q75" s="27"/>
    </row>
    <row r="76" spans="1:17" s="10" customFormat="1">
      <c r="A76" s="10" t="s">
        <v>154</v>
      </c>
      <c r="B76" s="10" t="s">
        <v>50</v>
      </c>
      <c r="C76" s="10" t="s">
        <v>48</v>
      </c>
      <c r="D76" s="10" t="s">
        <v>198</v>
      </c>
      <c r="E76" s="11">
        <v>0</v>
      </c>
      <c r="F76" s="11">
        <v>0</v>
      </c>
      <c r="G76" s="11">
        <v>5</v>
      </c>
      <c r="H76" s="11">
        <v>0</v>
      </c>
      <c r="I76" s="11">
        <v>0</v>
      </c>
      <c r="J76" s="11"/>
      <c r="K76" s="11"/>
      <c r="L76" s="11"/>
      <c r="M76" s="95"/>
      <c r="N76" s="27"/>
      <c r="O76" s="27"/>
      <c r="P76" s="27"/>
      <c r="Q76" s="27"/>
    </row>
    <row r="77" spans="1:17" s="10" customFormat="1">
      <c r="A77" s="10" t="s">
        <v>154</v>
      </c>
      <c r="B77" s="10" t="s">
        <v>50</v>
      </c>
      <c r="C77" s="10" t="s">
        <v>48</v>
      </c>
      <c r="D77" s="10" t="s">
        <v>199</v>
      </c>
      <c r="E77" s="11">
        <v>0</v>
      </c>
      <c r="F77" s="11">
        <v>0</v>
      </c>
      <c r="G77" s="11">
        <v>5</v>
      </c>
      <c r="H77" s="11">
        <v>0</v>
      </c>
      <c r="I77" s="11">
        <v>0</v>
      </c>
      <c r="J77" s="11"/>
      <c r="K77" s="11"/>
      <c r="L77" s="11"/>
      <c r="M77" s="95"/>
      <c r="N77" s="27"/>
      <c r="O77" s="27"/>
      <c r="P77" s="27"/>
      <c r="Q77" s="27"/>
    </row>
    <row r="78" spans="1:17" s="10" customFormat="1">
      <c r="A78" s="10" t="s">
        <v>154</v>
      </c>
      <c r="B78" s="10" t="s">
        <v>50</v>
      </c>
      <c r="C78" s="10" t="s">
        <v>48</v>
      </c>
      <c r="D78" s="10" t="s">
        <v>200</v>
      </c>
      <c r="E78" s="11">
        <v>0</v>
      </c>
      <c r="F78" s="11">
        <v>0</v>
      </c>
      <c r="G78" s="11">
        <v>5</v>
      </c>
      <c r="H78" s="11">
        <v>0</v>
      </c>
      <c r="I78" s="11">
        <v>0</v>
      </c>
      <c r="J78" s="11"/>
      <c r="K78" s="11"/>
      <c r="L78" s="11"/>
      <c r="M78" s="95"/>
      <c r="N78" s="27"/>
      <c r="O78" s="27"/>
      <c r="P78" s="27"/>
      <c r="Q78" s="27"/>
    </row>
    <row r="79" spans="1:17" s="10" customFormat="1">
      <c r="A79" s="10" t="s">
        <v>154</v>
      </c>
      <c r="B79" s="10" t="s">
        <v>50</v>
      </c>
      <c r="C79" s="10" t="s">
        <v>48</v>
      </c>
      <c r="D79" s="10" t="s">
        <v>201</v>
      </c>
      <c r="E79" s="11">
        <v>0</v>
      </c>
      <c r="F79" s="11">
        <v>0</v>
      </c>
      <c r="G79" s="11">
        <v>10775</v>
      </c>
      <c r="H79" s="11">
        <v>0</v>
      </c>
      <c r="I79" s="11">
        <v>0</v>
      </c>
      <c r="J79" s="11"/>
      <c r="K79" s="11"/>
      <c r="L79" s="11"/>
      <c r="M79" s="95"/>
      <c r="N79" s="27"/>
      <c r="O79" s="27"/>
      <c r="P79" s="27"/>
      <c r="Q79" s="27"/>
    </row>
    <row r="80" spans="1:17" s="10" customFormat="1">
      <c r="A80" s="10" t="s">
        <v>154</v>
      </c>
      <c r="B80" s="10" t="s">
        <v>50</v>
      </c>
      <c r="C80" s="10" t="s">
        <v>48</v>
      </c>
      <c r="D80" s="10" t="s">
        <v>202</v>
      </c>
      <c r="E80" s="11"/>
      <c r="F80" s="11"/>
      <c r="G80" s="11"/>
      <c r="H80" s="11"/>
      <c r="I80" s="11"/>
      <c r="J80" s="11"/>
      <c r="K80" s="11"/>
      <c r="L80" s="11">
        <v>2155</v>
      </c>
      <c r="M80" s="95"/>
      <c r="N80" s="27"/>
      <c r="O80" s="27"/>
      <c r="P80" s="27"/>
      <c r="Q80" s="27"/>
    </row>
    <row r="81" spans="1:17" s="10" customFormat="1">
      <c r="A81" s="10" t="s">
        <v>154</v>
      </c>
      <c r="B81" s="10" t="s">
        <v>50</v>
      </c>
      <c r="C81" s="10" t="s">
        <v>48</v>
      </c>
      <c r="D81" s="10" t="s">
        <v>203</v>
      </c>
      <c r="E81" s="11">
        <v>0</v>
      </c>
      <c r="F81" s="11">
        <v>0</v>
      </c>
      <c r="G81" s="11">
        <v>7356</v>
      </c>
      <c r="H81" s="11">
        <v>0</v>
      </c>
      <c r="I81" s="11">
        <v>0</v>
      </c>
      <c r="J81" s="11"/>
      <c r="K81" s="11"/>
      <c r="L81" s="11"/>
      <c r="M81" s="95"/>
      <c r="N81" s="27"/>
      <c r="O81" s="27"/>
      <c r="P81" s="27"/>
      <c r="Q81" s="27"/>
    </row>
    <row r="82" spans="1:17" s="10" customFormat="1">
      <c r="A82" s="10" t="s">
        <v>154</v>
      </c>
      <c r="B82" s="10" t="s">
        <v>50</v>
      </c>
      <c r="C82" s="10" t="s">
        <v>48</v>
      </c>
      <c r="D82" s="10" t="s">
        <v>204</v>
      </c>
      <c r="E82" s="11">
        <v>0</v>
      </c>
      <c r="F82" s="11">
        <v>0</v>
      </c>
      <c r="G82" s="11">
        <v>6780</v>
      </c>
      <c r="H82" s="11">
        <v>0</v>
      </c>
      <c r="I82" s="11">
        <v>0</v>
      </c>
      <c r="J82" s="11"/>
      <c r="K82" s="11"/>
      <c r="L82" s="11"/>
      <c r="M82" s="95"/>
      <c r="N82" s="27"/>
      <c r="O82" s="27"/>
      <c r="P82" s="27"/>
      <c r="Q82" s="27"/>
    </row>
    <row r="83" spans="1:17" s="10" customFormat="1">
      <c r="A83" s="10" t="s">
        <v>154</v>
      </c>
      <c r="B83" s="10" t="s">
        <v>50</v>
      </c>
      <c r="C83" s="10" t="s">
        <v>48</v>
      </c>
      <c r="D83" s="10" t="s">
        <v>205</v>
      </c>
      <c r="E83" s="11">
        <v>0</v>
      </c>
      <c r="F83" s="11">
        <v>0</v>
      </c>
      <c r="G83" s="11">
        <v>7069</v>
      </c>
      <c r="H83" s="11">
        <v>0</v>
      </c>
      <c r="I83" s="11">
        <v>0</v>
      </c>
      <c r="J83" s="11"/>
      <c r="K83" s="11"/>
      <c r="L83" s="11"/>
      <c r="M83" s="95"/>
      <c r="N83" s="27"/>
      <c r="O83" s="27"/>
      <c r="P83" s="27"/>
      <c r="Q83" s="27"/>
    </row>
    <row r="84" spans="1:17" s="10" customFormat="1">
      <c r="A84" s="10" t="s">
        <v>154</v>
      </c>
      <c r="B84" s="10" t="s">
        <v>50</v>
      </c>
      <c r="C84" s="10" t="s">
        <v>48</v>
      </c>
      <c r="D84" s="10" t="s">
        <v>206</v>
      </c>
      <c r="E84" s="11">
        <v>0</v>
      </c>
      <c r="F84" s="11">
        <v>0</v>
      </c>
      <c r="G84" s="11">
        <v>15234400</v>
      </c>
      <c r="H84" s="11">
        <v>0</v>
      </c>
      <c r="I84" s="11">
        <v>0</v>
      </c>
      <c r="J84" s="11"/>
      <c r="K84" s="11"/>
      <c r="L84" s="11"/>
      <c r="M84" s="95"/>
      <c r="N84" s="27"/>
      <c r="O84" s="27"/>
      <c r="P84" s="27"/>
      <c r="Q84" s="27"/>
    </row>
    <row r="85" spans="1:17" s="10" customFormat="1">
      <c r="A85" s="10" t="s">
        <v>154</v>
      </c>
      <c r="B85" s="10" t="s">
        <v>50</v>
      </c>
      <c r="C85" s="10" t="s">
        <v>48</v>
      </c>
      <c r="D85" s="10" t="s">
        <v>207</v>
      </c>
      <c r="E85" s="11"/>
      <c r="F85" s="11"/>
      <c r="G85" s="11"/>
      <c r="H85" s="11"/>
      <c r="I85" s="11"/>
      <c r="J85" s="11"/>
      <c r="K85" s="11"/>
      <c r="L85" s="11">
        <v>2155</v>
      </c>
      <c r="M85" s="95"/>
      <c r="N85" s="27"/>
      <c r="O85" s="27"/>
      <c r="P85" s="27"/>
      <c r="Q85" s="27"/>
    </row>
    <row r="86" spans="1:17" s="10" customFormat="1">
      <c r="A86" s="10" t="s">
        <v>154</v>
      </c>
      <c r="B86" s="10" t="s">
        <v>50</v>
      </c>
      <c r="C86" s="10" t="s">
        <v>48</v>
      </c>
      <c r="D86" s="10" t="s">
        <v>208</v>
      </c>
      <c r="E86" s="11">
        <v>1</v>
      </c>
      <c r="F86" s="11">
        <v>2</v>
      </c>
      <c r="G86" s="11">
        <v>37626</v>
      </c>
      <c r="H86" s="11">
        <v>0</v>
      </c>
      <c r="I86" s="11">
        <v>0</v>
      </c>
      <c r="J86" s="11"/>
      <c r="K86" s="11"/>
      <c r="L86" s="11"/>
      <c r="M86" s="95"/>
      <c r="N86" s="27"/>
      <c r="O86" s="27"/>
      <c r="P86" s="27"/>
      <c r="Q86" s="27"/>
    </row>
    <row r="87" spans="1:17" s="10" customFormat="1">
      <c r="A87" s="10" t="s">
        <v>154</v>
      </c>
      <c r="B87" s="10" t="s">
        <v>50</v>
      </c>
      <c r="C87" s="10" t="s">
        <v>48</v>
      </c>
      <c r="D87" s="10" t="s">
        <v>209</v>
      </c>
      <c r="E87" s="11">
        <v>0</v>
      </c>
      <c r="F87" s="11">
        <v>0</v>
      </c>
      <c r="G87" s="11">
        <v>34684</v>
      </c>
      <c r="H87" s="11">
        <v>0</v>
      </c>
      <c r="I87" s="11">
        <v>0</v>
      </c>
      <c r="J87" s="11"/>
      <c r="K87" s="11"/>
      <c r="L87" s="11"/>
      <c r="M87" s="95"/>
      <c r="N87" s="27"/>
      <c r="O87" s="27"/>
      <c r="P87" s="27"/>
      <c r="Q87" s="27"/>
    </row>
    <row r="88" spans="1:17" s="10" customFormat="1">
      <c r="A88" s="10" t="s">
        <v>154</v>
      </c>
      <c r="B88" s="10" t="s">
        <v>50</v>
      </c>
      <c r="C88" s="10" t="s">
        <v>48</v>
      </c>
      <c r="D88" s="10" t="s">
        <v>210</v>
      </c>
      <c r="E88" s="11">
        <v>0</v>
      </c>
      <c r="F88" s="11">
        <v>0</v>
      </c>
      <c r="G88" s="11">
        <v>36180</v>
      </c>
      <c r="H88" s="11">
        <v>0</v>
      </c>
      <c r="I88" s="11">
        <v>0</v>
      </c>
      <c r="J88" s="11"/>
      <c r="K88" s="11"/>
      <c r="L88" s="11"/>
      <c r="M88" s="95"/>
      <c r="N88" s="27"/>
      <c r="O88" s="27"/>
      <c r="P88" s="27"/>
      <c r="Q88" s="27"/>
    </row>
    <row r="89" spans="1:17" s="10" customFormat="1">
      <c r="A89" s="10" t="s">
        <v>154</v>
      </c>
      <c r="B89" s="10" t="s">
        <v>50</v>
      </c>
      <c r="C89" s="10" t="s">
        <v>48</v>
      </c>
      <c r="D89" s="10" t="s">
        <v>211</v>
      </c>
      <c r="E89" s="11">
        <v>19</v>
      </c>
      <c r="F89" s="11">
        <v>22</v>
      </c>
      <c r="G89" s="11">
        <v>77968557</v>
      </c>
      <c r="H89" s="11">
        <v>0</v>
      </c>
      <c r="I89" s="11">
        <v>0</v>
      </c>
      <c r="J89" s="11"/>
      <c r="K89" s="11"/>
      <c r="L89" s="11"/>
      <c r="M89" s="95"/>
      <c r="N89" s="27"/>
      <c r="O89" s="27"/>
      <c r="P89" s="27"/>
      <c r="Q89" s="27"/>
    </row>
    <row r="90" spans="1:17" s="10" customFormat="1">
      <c r="A90" s="10" t="s">
        <v>154</v>
      </c>
      <c r="B90" s="10" t="s">
        <v>50</v>
      </c>
      <c r="C90" s="10" t="s">
        <v>48</v>
      </c>
      <c r="D90" s="10" t="s">
        <v>212</v>
      </c>
      <c r="E90" s="11"/>
      <c r="F90" s="11"/>
      <c r="G90" s="11"/>
      <c r="H90" s="11"/>
      <c r="I90" s="11"/>
      <c r="J90" s="11"/>
      <c r="K90" s="11"/>
      <c r="L90" s="11">
        <v>2155</v>
      </c>
      <c r="M90" s="95"/>
      <c r="N90" s="27"/>
      <c r="O90" s="27"/>
      <c r="P90" s="27"/>
      <c r="Q90" s="27"/>
    </row>
    <row r="91" spans="1:17" s="10" customFormat="1">
      <c r="A91" s="10" t="s">
        <v>154</v>
      </c>
      <c r="B91" s="10" t="s">
        <v>50</v>
      </c>
      <c r="C91" s="10" t="s">
        <v>48</v>
      </c>
      <c r="D91" s="10" t="s">
        <v>213</v>
      </c>
      <c r="E91" s="11">
        <v>2</v>
      </c>
      <c r="F91" s="11">
        <v>11</v>
      </c>
      <c r="G91" s="11">
        <v>825851</v>
      </c>
      <c r="H91" s="11">
        <v>0</v>
      </c>
      <c r="I91" s="11">
        <v>0</v>
      </c>
      <c r="J91" s="11"/>
      <c r="K91" s="11"/>
      <c r="L91" s="11"/>
      <c r="M91" s="95"/>
      <c r="N91" s="27"/>
      <c r="O91" s="27"/>
      <c r="P91" s="27"/>
      <c r="Q91" s="27"/>
    </row>
    <row r="92" spans="1:17" s="10" customFormat="1">
      <c r="A92" s="10" t="s">
        <v>154</v>
      </c>
      <c r="B92" s="10" t="s">
        <v>50</v>
      </c>
      <c r="C92" s="10" t="s">
        <v>48</v>
      </c>
      <c r="D92" s="10" t="s">
        <v>214</v>
      </c>
      <c r="E92" s="11">
        <v>0</v>
      </c>
      <c r="F92" s="11">
        <v>0</v>
      </c>
      <c r="G92" s="11">
        <v>760949</v>
      </c>
      <c r="H92" s="11">
        <v>0</v>
      </c>
      <c r="I92" s="11">
        <v>0</v>
      </c>
      <c r="J92" s="11"/>
      <c r="K92" s="11"/>
      <c r="L92" s="11"/>
      <c r="M92" s="95"/>
      <c r="N92" s="27"/>
      <c r="O92" s="27"/>
      <c r="P92" s="27"/>
      <c r="Q92" s="27"/>
    </row>
    <row r="93" spans="1:17" s="10" customFormat="1">
      <c r="A93" s="10" t="s">
        <v>154</v>
      </c>
      <c r="B93" s="10" t="s">
        <v>50</v>
      </c>
      <c r="C93" s="10" t="s">
        <v>48</v>
      </c>
      <c r="D93" s="10" t="s">
        <v>215</v>
      </c>
      <c r="E93" s="11">
        <v>0</v>
      </c>
      <c r="F93" s="11">
        <v>0</v>
      </c>
      <c r="G93" s="11">
        <v>794121</v>
      </c>
      <c r="H93" s="11">
        <v>0</v>
      </c>
      <c r="I93" s="11">
        <v>0</v>
      </c>
      <c r="J93" s="11"/>
      <c r="K93" s="11"/>
      <c r="L93" s="11"/>
      <c r="M93" s="95"/>
      <c r="N93" s="27"/>
      <c r="O93" s="27"/>
      <c r="P93" s="27"/>
      <c r="Q93" s="27"/>
    </row>
    <row r="94" spans="1:17" s="10" customFormat="1">
      <c r="A94" s="10" t="s">
        <v>154</v>
      </c>
      <c r="B94" s="10" t="s">
        <v>50</v>
      </c>
      <c r="C94" s="10" t="s">
        <v>48</v>
      </c>
      <c r="D94" s="10" t="s">
        <v>216</v>
      </c>
      <c r="E94" s="11">
        <v>36</v>
      </c>
      <c r="F94" s="11">
        <v>115</v>
      </c>
      <c r="G94" s="11">
        <v>1711330880</v>
      </c>
      <c r="H94" s="11">
        <v>0</v>
      </c>
      <c r="I94" s="11">
        <v>0</v>
      </c>
      <c r="J94" s="11"/>
      <c r="K94" s="11"/>
      <c r="L94" s="11"/>
      <c r="M94" s="95"/>
      <c r="N94" s="27"/>
      <c r="O94" s="27"/>
      <c r="P94" s="27"/>
      <c r="Q94" s="27"/>
    </row>
    <row r="95" spans="1:17" s="10" customFormat="1">
      <c r="A95" s="10" t="s">
        <v>154</v>
      </c>
      <c r="B95" s="10" t="s">
        <v>50</v>
      </c>
      <c r="C95" s="10" t="s">
        <v>48</v>
      </c>
      <c r="D95" s="10" t="s">
        <v>217</v>
      </c>
      <c r="E95" s="11"/>
      <c r="F95" s="11"/>
      <c r="G95" s="11"/>
      <c r="H95" s="11"/>
      <c r="I95" s="11"/>
      <c r="J95" s="11"/>
      <c r="K95" s="11"/>
      <c r="L95" s="11">
        <v>2155</v>
      </c>
      <c r="M95" s="95"/>
      <c r="N95" s="27"/>
      <c r="O95" s="27"/>
      <c r="P95" s="27"/>
      <c r="Q95" s="27"/>
    </row>
    <row r="96" spans="1:17" s="10" customFormat="1">
      <c r="A96" s="10" t="s">
        <v>154</v>
      </c>
      <c r="B96" s="10" t="s">
        <v>50</v>
      </c>
      <c r="C96" s="10" t="s">
        <v>48</v>
      </c>
      <c r="D96" s="10" t="s">
        <v>218</v>
      </c>
      <c r="E96" s="11">
        <v>0</v>
      </c>
      <c r="F96" s="11">
        <v>0</v>
      </c>
      <c r="G96" s="11">
        <v>18</v>
      </c>
      <c r="H96" s="11">
        <v>0</v>
      </c>
      <c r="I96" s="11">
        <v>0</v>
      </c>
      <c r="J96" s="11"/>
      <c r="K96" s="11"/>
      <c r="L96" s="11"/>
      <c r="M96" s="95"/>
      <c r="N96" s="27"/>
      <c r="O96" s="27"/>
      <c r="P96" s="27"/>
      <c r="Q96" s="27"/>
    </row>
    <row r="97" spans="1:17" s="10" customFormat="1">
      <c r="A97" s="10" t="s">
        <v>154</v>
      </c>
      <c r="B97" s="10" t="s">
        <v>50</v>
      </c>
      <c r="C97" s="10" t="s">
        <v>48</v>
      </c>
      <c r="D97" s="10" t="s">
        <v>219</v>
      </c>
      <c r="E97" s="11">
        <v>0</v>
      </c>
      <c r="F97" s="11">
        <v>0</v>
      </c>
      <c r="G97" s="11">
        <v>6</v>
      </c>
      <c r="H97" s="11">
        <v>0</v>
      </c>
      <c r="I97" s="11">
        <v>0</v>
      </c>
      <c r="J97" s="11"/>
      <c r="K97" s="11"/>
      <c r="L97" s="11"/>
      <c r="M97" s="95"/>
      <c r="N97" s="27"/>
      <c r="O97" s="27"/>
      <c r="P97" s="27"/>
      <c r="Q97" s="27"/>
    </row>
    <row r="98" spans="1:17" s="10" customFormat="1">
      <c r="A98" s="10" t="s">
        <v>154</v>
      </c>
      <c r="B98" s="10" t="s">
        <v>50</v>
      </c>
      <c r="C98" s="10" t="s">
        <v>48</v>
      </c>
      <c r="D98" s="10" t="s">
        <v>220</v>
      </c>
      <c r="E98" s="11">
        <v>0</v>
      </c>
      <c r="F98" s="11">
        <v>0</v>
      </c>
      <c r="G98" s="11">
        <v>14</v>
      </c>
      <c r="H98" s="11">
        <v>0</v>
      </c>
      <c r="I98" s="11">
        <v>0</v>
      </c>
      <c r="J98" s="11"/>
      <c r="K98" s="11"/>
      <c r="L98" s="11"/>
      <c r="M98" s="95"/>
      <c r="N98" s="27"/>
      <c r="O98" s="27"/>
      <c r="P98" s="27"/>
      <c r="Q98" s="27"/>
    </row>
    <row r="99" spans="1:17" s="10" customFormat="1">
      <c r="A99" s="10" t="s">
        <v>154</v>
      </c>
      <c r="B99" s="10" t="s">
        <v>50</v>
      </c>
      <c r="C99" s="10" t="s">
        <v>48</v>
      </c>
      <c r="D99" s="10" t="s">
        <v>221</v>
      </c>
      <c r="E99" s="11">
        <v>0</v>
      </c>
      <c r="F99" s="11">
        <v>0</v>
      </c>
      <c r="G99" s="11">
        <v>30372</v>
      </c>
      <c r="H99" s="11">
        <v>0</v>
      </c>
      <c r="I99" s="11">
        <v>0</v>
      </c>
      <c r="J99" s="11"/>
      <c r="K99" s="11"/>
      <c r="L99" s="11"/>
      <c r="M99" s="95"/>
      <c r="N99" s="27"/>
      <c r="O99" s="27"/>
      <c r="P99" s="27"/>
      <c r="Q99" s="27"/>
    </row>
    <row r="100" spans="1:17" s="10" customFormat="1">
      <c r="A100" s="10" t="s">
        <v>154</v>
      </c>
      <c r="B100" s="10" t="s">
        <v>50</v>
      </c>
      <c r="C100" s="10" t="s">
        <v>48</v>
      </c>
      <c r="D100" s="10" t="s">
        <v>222</v>
      </c>
      <c r="E100" s="11"/>
      <c r="F100" s="11"/>
      <c r="G100" s="11"/>
      <c r="H100" s="11"/>
      <c r="I100" s="11"/>
      <c r="J100" s="11"/>
      <c r="K100" s="11"/>
      <c r="L100" s="11">
        <v>2155</v>
      </c>
      <c r="M100" s="95"/>
      <c r="N100" s="27"/>
      <c r="O100" s="27"/>
      <c r="P100" s="27"/>
      <c r="Q100" s="27"/>
    </row>
    <row r="101" spans="1:17" s="10" customFormat="1">
      <c r="A101" s="10" t="s">
        <v>154</v>
      </c>
      <c r="B101" s="10" t="s">
        <v>50</v>
      </c>
      <c r="C101" s="10" t="s">
        <v>48</v>
      </c>
      <c r="D101" s="10" t="s">
        <v>223</v>
      </c>
      <c r="E101" s="11">
        <v>0</v>
      </c>
      <c r="F101" s="11">
        <v>0</v>
      </c>
      <c r="G101" s="11">
        <v>24</v>
      </c>
      <c r="H101" s="11">
        <v>0</v>
      </c>
      <c r="I101" s="11">
        <v>0</v>
      </c>
      <c r="J101" s="11"/>
      <c r="K101" s="11"/>
      <c r="L101" s="11"/>
      <c r="M101" s="95"/>
      <c r="N101" s="27"/>
      <c r="O101" s="27"/>
      <c r="P101" s="27"/>
      <c r="Q101" s="27"/>
    </row>
    <row r="102" spans="1:17" s="10" customFormat="1">
      <c r="A102" s="10" t="s">
        <v>154</v>
      </c>
      <c r="B102" s="10" t="s">
        <v>50</v>
      </c>
      <c r="C102" s="10" t="s">
        <v>48</v>
      </c>
      <c r="D102" s="10" t="s">
        <v>224</v>
      </c>
      <c r="E102" s="11">
        <v>0</v>
      </c>
      <c r="F102" s="11">
        <v>0</v>
      </c>
      <c r="G102" s="11">
        <v>24</v>
      </c>
      <c r="H102" s="11">
        <v>0</v>
      </c>
      <c r="I102" s="11">
        <v>0</v>
      </c>
      <c r="J102" s="11"/>
      <c r="K102" s="11"/>
      <c r="L102" s="11"/>
      <c r="M102" s="95"/>
      <c r="N102" s="27"/>
      <c r="O102" s="27"/>
      <c r="P102" s="27"/>
      <c r="Q102" s="27"/>
    </row>
    <row r="103" spans="1:17" s="10" customFormat="1">
      <c r="A103" s="10" t="s">
        <v>154</v>
      </c>
      <c r="B103" s="10" t="s">
        <v>50</v>
      </c>
      <c r="C103" s="10" t="s">
        <v>48</v>
      </c>
      <c r="D103" s="10" t="s">
        <v>225</v>
      </c>
      <c r="E103" s="11">
        <v>0</v>
      </c>
      <c r="F103" s="11">
        <v>0</v>
      </c>
      <c r="G103" s="11">
        <v>24</v>
      </c>
      <c r="H103" s="11">
        <v>0</v>
      </c>
      <c r="I103" s="11">
        <v>0</v>
      </c>
      <c r="J103" s="11"/>
      <c r="K103" s="11"/>
      <c r="L103" s="11"/>
      <c r="M103" s="95"/>
      <c r="N103" s="27"/>
      <c r="O103" s="27"/>
      <c r="P103" s="27"/>
      <c r="Q103" s="27"/>
    </row>
    <row r="104" spans="1:17" s="10" customFormat="1">
      <c r="A104" s="10" t="s">
        <v>154</v>
      </c>
      <c r="B104" s="10" t="s">
        <v>50</v>
      </c>
      <c r="C104" s="10" t="s">
        <v>48</v>
      </c>
      <c r="D104" s="10" t="s">
        <v>226</v>
      </c>
      <c r="E104" s="11">
        <v>0</v>
      </c>
      <c r="F104" s="11">
        <v>0</v>
      </c>
      <c r="G104" s="11">
        <v>51720</v>
      </c>
      <c r="H104" s="11">
        <v>0</v>
      </c>
      <c r="I104" s="11">
        <v>0</v>
      </c>
      <c r="J104" s="11"/>
      <c r="K104" s="11"/>
      <c r="L104" s="11"/>
      <c r="M104" s="95"/>
      <c r="N104" s="27"/>
      <c r="O104" s="27"/>
      <c r="P104" s="27"/>
      <c r="Q104" s="27"/>
    </row>
    <row r="105" spans="1:17" s="10" customFormat="1">
      <c r="A105" s="10" t="s">
        <v>154</v>
      </c>
      <c r="B105" s="10" t="s">
        <v>50</v>
      </c>
      <c r="C105" s="10" t="s">
        <v>48</v>
      </c>
      <c r="D105" s="10" t="s">
        <v>227</v>
      </c>
      <c r="E105" s="11"/>
      <c r="F105" s="11"/>
      <c r="G105" s="11"/>
      <c r="H105" s="11"/>
      <c r="I105" s="11"/>
      <c r="J105" s="11"/>
      <c r="K105" s="11"/>
      <c r="L105" s="11">
        <v>2155</v>
      </c>
      <c r="M105" s="95"/>
      <c r="N105" s="27"/>
      <c r="O105" s="27"/>
      <c r="P105" s="27"/>
      <c r="Q105" s="27"/>
    </row>
    <row r="106" spans="1:17" s="10" customFormat="1">
      <c r="A106" t="s">
        <v>154</v>
      </c>
      <c r="B106" s="10" t="s">
        <v>50</v>
      </c>
      <c r="C106" s="10" t="s">
        <v>48</v>
      </c>
      <c r="D106" s="10" t="s">
        <v>335</v>
      </c>
      <c r="E106" s="11"/>
      <c r="F106" s="11"/>
      <c r="G106" s="11"/>
      <c r="H106" s="11"/>
      <c r="I106" s="11"/>
      <c r="J106" s="11"/>
      <c r="K106" s="10">
        <v>201</v>
      </c>
      <c r="M106" s="95"/>
      <c r="N106" s="27"/>
      <c r="O106" s="27"/>
      <c r="P106" s="27"/>
      <c r="Q106" s="27"/>
    </row>
    <row r="107" spans="1:17" s="10" customFormat="1">
      <c r="A107" t="s">
        <v>154</v>
      </c>
      <c r="B107" s="10" t="s">
        <v>50</v>
      </c>
      <c r="C107" s="10" t="s">
        <v>48</v>
      </c>
      <c r="D107" s="10" t="s">
        <v>325</v>
      </c>
      <c r="E107" s="11"/>
      <c r="F107" s="11"/>
      <c r="G107" s="11"/>
      <c r="H107" s="11"/>
      <c r="I107" s="11"/>
      <c r="J107" s="11"/>
      <c r="K107" s="10">
        <v>396</v>
      </c>
      <c r="M107" s="95"/>
      <c r="N107" s="27"/>
      <c r="O107" s="27"/>
      <c r="P107" s="27"/>
      <c r="Q107" s="27"/>
    </row>
    <row r="108" spans="1:17" s="10" customFormat="1">
      <c r="A108" t="s">
        <v>154</v>
      </c>
      <c r="B108" s="10" t="s">
        <v>50</v>
      </c>
      <c r="C108" s="10" t="s">
        <v>48</v>
      </c>
      <c r="D108" s="10" t="s">
        <v>326</v>
      </c>
      <c r="E108" s="11"/>
      <c r="F108" s="11"/>
      <c r="G108" s="11"/>
      <c r="H108" s="11"/>
      <c r="I108" s="11"/>
      <c r="J108" s="11"/>
      <c r="K108" s="10">
        <v>240</v>
      </c>
      <c r="M108" s="95"/>
      <c r="N108" s="27"/>
      <c r="O108" s="27"/>
      <c r="P108" s="27"/>
      <c r="Q108" s="27"/>
    </row>
    <row r="109" spans="1:17" s="10" customFormat="1">
      <c r="A109" t="s">
        <v>154</v>
      </c>
      <c r="B109" s="10" t="s">
        <v>50</v>
      </c>
      <c r="C109" s="10" t="s">
        <v>48</v>
      </c>
      <c r="D109" s="10" t="s">
        <v>286</v>
      </c>
      <c r="E109" s="11"/>
      <c r="F109" s="11"/>
      <c r="H109" s="11"/>
      <c r="I109" s="11"/>
      <c r="J109" s="11"/>
      <c r="L109" s="11">
        <v>368</v>
      </c>
      <c r="M109" s="95"/>
      <c r="N109" s="27"/>
      <c r="O109" s="27"/>
      <c r="P109" s="27"/>
      <c r="Q109" s="27"/>
    </row>
    <row r="110" spans="1:17" s="10" customFormat="1">
      <c r="A110" s="10" t="s">
        <v>154</v>
      </c>
      <c r="B110" s="10" t="s">
        <v>50</v>
      </c>
      <c r="C110" s="10" t="s">
        <v>48</v>
      </c>
      <c r="D110" s="22" t="s">
        <v>311</v>
      </c>
      <c r="E110" s="11">
        <v>1</v>
      </c>
      <c r="F110" s="11">
        <v>0</v>
      </c>
      <c r="G110" s="11">
        <v>9765848</v>
      </c>
      <c r="H110" s="11">
        <v>0</v>
      </c>
      <c r="I110" s="11">
        <v>0</v>
      </c>
      <c r="J110" s="11"/>
      <c r="K110" s="11"/>
      <c r="L110" s="11"/>
      <c r="M110" s="95"/>
      <c r="N110" s="27"/>
      <c r="O110" s="27"/>
      <c r="P110" s="27"/>
      <c r="Q110" s="27"/>
    </row>
    <row r="111" spans="1:17" s="10" customFormat="1">
      <c r="A111" s="10" t="s">
        <v>154</v>
      </c>
      <c r="B111" s="10" t="s">
        <v>50</v>
      </c>
      <c r="C111" s="10" t="s">
        <v>48</v>
      </c>
      <c r="D111" s="22" t="s">
        <v>312</v>
      </c>
      <c r="E111" s="11">
        <v>0</v>
      </c>
      <c r="F111" s="11">
        <v>0</v>
      </c>
      <c r="G111" s="11">
        <v>9121895</v>
      </c>
      <c r="H111" s="11">
        <v>0</v>
      </c>
      <c r="I111" s="11">
        <v>0</v>
      </c>
      <c r="J111" s="11"/>
      <c r="K111" s="11"/>
      <c r="L111" s="11"/>
      <c r="M111" s="95"/>
      <c r="N111" s="27"/>
      <c r="O111" s="27"/>
      <c r="P111" s="27"/>
      <c r="Q111" s="27"/>
    </row>
    <row r="112" spans="1:17" s="10" customFormat="1">
      <c r="A112" s="10" t="s">
        <v>154</v>
      </c>
      <c r="B112" s="10" t="s">
        <v>50</v>
      </c>
      <c r="C112" s="10" t="s">
        <v>48</v>
      </c>
      <c r="D112" s="22" t="s">
        <v>313</v>
      </c>
      <c r="E112" s="11">
        <v>0</v>
      </c>
      <c r="F112" s="11">
        <v>0</v>
      </c>
      <c r="G112" s="11">
        <v>9456449</v>
      </c>
      <c r="H112" s="11">
        <v>0</v>
      </c>
      <c r="I112" s="11">
        <v>0</v>
      </c>
      <c r="J112" s="11"/>
      <c r="K112" s="11"/>
      <c r="L112" s="11"/>
      <c r="M112" s="95"/>
      <c r="N112" s="27"/>
      <c r="O112" s="27"/>
      <c r="P112" s="27"/>
      <c r="Q112" s="27"/>
    </row>
    <row r="113" spans="1:17" s="10" customFormat="1">
      <c r="A113" s="10" t="s">
        <v>154</v>
      </c>
      <c r="B113" s="10" t="s">
        <v>50</v>
      </c>
      <c r="C113" s="10" t="s">
        <v>48</v>
      </c>
      <c r="D113" s="22" t="s">
        <v>314</v>
      </c>
      <c r="E113" s="11">
        <v>28</v>
      </c>
      <c r="F113" s="11">
        <v>0</v>
      </c>
      <c r="G113" s="11">
        <v>20378648728</v>
      </c>
      <c r="H113" s="11">
        <v>0</v>
      </c>
      <c r="I113" s="11">
        <v>0</v>
      </c>
      <c r="J113" s="11"/>
      <c r="K113" s="11"/>
      <c r="L113" s="11"/>
      <c r="M113" s="95"/>
      <c r="N113" s="27"/>
      <c r="O113" s="27"/>
      <c r="P113" s="27"/>
      <c r="Q113" s="27"/>
    </row>
    <row r="114" spans="1:17" s="10" customFormat="1">
      <c r="A114" s="10" t="s">
        <v>154</v>
      </c>
      <c r="B114" s="10" t="s">
        <v>50</v>
      </c>
      <c r="C114" s="10" t="s">
        <v>48</v>
      </c>
      <c r="D114" s="22" t="s">
        <v>315</v>
      </c>
      <c r="E114" s="11"/>
      <c r="F114" s="11"/>
      <c r="G114" s="11"/>
      <c r="H114" s="11"/>
      <c r="I114" s="11"/>
      <c r="J114" s="11"/>
      <c r="K114" s="11"/>
      <c r="L114" s="11">
        <v>2155</v>
      </c>
      <c r="M114" s="95"/>
      <c r="N114" s="27"/>
      <c r="O114" s="27"/>
      <c r="P114" s="27"/>
      <c r="Q114" s="27"/>
    </row>
    <row r="115" spans="1:17" s="10" customFormat="1">
      <c r="A115" s="10" t="s">
        <v>154</v>
      </c>
      <c r="B115" s="10" t="s">
        <v>50</v>
      </c>
      <c r="C115" s="10" t="s">
        <v>48</v>
      </c>
      <c r="D115" s="10" t="s">
        <v>339</v>
      </c>
      <c r="E115" s="11"/>
      <c r="F115" s="11"/>
      <c r="G115" s="11"/>
      <c r="H115" s="11"/>
      <c r="I115" s="11"/>
      <c r="J115" s="11"/>
      <c r="K115" s="11">
        <v>1161690624</v>
      </c>
      <c r="L115" s="11"/>
      <c r="M115" s="95"/>
      <c r="N115" s="27"/>
      <c r="O115" s="27"/>
      <c r="P115" s="27"/>
      <c r="Q115" s="27"/>
    </row>
    <row r="116" spans="1:17" s="10" customFormat="1">
      <c r="A116" s="10" t="s">
        <v>154</v>
      </c>
      <c r="B116" s="10" t="s">
        <v>50</v>
      </c>
      <c r="C116" s="10" t="s">
        <v>48</v>
      </c>
      <c r="D116" s="10" t="s">
        <v>340</v>
      </c>
      <c r="E116" s="11"/>
      <c r="F116" s="11"/>
      <c r="G116" s="11"/>
      <c r="H116" s="11"/>
      <c r="I116" s="11"/>
      <c r="J116" s="11"/>
      <c r="K116" s="11">
        <v>1890334750</v>
      </c>
      <c r="L116" s="11"/>
      <c r="M116" s="95"/>
      <c r="N116" s="27"/>
      <c r="O116" s="27"/>
      <c r="P116" s="27"/>
      <c r="Q116" s="27"/>
    </row>
    <row r="117" spans="1:17" s="10" customFormat="1">
      <c r="A117" s="10" t="s">
        <v>154</v>
      </c>
      <c r="B117" s="10" t="s">
        <v>50</v>
      </c>
      <c r="C117" s="10" t="s">
        <v>48</v>
      </c>
      <c r="D117" s="10" t="s">
        <v>341</v>
      </c>
      <c r="E117" s="11"/>
      <c r="F117" s="11"/>
      <c r="G117" s="11"/>
      <c r="H117" s="11"/>
      <c r="I117" s="11"/>
      <c r="J117" s="11"/>
      <c r="K117" s="11">
        <v>1526012687</v>
      </c>
      <c r="L117" s="11"/>
      <c r="M117" s="95"/>
      <c r="N117" s="27"/>
      <c r="O117" s="27"/>
      <c r="P117" s="27"/>
      <c r="Q117" s="27"/>
    </row>
    <row r="118" spans="1:17" s="10" customFormat="1">
      <c r="A118" s="10" t="s">
        <v>154</v>
      </c>
      <c r="B118" s="10" t="s">
        <v>50</v>
      </c>
      <c r="C118" s="10" t="s">
        <v>48</v>
      </c>
      <c r="D118" s="10" t="s">
        <v>342</v>
      </c>
      <c r="E118" s="11"/>
      <c r="F118" s="11"/>
      <c r="G118" s="11"/>
      <c r="H118" s="11"/>
      <c r="I118" s="11"/>
      <c r="J118" s="11"/>
      <c r="K118" s="11"/>
      <c r="L118" s="11">
        <v>2</v>
      </c>
      <c r="M118" s="95"/>
      <c r="N118" s="27"/>
      <c r="O118" s="27"/>
      <c r="P118" s="27"/>
      <c r="Q118" s="27"/>
    </row>
    <row r="119" spans="1:17">
      <c r="A119" s="10" t="s">
        <v>154</v>
      </c>
      <c r="B119" s="10" t="s">
        <v>50</v>
      </c>
      <c r="C119" s="10" t="s">
        <v>48</v>
      </c>
      <c r="D119" t="s">
        <v>425</v>
      </c>
      <c r="L119">
        <v>1</v>
      </c>
    </row>
    <row r="120" spans="1:17">
      <c r="A120" s="10" t="s">
        <v>154</v>
      </c>
      <c r="B120" s="10" t="s">
        <v>50</v>
      </c>
      <c r="C120" s="10" t="s">
        <v>48</v>
      </c>
      <c r="D120" s="10" t="s">
        <v>428</v>
      </c>
      <c r="L120">
        <v>1</v>
      </c>
    </row>
    <row r="121" spans="1:17">
      <c r="A121" s="10" t="s">
        <v>154</v>
      </c>
      <c r="B121" s="10" t="s">
        <v>50</v>
      </c>
      <c r="C121" s="10" t="s">
        <v>48</v>
      </c>
      <c r="D121" t="s">
        <v>434</v>
      </c>
      <c r="J121">
        <v>12</v>
      </c>
    </row>
    <row r="122" spans="1:17">
      <c r="A122" s="10" t="s">
        <v>154</v>
      </c>
      <c r="B122" s="10" t="s">
        <v>50</v>
      </c>
      <c r="C122" s="10" t="s">
        <v>48</v>
      </c>
      <c r="D122" t="s">
        <v>435</v>
      </c>
      <c r="J122">
        <v>8</v>
      </c>
    </row>
    <row r="123" spans="1:17">
      <c r="A123" s="10" t="s">
        <v>154</v>
      </c>
      <c r="B123" s="10" t="s">
        <v>50</v>
      </c>
      <c r="C123" s="10" t="s">
        <v>48</v>
      </c>
      <c r="D123" t="s">
        <v>436</v>
      </c>
      <c r="J123">
        <v>6</v>
      </c>
    </row>
    <row r="124" spans="1:17">
      <c r="A124" s="10" t="s">
        <v>154</v>
      </c>
      <c r="B124" s="10" t="s">
        <v>50</v>
      </c>
      <c r="C124" s="10" t="s">
        <v>48</v>
      </c>
      <c r="D124" t="s">
        <v>437</v>
      </c>
      <c r="J124">
        <v>4</v>
      </c>
    </row>
    <row r="125" spans="1:17">
      <c r="A125" s="10" t="s">
        <v>154</v>
      </c>
      <c r="B125" s="10" t="s">
        <v>50</v>
      </c>
      <c r="C125" s="10" t="s">
        <v>48</v>
      </c>
      <c r="D125" t="s">
        <v>438</v>
      </c>
      <c r="L125">
        <v>3</v>
      </c>
    </row>
    <row r="126" spans="1:17">
      <c r="A126" s="10" t="s">
        <v>154</v>
      </c>
      <c r="B126" s="10" t="s">
        <v>50</v>
      </c>
      <c r="C126" s="10" t="s">
        <v>48</v>
      </c>
      <c r="D126" t="s">
        <v>449</v>
      </c>
      <c r="M126" s="9">
        <v>23.45</v>
      </c>
    </row>
    <row r="127" spans="1:17">
      <c r="A127" s="10" t="s">
        <v>154</v>
      </c>
      <c r="B127" s="10" t="s">
        <v>50</v>
      </c>
      <c r="C127" s="10" t="s">
        <v>48</v>
      </c>
      <c r="D127" t="s">
        <v>450</v>
      </c>
      <c r="M127" s="9">
        <v>12.5</v>
      </c>
    </row>
    <row r="128" spans="1:17">
      <c r="A128" s="10" t="s">
        <v>154</v>
      </c>
      <c r="B128" s="10" t="s">
        <v>50</v>
      </c>
      <c r="C128" s="10" t="s">
        <v>48</v>
      </c>
      <c r="D128" t="s">
        <v>451</v>
      </c>
      <c r="M128" s="9">
        <v>8.4</v>
      </c>
    </row>
    <row r="129" spans="1:16">
      <c r="A129" s="10" t="s">
        <v>154</v>
      </c>
      <c r="B129" s="10" t="s">
        <v>50</v>
      </c>
      <c r="C129" s="10" t="s">
        <v>48</v>
      </c>
      <c r="D129" t="s">
        <v>452</v>
      </c>
      <c r="M129" s="9">
        <v>4.5999999999999996</v>
      </c>
    </row>
    <row r="130" spans="1:16">
      <c r="A130" s="10" t="s">
        <v>154</v>
      </c>
      <c r="B130" s="10" t="s">
        <v>50</v>
      </c>
      <c r="C130" s="10" t="s">
        <v>48</v>
      </c>
      <c r="D130" t="s">
        <v>453</v>
      </c>
      <c r="L130">
        <v>3</v>
      </c>
    </row>
    <row r="131" spans="1:16">
      <c r="A131" s="10" t="s">
        <v>154</v>
      </c>
      <c r="B131" s="10" t="s">
        <v>50</v>
      </c>
      <c r="C131" s="10" t="s">
        <v>48</v>
      </c>
      <c r="D131" t="s">
        <v>464</v>
      </c>
      <c r="J131" s="90">
        <v>12</v>
      </c>
    </row>
    <row r="132" spans="1:16">
      <c r="A132" s="10" t="s">
        <v>154</v>
      </c>
      <c r="B132" s="10" t="s">
        <v>50</v>
      </c>
      <c r="C132" s="10" t="s">
        <v>48</v>
      </c>
      <c r="D132" t="s">
        <v>465</v>
      </c>
      <c r="J132" s="90">
        <v>8</v>
      </c>
    </row>
    <row r="133" spans="1:16">
      <c r="A133" s="10" t="s">
        <v>154</v>
      </c>
      <c r="B133" s="10" t="s">
        <v>50</v>
      </c>
      <c r="C133" s="10" t="s">
        <v>48</v>
      </c>
      <c r="D133" t="s">
        <v>466</v>
      </c>
      <c r="J133" s="90">
        <v>6</v>
      </c>
    </row>
    <row r="134" spans="1:16">
      <c r="A134" s="10" t="s">
        <v>154</v>
      </c>
      <c r="B134" s="10" t="s">
        <v>50</v>
      </c>
      <c r="C134" s="10" t="s">
        <v>48</v>
      </c>
      <c r="D134" t="s">
        <v>467</v>
      </c>
      <c r="J134" s="90">
        <v>4</v>
      </c>
    </row>
    <row r="135" spans="1:16">
      <c r="A135" s="10" t="s">
        <v>154</v>
      </c>
      <c r="B135" s="10" t="s">
        <v>50</v>
      </c>
      <c r="C135" s="10" t="s">
        <v>48</v>
      </c>
      <c r="D135" t="s">
        <v>468</v>
      </c>
      <c r="J135" s="90"/>
      <c r="L135">
        <v>3</v>
      </c>
    </row>
    <row r="136" spans="1:16">
      <c r="A136" s="10" t="s">
        <v>154</v>
      </c>
      <c r="B136" s="10" t="s">
        <v>50</v>
      </c>
      <c r="C136" s="10" t="s">
        <v>48</v>
      </c>
      <c r="D136" t="s">
        <v>519</v>
      </c>
      <c r="K136">
        <v>567</v>
      </c>
      <c r="N136" s="27">
        <v>10</v>
      </c>
      <c r="O136" s="27">
        <v>12</v>
      </c>
      <c r="P136" s="27">
        <v>13</v>
      </c>
    </row>
    <row r="137" spans="1:16">
      <c r="A137" s="10" t="s">
        <v>154</v>
      </c>
      <c r="B137" s="10" t="s">
        <v>50</v>
      </c>
      <c r="C137" s="10" t="s">
        <v>48</v>
      </c>
      <c r="D137" t="s">
        <v>520</v>
      </c>
      <c r="K137">
        <v>123</v>
      </c>
      <c r="N137" s="27">
        <v>1</v>
      </c>
      <c r="O137" s="27">
        <v>2</v>
      </c>
      <c r="P137" s="27">
        <v>3</v>
      </c>
    </row>
    <row r="138" spans="1:16">
      <c r="A138" s="10" t="s">
        <v>154</v>
      </c>
      <c r="B138" s="10" t="s">
        <v>50</v>
      </c>
      <c r="C138" s="10" t="s">
        <v>48</v>
      </c>
      <c r="D138" t="s">
        <v>521</v>
      </c>
      <c r="K138">
        <v>234</v>
      </c>
      <c r="N138" s="27">
        <v>5</v>
      </c>
      <c r="O138" s="27">
        <v>6</v>
      </c>
      <c r="P138" s="27">
        <v>7</v>
      </c>
    </row>
    <row r="139" spans="1:16">
      <c r="A139" s="10" t="s">
        <v>154</v>
      </c>
      <c r="B139" s="10" t="s">
        <v>50</v>
      </c>
      <c r="C139" s="10" t="s">
        <v>48</v>
      </c>
      <c r="D139" t="s">
        <v>522</v>
      </c>
      <c r="L139">
        <v>5</v>
      </c>
    </row>
    <row r="140" spans="1:16">
      <c r="A140" s="10" t="s">
        <v>154</v>
      </c>
      <c r="B140" s="10" t="s">
        <v>50</v>
      </c>
      <c r="C140" s="10" t="s">
        <v>48</v>
      </c>
      <c r="D140" t="s">
        <v>523</v>
      </c>
      <c r="K140">
        <v>357</v>
      </c>
      <c r="N140" s="27">
        <v>15</v>
      </c>
      <c r="O140" s="27">
        <v>20</v>
      </c>
      <c r="P140" s="27">
        <v>25</v>
      </c>
    </row>
    <row r="141" spans="1:16">
      <c r="A141" s="10" t="s">
        <v>154</v>
      </c>
      <c r="B141" s="10" t="s">
        <v>50</v>
      </c>
      <c r="C141" s="10" t="s">
        <v>48</v>
      </c>
      <c r="D141" t="s">
        <v>524</v>
      </c>
      <c r="K141">
        <v>2</v>
      </c>
      <c r="N141" s="27">
        <v>4</v>
      </c>
      <c r="O141" s="27">
        <v>5</v>
      </c>
      <c r="P141" s="27">
        <v>6</v>
      </c>
    </row>
    <row r="142" spans="1:16">
      <c r="A142" s="10" t="s">
        <v>154</v>
      </c>
      <c r="B142" s="10" t="s">
        <v>50</v>
      </c>
      <c r="C142" s="10" t="s">
        <v>48</v>
      </c>
      <c r="D142" t="s">
        <v>530</v>
      </c>
      <c r="K142">
        <v>250</v>
      </c>
      <c r="N142" s="27">
        <v>19</v>
      </c>
      <c r="O142" s="27">
        <v>12</v>
      </c>
      <c r="P142" s="27">
        <v>13</v>
      </c>
    </row>
    <row r="143" spans="1:16">
      <c r="A143" s="10" t="s">
        <v>154</v>
      </c>
      <c r="B143" s="10" t="s">
        <v>50</v>
      </c>
      <c r="C143" s="10" t="s">
        <v>48</v>
      </c>
      <c r="D143" t="s">
        <v>531</v>
      </c>
      <c r="K143">
        <v>100</v>
      </c>
      <c r="N143" s="27">
        <v>1</v>
      </c>
      <c r="O143" s="27">
        <v>2</v>
      </c>
      <c r="P143" s="27">
        <v>3</v>
      </c>
    </row>
    <row r="144" spans="1:16">
      <c r="A144" s="10" t="s">
        <v>154</v>
      </c>
      <c r="B144" s="10" t="s">
        <v>50</v>
      </c>
      <c r="C144" s="10" t="s">
        <v>48</v>
      </c>
      <c r="D144" t="s">
        <v>532</v>
      </c>
      <c r="K144">
        <v>75</v>
      </c>
      <c r="N144" s="27">
        <v>5</v>
      </c>
      <c r="O144" s="27">
        <v>6</v>
      </c>
      <c r="P144" s="27">
        <v>7</v>
      </c>
    </row>
    <row r="145" spans="1:17">
      <c r="A145" s="10" t="s">
        <v>154</v>
      </c>
      <c r="B145" s="10" t="s">
        <v>50</v>
      </c>
      <c r="C145" s="10" t="s">
        <v>48</v>
      </c>
      <c r="D145" t="s">
        <v>533</v>
      </c>
      <c r="L145">
        <v>10</v>
      </c>
    </row>
    <row r="146" spans="1:17">
      <c r="A146" s="10" t="s">
        <v>154</v>
      </c>
      <c r="B146" s="10" t="s">
        <v>50</v>
      </c>
      <c r="C146" s="10" t="s">
        <v>48</v>
      </c>
      <c r="D146" t="s">
        <v>534</v>
      </c>
      <c r="K146">
        <v>4500</v>
      </c>
      <c r="N146" s="27">
        <v>15</v>
      </c>
      <c r="O146" s="27">
        <v>20</v>
      </c>
      <c r="P146" s="27">
        <v>25</v>
      </c>
    </row>
    <row r="147" spans="1:17">
      <c r="A147" s="10" t="s">
        <v>154</v>
      </c>
      <c r="B147" s="10" t="s">
        <v>50</v>
      </c>
      <c r="C147" s="10" t="s">
        <v>48</v>
      </c>
      <c r="D147" t="s">
        <v>535</v>
      </c>
      <c r="K147">
        <v>34</v>
      </c>
      <c r="N147" s="27">
        <v>4</v>
      </c>
      <c r="O147" s="27">
        <v>5</v>
      </c>
      <c r="P147" s="27">
        <v>6</v>
      </c>
    </row>
    <row r="148" spans="1:17">
      <c r="A148" s="10" t="s">
        <v>154</v>
      </c>
      <c r="B148" s="10" t="s">
        <v>50</v>
      </c>
      <c r="C148" s="10" t="s">
        <v>48</v>
      </c>
      <c r="D148" t="s">
        <v>536</v>
      </c>
      <c r="M148">
        <v>26.34</v>
      </c>
    </row>
    <row r="149" spans="1:17">
      <c r="A149" s="10" t="s">
        <v>154</v>
      </c>
      <c r="B149" s="10" t="s">
        <v>50</v>
      </c>
      <c r="C149" s="10" t="s">
        <v>48</v>
      </c>
      <c r="D149" t="s">
        <v>593</v>
      </c>
      <c r="G149">
        <v>5</v>
      </c>
    </row>
    <row r="150" spans="1:17">
      <c r="A150" s="10" t="s">
        <v>154</v>
      </c>
      <c r="B150" s="10" t="s">
        <v>50</v>
      </c>
      <c r="C150" s="10" t="s">
        <v>48</v>
      </c>
      <c r="D150" t="s">
        <v>594</v>
      </c>
      <c r="G150">
        <v>3</v>
      </c>
    </row>
    <row r="151" spans="1:17">
      <c r="A151" s="10" t="s">
        <v>154</v>
      </c>
      <c r="B151" s="10" t="s">
        <v>50</v>
      </c>
      <c r="C151" s="10" t="s">
        <v>48</v>
      </c>
      <c r="D151" t="s">
        <v>595</v>
      </c>
      <c r="G151">
        <v>2</v>
      </c>
    </row>
    <row r="152" spans="1:17">
      <c r="A152" s="10" t="s">
        <v>154</v>
      </c>
      <c r="B152" s="10" t="s">
        <v>50</v>
      </c>
      <c r="C152" s="10" t="s">
        <v>48</v>
      </c>
      <c r="D152" t="s">
        <v>596</v>
      </c>
      <c r="G152">
        <v>1</v>
      </c>
    </row>
    <row r="153" spans="1:17">
      <c r="A153" s="10" t="s">
        <v>154</v>
      </c>
      <c r="B153" s="10" t="s">
        <v>50</v>
      </c>
      <c r="C153" s="10" t="s">
        <v>48</v>
      </c>
      <c r="D153" t="s">
        <v>597</v>
      </c>
      <c r="L153">
        <v>10</v>
      </c>
    </row>
    <row r="154" spans="1:17">
      <c r="A154" s="10" t="s">
        <v>154</v>
      </c>
      <c r="B154" s="10" t="s">
        <v>50</v>
      </c>
      <c r="C154" s="10" t="s">
        <v>48</v>
      </c>
      <c r="D154" s="10" t="s">
        <v>657</v>
      </c>
      <c r="E154" s="11"/>
      <c r="F154" s="11"/>
      <c r="G154" s="11"/>
      <c r="H154" s="11"/>
      <c r="I154" s="11"/>
      <c r="J154" s="11"/>
      <c r="K154" s="11">
        <v>6104</v>
      </c>
      <c r="L154" s="11">
        <v>2</v>
      </c>
      <c r="M154" s="27"/>
      <c r="Q154" s="27">
        <v>1.9499880000000001</v>
      </c>
    </row>
    <row r="155" spans="1:17">
      <c r="A155" s="10" t="s">
        <v>154</v>
      </c>
      <c r="B155" s="10" t="s">
        <v>50</v>
      </c>
      <c r="C155" s="10" t="s">
        <v>48</v>
      </c>
      <c r="D155" s="10" t="s">
        <v>658</v>
      </c>
      <c r="E155" s="11"/>
      <c r="F155" s="11"/>
      <c r="G155" s="11"/>
      <c r="H155" s="11"/>
      <c r="I155" s="11"/>
      <c r="J155" s="11"/>
      <c r="K155" s="11">
        <v>495</v>
      </c>
      <c r="L155" s="11">
        <v>2</v>
      </c>
      <c r="M155" s="27"/>
      <c r="Q155" s="27">
        <v>1.531164</v>
      </c>
    </row>
    <row r="156" spans="1:17">
      <c r="A156" s="10" t="s">
        <v>154</v>
      </c>
      <c r="B156" s="10" t="s">
        <v>50</v>
      </c>
      <c r="C156" s="10" t="s">
        <v>48</v>
      </c>
      <c r="D156" s="10" t="s">
        <v>659</v>
      </c>
      <c r="E156" s="11"/>
      <c r="F156" s="11"/>
      <c r="G156" s="11"/>
      <c r="H156" s="11"/>
      <c r="I156" s="11"/>
      <c r="J156" s="11"/>
      <c r="K156" s="11">
        <v>3299</v>
      </c>
      <c r="L156" s="11">
        <v>2</v>
      </c>
      <c r="M156" s="27"/>
      <c r="Q156" s="27">
        <v>1.7405759999999999</v>
      </c>
    </row>
    <row r="157" spans="1:17">
      <c r="A157" s="10" t="s">
        <v>154</v>
      </c>
      <c r="B157" s="10" t="s">
        <v>50</v>
      </c>
      <c r="C157" s="10" t="s">
        <v>48</v>
      </c>
      <c r="D157" s="10" t="s">
        <v>660</v>
      </c>
      <c r="E157" s="11"/>
      <c r="F157" s="11"/>
      <c r="G157" s="11"/>
      <c r="H157" s="11"/>
      <c r="I157" s="11"/>
      <c r="J157" s="11"/>
      <c r="K157" s="11">
        <v>2804</v>
      </c>
      <c r="L157" s="11">
        <v>2</v>
      </c>
      <c r="M157" s="27"/>
      <c r="Q157" s="27">
        <v>0.20941199999999999</v>
      </c>
    </row>
    <row r="158" spans="1:17">
      <c r="A158" s="10" t="s">
        <v>154</v>
      </c>
      <c r="B158" s="10" t="s">
        <v>50</v>
      </c>
      <c r="C158" s="10" t="s">
        <v>48</v>
      </c>
      <c r="D158" s="10" t="s">
        <v>661</v>
      </c>
      <c r="E158" s="11"/>
      <c r="F158" s="11"/>
      <c r="G158" s="11"/>
      <c r="H158" s="11"/>
      <c r="I158" s="11"/>
      <c r="J158" s="11"/>
      <c r="K158" s="11">
        <v>6599</v>
      </c>
      <c r="L158" s="11">
        <v>2</v>
      </c>
      <c r="M158" s="27"/>
      <c r="Q158" s="27">
        <v>3.4811519999999998</v>
      </c>
    </row>
    <row r="159" spans="1:17">
      <c r="A159" s="10" t="s">
        <v>154</v>
      </c>
      <c r="B159" s="10" t="s">
        <v>50</v>
      </c>
      <c r="C159" s="10" t="s">
        <v>48</v>
      </c>
      <c r="D159" s="10" t="s">
        <v>662</v>
      </c>
      <c r="Q159"/>
    </row>
    <row r="160" spans="1:17">
      <c r="A160" s="10" t="s">
        <v>154</v>
      </c>
      <c r="B160" s="10" t="s">
        <v>50</v>
      </c>
      <c r="C160" s="10" t="s">
        <v>48</v>
      </c>
      <c r="D160" s="10" t="s">
        <v>663</v>
      </c>
      <c r="E160" s="11"/>
      <c r="F160" s="11"/>
      <c r="G160" s="11"/>
      <c r="H160" s="11"/>
      <c r="I160" s="11"/>
      <c r="J160" s="11"/>
      <c r="K160" s="11">
        <v>1031</v>
      </c>
      <c r="L160" s="11">
        <v>1</v>
      </c>
      <c r="M160" s="27"/>
      <c r="Q160" s="27">
        <v>8.0669253152279339</v>
      </c>
    </row>
    <row r="161" spans="1:17">
      <c r="A161" s="10" t="s">
        <v>154</v>
      </c>
      <c r="B161" s="10" t="s">
        <v>50</v>
      </c>
      <c r="C161" s="10" t="s">
        <v>48</v>
      </c>
      <c r="D161" s="10" t="s">
        <v>664</v>
      </c>
      <c r="E161" s="11"/>
      <c r="F161" s="11"/>
      <c r="G161" s="11"/>
      <c r="H161" s="11"/>
      <c r="I161" s="11"/>
      <c r="J161" s="11"/>
      <c r="K161" s="11">
        <v>1031</v>
      </c>
      <c r="L161" s="11">
        <v>1</v>
      </c>
      <c r="M161" s="27"/>
      <c r="Q161" s="27">
        <v>8.0669253152279339</v>
      </c>
    </row>
    <row r="162" spans="1:17">
      <c r="A162" s="10" t="s">
        <v>154</v>
      </c>
      <c r="B162" s="10" t="s">
        <v>50</v>
      </c>
      <c r="C162" s="10" t="s">
        <v>48</v>
      </c>
      <c r="D162" s="10" t="s">
        <v>665</v>
      </c>
      <c r="E162" s="11"/>
      <c r="F162" s="11"/>
      <c r="G162" s="11"/>
      <c r="H162" s="11"/>
      <c r="I162" s="11"/>
      <c r="J162" s="11"/>
      <c r="K162" s="11">
        <v>1031</v>
      </c>
      <c r="L162" s="11">
        <v>1</v>
      </c>
      <c r="M162" s="27"/>
      <c r="Q162" s="27">
        <v>8.0669253152279339</v>
      </c>
    </row>
    <row r="163" spans="1:17">
      <c r="A163" s="10" t="s">
        <v>154</v>
      </c>
      <c r="B163" s="10" t="s">
        <v>50</v>
      </c>
      <c r="C163" s="10" t="s">
        <v>48</v>
      </c>
      <c r="D163" s="10" t="s">
        <v>666</v>
      </c>
      <c r="E163" s="11"/>
      <c r="F163" s="11"/>
      <c r="G163" s="11"/>
      <c r="H163" s="11"/>
      <c r="I163" s="11"/>
      <c r="J163" s="11"/>
      <c r="K163" s="11">
        <v>0</v>
      </c>
      <c r="L163" s="11">
        <v>1</v>
      </c>
      <c r="M163" s="27"/>
      <c r="Q163" s="27">
        <v>0</v>
      </c>
    </row>
    <row r="164" spans="1:17">
      <c r="A164" s="10" t="s">
        <v>154</v>
      </c>
      <c r="B164" s="10" t="s">
        <v>50</v>
      </c>
      <c r="C164" s="10" t="s">
        <v>48</v>
      </c>
      <c r="D164" s="10" t="s">
        <v>667</v>
      </c>
      <c r="E164" s="11"/>
      <c r="F164" s="11"/>
      <c r="G164" s="11"/>
      <c r="H164" s="11"/>
      <c r="I164" s="11"/>
      <c r="J164" s="11"/>
      <c r="K164" s="11">
        <v>1031</v>
      </c>
      <c r="L164" s="11">
        <v>1</v>
      </c>
      <c r="M164" s="27"/>
      <c r="Q164" s="27">
        <v>8.0669253152279339</v>
      </c>
    </row>
    <row r="165" spans="1:17">
      <c r="A165" s="10" t="s">
        <v>154</v>
      </c>
      <c r="B165" s="10" t="s">
        <v>50</v>
      </c>
      <c r="C165" s="10" t="s">
        <v>48</v>
      </c>
      <c r="D165" s="10" t="s">
        <v>668</v>
      </c>
      <c r="E165" s="11"/>
      <c r="F165" s="11"/>
      <c r="G165" s="11"/>
      <c r="H165" s="11"/>
      <c r="I165" s="11"/>
      <c r="J165" s="11"/>
      <c r="K165" s="11"/>
      <c r="L165" s="11">
        <v>1</v>
      </c>
      <c r="M165" s="27"/>
    </row>
    <row r="166" spans="1:17">
      <c r="A166" s="10" t="s">
        <v>154</v>
      </c>
      <c r="B166" s="10" t="s">
        <v>50</v>
      </c>
      <c r="C166" s="10" t="s">
        <v>48</v>
      </c>
      <c r="D166" s="10" t="s">
        <v>669</v>
      </c>
      <c r="E166" s="11"/>
      <c r="F166" s="11"/>
      <c r="G166" s="11"/>
      <c r="H166" s="11"/>
      <c r="I166" s="11"/>
      <c r="J166" s="11"/>
      <c r="K166" s="11">
        <v>6104</v>
      </c>
      <c r="L166" s="11">
        <v>3</v>
      </c>
      <c r="M166" s="27"/>
      <c r="Q166" s="27">
        <v>1.9499880000000001</v>
      </c>
    </row>
    <row r="167" spans="1:17">
      <c r="A167" s="10" t="s">
        <v>154</v>
      </c>
      <c r="B167" s="10" t="s">
        <v>50</v>
      </c>
      <c r="C167" s="10" t="s">
        <v>48</v>
      </c>
      <c r="D167" s="10" t="s">
        <v>670</v>
      </c>
      <c r="E167" s="11"/>
      <c r="F167" s="11"/>
      <c r="G167" s="11"/>
      <c r="H167" s="11"/>
      <c r="I167" s="11"/>
      <c r="J167" s="11"/>
      <c r="K167" s="11">
        <v>495</v>
      </c>
      <c r="L167" s="11">
        <v>3</v>
      </c>
      <c r="M167" s="27"/>
      <c r="Q167" s="27">
        <v>1.0016050000000001</v>
      </c>
    </row>
    <row r="168" spans="1:17">
      <c r="A168" s="10" t="s">
        <v>154</v>
      </c>
      <c r="B168" s="10" t="s">
        <v>50</v>
      </c>
      <c r="C168" s="10" t="s">
        <v>48</v>
      </c>
      <c r="D168" s="10" t="s">
        <v>671</v>
      </c>
      <c r="E168" s="11"/>
      <c r="F168" s="11"/>
      <c r="G168" s="11"/>
      <c r="H168" s="11"/>
      <c r="I168" s="11"/>
      <c r="J168" s="11"/>
      <c r="K168" s="11">
        <v>2452</v>
      </c>
      <c r="L168" s="11">
        <v>3</v>
      </c>
      <c r="M168" s="27"/>
      <c r="Q168" s="27">
        <v>1.4942523333333335</v>
      </c>
    </row>
    <row r="169" spans="1:17">
      <c r="A169" s="10" t="s">
        <v>154</v>
      </c>
      <c r="B169" s="10" t="s">
        <v>50</v>
      </c>
      <c r="C169" s="10" t="s">
        <v>48</v>
      </c>
      <c r="D169" s="10" t="s">
        <v>672</v>
      </c>
      <c r="E169" s="11"/>
      <c r="F169" s="11"/>
      <c r="G169" s="11"/>
      <c r="H169" s="11"/>
      <c r="I169" s="11"/>
      <c r="J169" s="11"/>
      <c r="K169" s="11">
        <v>2584</v>
      </c>
      <c r="L169" s="11">
        <v>3</v>
      </c>
      <c r="M169" s="27"/>
      <c r="Q169" s="27">
        <v>0.38805449103988199</v>
      </c>
    </row>
    <row r="170" spans="1:17">
      <c r="A170" s="10" t="s">
        <v>154</v>
      </c>
      <c r="B170" s="10" t="s">
        <v>50</v>
      </c>
      <c r="C170" s="10" t="s">
        <v>48</v>
      </c>
      <c r="D170" s="10" t="s">
        <v>673</v>
      </c>
      <c r="E170" s="11"/>
      <c r="F170" s="11"/>
      <c r="G170" s="11"/>
      <c r="H170" s="11"/>
      <c r="I170" s="11"/>
      <c r="J170" s="11"/>
      <c r="K170" s="11">
        <v>7356</v>
      </c>
      <c r="L170" s="11">
        <v>3</v>
      </c>
      <c r="M170" s="27"/>
      <c r="Q170" s="27">
        <v>4.4827570000000003</v>
      </c>
    </row>
    <row r="171" spans="1:17">
      <c r="A171" s="10" t="s">
        <v>154</v>
      </c>
      <c r="B171" s="10" t="s">
        <v>50</v>
      </c>
      <c r="C171" s="10" t="s">
        <v>48</v>
      </c>
      <c r="D171" t="s">
        <v>686</v>
      </c>
      <c r="K171" s="5">
        <v>8345</v>
      </c>
      <c r="L171" s="11">
        <v>3</v>
      </c>
    </row>
    <row r="172" spans="1:17">
      <c r="A172" s="10" t="s">
        <v>154</v>
      </c>
      <c r="B172" s="10" t="s">
        <v>50</v>
      </c>
      <c r="C172" s="10" t="s">
        <v>48</v>
      </c>
      <c r="D172" t="s">
        <v>687</v>
      </c>
      <c r="K172" s="11">
        <v>345</v>
      </c>
      <c r="L172" s="11">
        <v>3</v>
      </c>
    </row>
    <row r="173" spans="1:17">
      <c r="A173" s="10" t="s">
        <v>154</v>
      </c>
      <c r="B173" s="10" t="s">
        <v>50</v>
      </c>
      <c r="C173" s="10" t="s">
        <v>48</v>
      </c>
      <c r="D173" t="s">
        <v>688</v>
      </c>
      <c r="K173" s="11">
        <v>4567</v>
      </c>
      <c r="L173" s="11">
        <v>3</v>
      </c>
    </row>
    <row r="174" spans="1:17">
      <c r="A174" s="10" t="s">
        <v>154</v>
      </c>
      <c r="B174" s="10" t="s">
        <v>50</v>
      </c>
      <c r="C174" s="10" t="s">
        <v>48</v>
      </c>
      <c r="D174" t="s">
        <v>689</v>
      </c>
      <c r="K174" s="11">
        <v>34</v>
      </c>
      <c r="L174" s="11">
        <v>4</v>
      </c>
    </row>
    <row r="175" spans="1:17">
      <c r="A175" s="10" t="s">
        <v>154</v>
      </c>
      <c r="B175" s="10" t="s">
        <v>50</v>
      </c>
      <c r="C175" s="10" t="s">
        <v>48</v>
      </c>
      <c r="D175" t="s">
        <v>696</v>
      </c>
      <c r="K175" s="5">
        <v>7890</v>
      </c>
      <c r="L175" s="11">
        <v>4</v>
      </c>
    </row>
    <row r="176" spans="1:17">
      <c r="A176" s="10" t="s">
        <v>154</v>
      </c>
      <c r="B176" s="10" t="s">
        <v>50</v>
      </c>
      <c r="C176" s="10" t="s">
        <v>48</v>
      </c>
      <c r="D176" t="s">
        <v>697</v>
      </c>
      <c r="K176" s="11">
        <v>234</v>
      </c>
      <c r="L176" s="11">
        <v>4</v>
      </c>
    </row>
    <row r="177" spans="1:18">
      <c r="A177" s="10" t="s">
        <v>154</v>
      </c>
      <c r="B177" s="10" t="s">
        <v>50</v>
      </c>
      <c r="C177" s="10" t="s">
        <v>48</v>
      </c>
      <c r="D177" t="s">
        <v>698</v>
      </c>
      <c r="K177" s="11">
        <v>3456</v>
      </c>
      <c r="L177" s="11">
        <v>4</v>
      </c>
    </row>
    <row r="178" spans="1:18">
      <c r="A178" s="10" t="s">
        <v>154</v>
      </c>
      <c r="B178" s="10" t="s">
        <v>50</v>
      </c>
      <c r="C178" s="10" t="s">
        <v>48</v>
      </c>
      <c r="D178" t="s">
        <v>699</v>
      </c>
      <c r="K178" s="11">
        <v>45</v>
      </c>
      <c r="L178" s="11">
        <v>4</v>
      </c>
    </row>
    <row r="179" spans="1:18" s="10" customFormat="1">
      <c r="A179" s="10" t="s">
        <v>154</v>
      </c>
      <c r="B179" s="10" t="s">
        <v>50</v>
      </c>
      <c r="C179" s="10" t="s">
        <v>48</v>
      </c>
      <c r="D179" s="10" t="s">
        <v>755</v>
      </c>
      <c r="E179" s="11"/>
      <c r="F179" s="11"/>
      <c r="G179" s="11"/>
      <c r="H179" s="11"/>
      <c r="I179" s="11"/>
      <c r="J179" s="11"/>
      <c r="K179" s="11"/>
      <c r="L179" s="11">
        <v>16</v>
      </c>
      <c r="M179" s="27"/>
      <c r="N179" s="27"/>
      <c r="O179" s="27"/>
      <c r="P179" s="27"/>
      <c r="Q179" s="27"/>
      <c r="R179" s="10">
        <v>129</v>
      </c>
    </row>
    <row r="180" spans="1:18" s="10" customFormat="1">
      <c r="A180" s="10" t="s">
        <v>154</v>
      </c>
      <c r="B180" s="10" t="s">
        <v>50</v>
      </c>
      <c r="C180" s="10" t="s">
        <v>48</v>
      </c>
      <c r="D180" s="10" t="s">
        <v>756</v>
      </c>
      <c r="E180" s="11"/>
      <c r="F180" s="11"/>
      <c r="G180" s="11"/>
      <c r="H180" s="11"/>
      <c r="I180" s="11"/>
      <c r="J180" s="11"/>
      <c r="K180" s="11"/>
      <c r="L180" s="11">
        <v>2</v>
      </c>
      <c r="M180" s="27"/>
      <c r="N180" s="27"/>
      <c r="O180" s="27"/>
      <c r="P180" s="27"/>
      <c r="Q180" s="27"/>
      <c r="R180" s="10">
        <v>109</v>
      </c>
    </row>
  </sheetData>
  <autoFilter ref="A1:M170"/>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7">
        <v>1</v>
      </c>
      <c r="H2" s="27">
        <v>3</v>
      </c>
      <c r="I2" s="27">
        <v>10</v>
      </c>
      <c r="J2" s="27">
        <v>20</v>
      </c>
      <c r="K2" s="27">
        <v>29</v>
      </c>
      <c r="L2" s="27">
        <v>0</v>
      </c>
      <c r="M2" s="27">
        <v>35</v>
      </c>
    </row>
    <row r="3" spans="1:13">
      <c r="A3" s="10" t="s">
        <v>350</v>
      </c>
      <c r="B3" s="10" t="s">
        <v>50</v>
      </c>
      <c r="C3" s="22" t="s">
        <v>48</v>
      </c>
      <c r="D3" s="22" t="s">
        <v>47</v>
      </c>
      <c r="E3" s="10" t="s">
        <v>49</v>
      </c>
      <c r="F3" s="10" t="s">
        <v>352</v>
      </c>
      <c r="G3" s="27">
        <v>0.17899999999999999</v>
      </c>
      <c r="H3" s="27">
        <v>0.44600000000000001</v>
      </c>
      <c r="I3" s="27">
        <v>1.109</v>
      </c>
      <c r="J3" s="27">
        <v>1.597</v>
      </c>
      <c r="K3" s="27">
        <v>2.2989999999999999</v>
      </c>
      <c r="L3" s="27">
        <v>1.4999999999999999E-2</v>
      </c>
      <c r="M3" s="27">
        <v>4055.2689999999998</v>
      </c>
    </row>
    <row r="4" spans="1:13">
      <c r="A4" s="10" t="s">
        <v>350</v>
      </c>
      <c r="B4" s="10" t="s">
        <v>50</v>
      </c>
      <c r="C4" s="22" t="s">
        <v>48</v>
      </c>
      <c r="D4" s="22" t="s">
        <v>47</v>
      </c>
      <c r="E4" s="10" t="s">
        <v>49</v>
      </c>
      <c r="F4" s="10" t="s">
        <v>353</v>
      </c>
      <c r="G4" s="27">
        <v>150.04499999999999</v>
      </c>
      <c r="H4" s="27">
        <v>178</v>
      </c>
      <c r="I4" s="27">
        <v>195</v>
      </c>
      <c r="J4" s="27">
        <v>210</v>
      </c>
      <c r="K4" s="27">
        <v>220</v>
      </c>
      <c r="L4" s="27">
        <v>75.23</v>
      </c>
      <c r="M4" s="27">
        <v>235.67</v>
      </c>
    </row>
    <row r="5" spans="1:13">
      <c r="A5" s="10" t="s">
        <v>350</v>
      </c>
      <c r="B5" s="10" t="s">
        <v>50</v>
      </c>
      <c r="C5" s="22" t="s">
        <v>48</v>
      </c>
      <c r="D5" s="22" t="s">
        <v>47</v>
      </c>
      <c r="E5" s="10" t="s">
        <v>49</v>
      </c>
      <c r="F5" s="10" t="s">
        <v>354</v>
      </c>
      <c r="G5" s="27">
        <v>8.4064483642578125E-2</v>
      </c>
      <c r="H5" s="27">
        <v>0.12105369567871094</v>
      </c>
      <c r="I5" s="27">
        <v>0.20918083190917969</v>
      </c>
      <c r="J5" s="27">
        <v>0.30121994018554688</v>
      </c>
      <c r="K5" s="27">
        <v>0.36146354675292969</v>
      </c>
      <c r="L5" s="27">
        <v>1.828193664550781E-3</v>
      </c>
      <c r="M5" s="27">
        <v>1.8650684356689453</v>
      </c>
    </row>
    <row r="6" spans="1:13">
      <c r="A6" s="10" t="s">
        <v>350</v>
      </c>
      <c r="B6" s="10" t="s">
        <v>50</v>
      </c>
      <c r="C6" s="22" t="s">
        <v>48</v>
      </c>
      <c r="D6" s="22" t="s">
        <v>47</v>
      </c>
      <c r="E6" s="10" t="s">
        <v>49</v>
      </c>
      <c r="F6" s="10" t="s">
        <v>355</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51</vt:i4>
      </vt:variant>
    </vt:vector>
  </HeadingPairs>
  <TitlesOfParts>
    <vt:vector size="51"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2017-06-08T20:17:41Z</dcterms:modified>
</cp:coreProperties>
</file>