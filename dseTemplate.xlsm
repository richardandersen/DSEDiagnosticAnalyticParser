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3.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94.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pivotTables/pivotTable202.xml" ContentType="application/vnd.openxmlformats-officedocument.spreadsheetml.pivotTable+xml"/>
  <Override PartName="/xl/pivotTables/pivotTable203.xml" ContentType="application/vnd.openxmlformats-officedocument.spreadsheetml.pivotTable+xml"/>
  <Override PartName="/xl/pivotTables/pivotTable204.xml" ContentType="application/vnd.openxmlformats-officedocument.spreadsheetml.pivotTable+xml"/>
  <Override PartName="/xl/pivotTables/pivotTable205.xml" ContentType="application/vnd.openxmlformats-officedocument.spreadsheetml.pivotTable+xml"/>
  <Override PartName="/xl/pivotTables/pivotTable206.xml" ContentType="application/vnd.openxmlformats-officedocument.spreadsheetml.pivotTable+xml"/>
  <Override PartName="/xl/pivotTables/pivotTable207.xml" ContentType="application/vnd.openxmlformats-officedocument.spreadsheetml.pivotTable+xml"/>
  <Override PartName="/xl/pivotTables/pivotTable208.xml" ContentType="application/vnd.openxmlformats-officedocument.spreadsheetml.pivotTable+xml"/>
  <Override PartName="/xl/pivotTables/pivotTable209.xml" ContentType="application/vnd.openxmlformats-officedocument.spreadsheetml.pivotTable+xml"/>
  <Override PartName="/xl/pivotTables/pivotTable210.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hidePivotFieldList="1"/>
  <mc:AlternateContent xmlns:mc="http://schemas.openxmlformats.org/markup-compatibility/2006">
    <mc:Choice Requires="x15">
      <x15ac:absPath xmlns:x15ac="http://schemas.microsoft.com/office/spreadsheetml/2010/11/ac" url="D:\Users\RichardAndersen\Documents\Projects\DataStax\GitRepro\DSEDiagnosticAnalyticParser\"/>
    </mc:Choice>
  </mc:AlternateContent>
  <bookViews>
    <workbookView xWindow="0" yWindow="38400" windowWidth="25812" windowHeight="1134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memtable Flush Node Chart" sheetId="72" r:id="rId30"/>
    <sheet name="Compaction" sheetId="19" r:id="rId31"/>
    <sheet name="Compaction by Node" sheetId="30" r:id="rId32"/>
    <sheet name="Compaction Node Chart" sheetId="73" r:id="rId33"/>
    <sheet name="AntiCompaction" sheetId="51" r:id="rId34"/>
    <sheet name="AntiCompaction by Node" sheetId="53" r:id="rId35"/>
    <sheet name="Concurrent CompactionFlushes" sheetId="60" r:id="rId36"/>
    <sheet name="Concurrent Node Chart" sheetId="74" r:id="rId37"/>
    <sheet name="Droppable" sheetId="26" r:id="rId38"/>
    <sheet name="Hints" sheetId="50" r:id="rId39"/>
    <sheet name="Batches" sheetId="33" r:id="rId40"/>
    <sheet name="Histogram - Read" sheetId="36" r:id="rId41"/>
    <sheet name="Histogram - SSTables" sheetId="45" r:id="rId42"/>
    <sheet name="Histogram - Write" sheetId="37" r:id="rId43"/>
    <sheet name="Histogram - Cell Counts" sheetId="38" r:id="rId44"/>
    <sheet name="Histogram - Partition" sheetId="44" r:id="rId45"/>
    <sheet name="Cassandra Log Exceptions" sheetId="47" r:id="rId46"/>
    <sheet name="Log Events State by Node" sheetId="68" r:id="rId47"/>
    <sheet name="Log Events Graph by Node" sheetId="66" r:id="rId48"/>
    <sheet name="Log Events Graph by Catagory" sheetId="67" r:id="rId49"/>
    <sheet name="Cassandra Summary Logs" sheetId="39" r:id="rId50"/>
    <sheet name="Solr" sheetId="54" r:id="rId51"/>
    <sheet name="Solr by Node" sheetId="55" r:id="rId52"/>
    <sheet name="Solr Index Sizes" sheetId="70" r:id="rId53"/>
    <sheet name="Solr Index Sizes Ratios" sheetId="71" r:id="rId54"/>
    <sheet name="Application" sheetId="27" r:id="rId55"/>
    <sheet name="--Marker--" sheetId="42" r:id="rId56"/>
    <sheet name="Read Repair History" sheetId="49" r:id="rId57"/>
    <sheet name="CFStats" sheetId="4" r:id="rId58"/>
    <sheet name="NodeStats" sheetId="16" r:id="rId59"/>
    <sheet name="TableHistogram" sheetId="32" r:id="rId60"/>
  </sheets>
  <functionGroups builtInGroupCount="18"/>
  <definedNames>
    <definedName name="_xlnm._FilterDatabase" localSheetId="49" hidden="1">'Cassandra Summary Logs'!$A$2:$H$2</definedName>
    <definedName name="_xlnm._FilterDatabase" localSheetId="57" hidden="1">CFStats!$A$1:$K$151</definedName>
    <definedName name="_xlnm._FilterDatabase" localSheetId="6" hidden="1">'DDL Keyspaces'!$A$1:$E$1</definedName>
    <definedName name="_xlnm._FilterDatabase" localSheetId="58" hidden="1">NodeStats!$A$1:$M$170</definedName>
    <definedName name="_xlnm._FilterDatabase" localSheetId="5" hidden="1">'Settings-Yamls'!$A$1:$E$1</definedName>
    <definedName name="_xlnm._FilterDatabase" localSheetId="59"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61"/>
    <pivotCache cacheId="1" r:id="rId62"/>
    <pivotCache cacheId="2" r:id="rId63"/>
    <pivotCache cacheId="3" r:id="rId64"/>
    <pivotCache cacheId="4" r:id="rId65"/>
    <pivotCache cacheId="5" r:id="rId66"/>
    <pivotCache cacheId="6" r:id="rId67"/>
  </pivotCaches>
  <extLst>
    <ext xmlns:x14="http://schemas.microsoft.com/office/spreadsheetml/2009/9/main" uri="{BBE1A952-AA13-448e-AADC-164F8A28A991}">
      <x14:slicerCaches>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 r:id="rId89"/>
        <x14:slicerCache r:id="rId90"/>
        <x14:slicerCache r:id="rId91"/>
      </x14:slicerCaches>
    </ext>
    <ext xmlns:x14="http://schemas.microsoft.com/office/spreadsheetml/2009/9/main" uri="{79F54976-1DA5-4618-B147-4CDE4B953A38}">
      <x14:workbookPr/>
    </ext>
  </extLst>
</workbook>
</file>

<file path=xl/calcChain.xml><?xml version="1.0" encoding="utf-8"?>
<calcChain xmlns="http://schemas.openxmlformats.org/spreadsheetml/2006/main">
  <c r="F9" i="71" l="1"/>
  <c r="G10" i="70"/>
  <c r="H10" i="70" s="1"/>
  <c r="G9" i="70"/>
  <c r="H9" i="70" s="1"/>
  <c r="P12" i="70"/>
  <c r="Q12" i="70" s="1"/>
  <c r="P11" i="70"/>
  <c r="Q11" i="70" s="1"/>
  <c r="J11" i="70"/>
  <c r="J5" i="69" l="1"/>
  <c r="G5" i="69" l="1"/>
  <c r="E11" i="47" l="1"/>
  <c r="D11" i="47"/>
  <c r="B8" i="65"/>
  <c r="A8" i="65"/>
  <c r="E10" i="47" l="1"/>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<sst xmlns="http://schemas.openxmlformats.org/spreadsheetml/2006/main" count="5650" uniqueCount="871">
  <si>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</si>
  <si>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</si>
  <si>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</si>
  <si>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</si>
  <si>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</si>
  <si>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</si>
  <si>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</si>
  <si>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</si>
  <si>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</si>
  <si>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</si>
  <si>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</si>
  <si>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</si>
  <si>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</si>
  <si>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</si>
  <si>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</si>
  <si>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</si>
  <si>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</si>
  <si>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</si>
  <si>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</si>
  <si>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</si>
  <si>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</si>
  <si>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</si>
  <si>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</si>
  <si>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</si>
  <si>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</si>
  <si>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</si>
  <si>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</si>
  <si>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</si>
  <si>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</si>
  <si>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</si>
  <si>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</si>
  <si>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</si>
  <si>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</si>
  <si>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</si>
  <si>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</si>
  <si>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</si>
  <si>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</si>
  <si>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</si>
  <si>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</si>
  <si>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</si>
  <si>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</si>
  <si>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</si>
  <si>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</si>
  <si>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</si>
  <si>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</si>
  <si>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</si>
  <si>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</si>
  <si>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</si>
  <si>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</si>
  <si>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</si>
  <si>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</si>
  <si>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</si>
  <si>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</si>
  <si>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</si>
  <si>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</si>
  <si>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</si>
  <si>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</si>
  <si>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</si>
  <si>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</si>
  <si>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</si>
  <si>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</si>
  <si>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</si>
  <si>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</si>
  <si>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</si>
  <si>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</si>
  <si>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</si>
  <si>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</si>
  <si>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</si>
  <si>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</si>
  <si>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</si>
  <si>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</si>
  <si>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</si>
  <si>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</si>
  <si>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</si>
  <si>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</si>
  <si>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</si>
  <si>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</si>
  <si>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</si>
  <si>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</si>
  <si>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</si>
  <si>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</si>
  <si>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</si>
  <si>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</si>
  <si>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</si>
  <si>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</si>
  <si>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</si>
  <si>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</si>
  <si>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</si>
  <si>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</si>
  <si>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</si>
  <si>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</si>
  <si>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</si>
  <si>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</si>
  <si>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</si>
  <si>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</si>
  <si>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</si>
  <si>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</si>
  <si>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</si>
  <si>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</si>
  <si>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</si>
  <si>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</si>
  <si>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</si>
  <si>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</si>
  <si>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</si>
  <si>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</si>
  <si>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</si>
  <si>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</si>
  <si>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</si>
  <si>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</si>
  <si>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</si>
  <si>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</si>
  <si>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</si>
  <si>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</si>
  <si>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</si>
  <si>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</si>
  <si>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</si>
  <si>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</si>
  <si>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</si>
  <si>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</si>
  <si>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</si>
  <si>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</si>
  <si>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</si>
  <si>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</si>
  <si>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</si>
  <si>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</si>
  <si>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</si>
  <si>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</si>
  <si>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</si>
  <si>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</si>
  <si>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</si>
  <si>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</si>
  <si>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</si>
  <si>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</si>
  <si>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</si>
  <si>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</si>
  <si>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</si>
  <si>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</si>
  <si>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</si>
  <si>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</si>
  <si>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</si>
  <si>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</si>
  <si>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</si>
  <si>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</si>
  <si>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</si>
  <si>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</si>
  <si>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</si>
  <si>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</si>
  <si>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</si>
  <si>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</si>
  <si>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</si>
  <si>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</si>
  <si>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</si>
  <si>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</si>
  <si>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</si>
  <si>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</si>
  <si>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</si>
  <si>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</si>
  <si>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</si>
  <si>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</si>
  <si>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</si>
  <si>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</si>
  <si>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</si>
  <si>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</si>
  <si>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</si>
  <si>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</si>
  <si>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</si>
  <si>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</si>
  <si>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</si>
  <si>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</si>
  <si>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</si>
  <si>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</si>
  <si>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</si>
  <si>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</si>
  <si>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</si>
  <si>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</si>
  <si>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</si>
  <si>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</si>
  <si>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</si>
  <si>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</si>
  <si>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</si>
  <si>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</si>
  <si>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</si>
  <si>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</si>
  <si>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</si>
  <si>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</si>
  <si>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</si>
  <si>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</si>
  <si>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</si>
  <si>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</si>
  <si>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</si>
  <si>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</si>
  <si>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</si>
  <si>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</si>
  <si>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</si>
  <si>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</si>
  <si>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</si>
  <si>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</si>
  <si>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</si>
  <si>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</si>
  <si>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</si>
  <si>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</si>
  <si>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</si>
  <si>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</si>
  <si>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</si>
  <si>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</si>
  <si>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</si>
  <si>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</si>
  <si>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</si>
  <si>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</si>
  <si>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</si>
  <si>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</si>
  <si>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</si>
  <si>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</si>
  <si>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</si>
  <si>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</si>
  <si>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</si>
  <si>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</si>
  <si>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</si>
  <si>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</si>
  <si>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</si>
  <si>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</si>
  <si>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</si>
  <si>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</si>
  <si>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</si>
  <si>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</si>
  <si>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</si>
  <si>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</si>
  <si>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</si>
  <si>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</si>
  <si>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</si>
  <si>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</si>
  <si>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</si>
  <si>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</si>
  <si>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</si>
  <si>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</si>
  <si>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</si>
  <si>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</si>
  <si>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</si>
  <si>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</si>
  <si>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</si>
  <si>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</si>
  <si>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</si>
  <si>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</si>
  <si>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</si>
  <si>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</si>
  <si>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</si>
  <si>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</si>
  <si>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</si>
  <si>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</si>
  <si>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</si>
  <si>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</si>
  <si>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</si>
  <si>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</si>
  <si>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</si>
  <si>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</si>
  <si>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</si>
  <si>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</si>
  <si>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</si>
  <si>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</si>
  <si>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</si>
  <si>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</si>
  <si>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</si>
  <si>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</si>
  <si>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</si>
  <si>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</si>
  <si>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</si>
  <si>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</si>
  <si>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</si>
  <si>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</si>
  <si>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</si>
  <si>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</si>
  <si>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</si>
  <si>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</si>
  <si>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</si>
  <si>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</si>
  <si>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</si>
  <si>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</si>
  <si>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</si>
  <si>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</si>
  <si>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</si>
  <si>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</si>
  <si>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</si>
  <si>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</si>
  <si>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</si>
  <si>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</si>
  <si>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</si>
  <si>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</si>
  <si>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</si>
  <si>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</si>
  <si>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</si>
  <si>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</si>
  <si>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</si>
  <si>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</si>
  <si>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</si>
  <si>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</si>
  <si>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</si>
  <si>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</si>
  <si>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</si>
  <si>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</si>
  <si>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</si>
  <si>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</si>
  <si>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</si>
  <si>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</si>
  <si>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</si>
  <si>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</si>
  <si>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</si>
  <si>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</si>
  <si>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</si>
  <si>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</si>
  <si>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</si>
  <si>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</si>
  <si>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</si>
  <si>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</si>
  <si>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</si>
  <si>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</si>
  <si>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</si>
  <si>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</si>
  <si>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</si>
  <si>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</si>
  <si>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</si>
  <si>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</si>
  <si>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</si>
  <si>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</si>
  <si>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</si>
  <si>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</si>
  <si>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</si>
  <si>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</si>
  <si>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</si>
  <si>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</si>
  <si>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</si>
  <si>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</si>
  <si>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</si>
  <si>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</si>
  <si>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</si>
  <si>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</si>
  <si>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</si>
  <si>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</si>
  <si>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</si>
  <si>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</si>
  <si>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</si>
  <si>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</si>
  <si>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</si>
  <si>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</si>
  <si>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</si>
  <si>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</si>
  <si>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</si>
  <si>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</si>
  <si>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</si>
  <si>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</si>
  <si>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</si>
  <si>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</si>
  <si>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</si>
  <si>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</si>
  <si>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</si>
  <si>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</si>
  <si>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</si>
  <si>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</si>
  <si>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</si>
  <si>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</si>
  <si>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</si>
  <si>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</si>
  <si>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</si>
  <si>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</si>
  <si>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</si>
  <si>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</si>
  <si>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</si>
  <si>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</si>
  <si>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</si>
  <si>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</si>
  <si>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</si>
  <si>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</si>
  <si>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</si>
  <si>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</si>
  <si>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</si>
  <si>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</si>
  <si>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</si>
  <si>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</si>
  <si>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</si>
  <si>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</si>
  <si>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</si>
  <si>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</si>
  <si>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</si>
  <si>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</si>
  <si>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</si>
  <si>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</si>
  <si>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</si>
  <si>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</si>
  <si>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</si>
  <si>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</si>
  <si>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</si>
  <si>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</si>
  <si>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</si>
  <si>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</si>
  <si>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</si>
  <si>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</si>
  <si>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</si>
  <si>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</si>
  <si>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</si>
  <si>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</si>
  <si>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</si>
  <si>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</si>
  <si>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</si>
  <si>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</si>
  <si>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</si>
  <si>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</si>
  <si>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</si>
  <si>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</si>
  <si>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</si>
  <si>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</si>
  <si>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</si>
  <si>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</si>
  <si>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</si>
  <si>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</si>
  <si>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</si>
  <si>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</si>
  <si>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</si>
  <si>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</si>
  <si>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</si>
  <si>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</si>
  <si>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</si>
  <si>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</si>
  <si>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</si>
  <si>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</si>
  <si>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</si>
  <si>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</si>
  <si>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</si>
  <si>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</si>
  <si>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</si>
  <si>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</si>
  <si>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</si>
  <si>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</si>
  <si>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</si>
  <si>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</si>
  <si>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</si>
  <si>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</si>
  <si>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</si>
  <si>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</si>
  <si>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</si>
  <si>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</si>
  <si>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</si>
  <si>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</si>
  <si>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</si>
  <si>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</si>
  <si>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</si>
  <si>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</si>
  <si>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</si>
  <si>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</si>
  <si>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</si>
  <si>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</si>
  <si>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</si>
  <si>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</si>
  <si>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</si>
  <si>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</si>
  <si>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</si>
  <si>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</si>
  <si>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</si>
  <si>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</si>
  <si>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</si>
  <si>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</si>
  <si>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</si>
  <si>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</si>
  <si>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</si>
  <si>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</si>
  <si>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</si>
  <si>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</si>
  <si>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</si>
  <si>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</si>
  <si>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</si>
  <si>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</si>
  <si>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</si>
  <si>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</si>
  <si>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</si>
  <si>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</si>
  <si>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</si>
  <si>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</si>
  <si>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</si>
  <si>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</si>
  <si>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</si>
  <si>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</si>
  <si>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</si>
  <si>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</si>
  <si>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</si>
  <si>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</si>
  <si>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</si>
  <si>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</si>
  <si>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</si>
  <si>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</si>
  <si>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</si>
  <si>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</si>
  <si>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</si>
  <si>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</si>
  <si>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</si>
  <si>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</si>
  <si>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</si>
  <si>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</si>
  <si>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</si>
  <si>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</si>
  <si>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</si>
  <si>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</si>
  <si>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</si>
  <si>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</si>
  <si>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</si>
  <si>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</si>
  <si>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</si>
  <si>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</si>
  <si>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</si>
  <si>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</si>
  <si>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</si>
  <si>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</si>
  <si>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</si>
  <si>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</si>
  <si>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</si>
  <si>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</si>
  <si>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</si>
  <si>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</si>
  <si>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</si>
  <si>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</si>
  <si>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</si>
  <si>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</si>
  <si>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</si>
  <si>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</si>
  <si>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</si>
  <si>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</si>
  <si>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</si>
  <si>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</si>
  <si>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</si>
  <si>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</si>
  <si>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</si>
  <si>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</si>
  <si>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</si>
  <si>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</si>
  <si>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</si>
  <si>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</si>
  <si>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</si>
  <si>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</si>
  <si>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</si>
  <si>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</si>
  <si>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</si>
  <si>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</si>
  <si>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</si>
  <si>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</si>
  <si>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</si>
  <si>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</si>
  <si>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</si>
  <si>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</si>
  <si>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</si>
  <si>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</si>
  <si>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</si>
  <si>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</si>
  <si>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</si>
  <si>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</si>
  <si>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</si>
  <si>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</si>
  <si>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</si>
  <si>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</si>
  <si>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</si>
  <si>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</si>
  <si>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</si>
  <si>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</si>
  <si>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</si>
  <si>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</si>
  <si>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</si>
  <si>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</si>
  <si>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</si>
  <si>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</si>
  <si>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</si>
  <si>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</si>
  <si>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</si>
  <si>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</si>
  <si>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</si>
  <si>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</si>
  <si>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</si>
  <si>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</si>
  <si>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</si>
  <si>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</si>
  <si>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</si>
  <si>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</si>
  <si>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</si>
  <si>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</si>
  <si>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</si>
  <si>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</si>
  <si>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</si>
  <si>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</si>
  <si>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</si>
  <si>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</si>
  <si>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</si>
  <si>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</si>
  <si>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</si>
  <si>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</si>
  <si>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</si>
  <si>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</si>
  <si>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</si>
  <si>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</si>
  <si>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</si>
  <si>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</si>
  <si>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</si>
  <si>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</si>
  <si>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</si>
  <si>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</si>
  <si>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</si>
  <si>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</si>
  <si>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</si>
  <si>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</si>
  <si>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</si>
  <si>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</si>
  <si>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</si>
  <si>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</si>
  <si>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</si>
  <si>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</si>
  <si>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</si>
  <si>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</si>
  <si>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</si>
  <si>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</si>
  <si>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</si>
  <si>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</si>
  <si>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</si>
  <si>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</si>
  <si>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</si>
  <si>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</si>
  <si>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</si>
  <si>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</si>
  <si>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</si>
  <si>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</si>
  <si>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</si>
  <si>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</si>
  <si>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</si>
  <si>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</si>
  <si>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</si>
  <si>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</si>
  <si>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</si>
  <si>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</si>
  <si>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</si>
  <si>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</si>
  <si>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</si>
  <si>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</si>
  <si>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</si>
  <si>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</si>
  <si>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</si>
  <si>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</si>
  <si>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</si>
  <si>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</si>
  <si>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</si>
  <si>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</si>
  <si>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</si>
  <si>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</si>
  <si>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</si>
  <si>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</si>
  <si>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</si>
  <si>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</si>
  <si>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</si>
  <si>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</si>
  <si>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</si>
  <si>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</si>
  <si>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</si>
  <si>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</si>
  <si>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</si>
  <si>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</si>
  <si>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</si>
  <si>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</si>
  <si>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</si>
  <si>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</si>
  <si>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</si>
  <si>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</si>
  <si>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</si>
  <si>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</si>
  <si>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</si>
  <si>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</si>
  <si>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</si>
  <si>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</si>
  <si>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</si>
  <si>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</si>
  <si>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</si>
  <si>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</si>
  <si>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</si>
  <si>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</si>
  <si>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</si>
  <si>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</si>
  <si>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</si>
  <si>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</si>
  <si>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</si>
  <si>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</si>
  <si>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</si>
  <si>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</si>
  <si>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</si>
  <si>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</si>
  <si>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</si>
  <si>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</si>
  <si>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</si>
  <si>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</si>
  <si>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</si>
  <si>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</si>
  <si>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</si>
  <si>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</si>
  <si>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</si>
  <si>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</si>
  <si>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</si>
  <si>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</si>
  <si>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</si>
  <si>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</si>
  <si>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</si>
  <si>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</si>
  <si>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</si>
  <si>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</si>
  <si>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</si>
  <si>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</si>
  <si>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</si>
  <si>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</si>
  <si>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</si>
  <si>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</si>
  <si>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</si>
  <si>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</si>
  <si>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Nbr of Repaired Ranges</t>
  </si>
  <si>
    <t>Updating Nodes</t>
  </si>
  <si>
    <t>Nbr Received Nodes</t>
  </si>
  <si>
    <t>Received Nodes</t>
  </si>
  <si>
    <t>Nbr MemTable Flush Events</t>
  </si>
  <si>
    <t>Logt Min Timestamp</t>
  </si>
  <si>
    <t>Log Max Timestamp</t>
  </si>
  <si>
    <t>Log Duration</t>
  </si>
  <si>
    <t>Keyspace-Table</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</si>
  <si>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</si>
  <si>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</si>
  <si>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</si>
  <si>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</si>
  <si>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</si>
  <si>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</si>
  <si>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</si>
  <si>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</si>
  <si>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</si>
  <si>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</si>
  <si>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</si>
  <si>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</si>
  <si>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</si>
  <si>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</si>
  <si>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</si>
  <si>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</si>
  <si>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</si>
  <si>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</si>
  <si>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</si>
  <si>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</si>
  <si>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</si>
  <si>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</si>
  <si>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</si>
  <si>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</si>
  <si>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</si>
  <si>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</si>
  <si>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</si>
  <si>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</si>
  <si>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</si>
  <si>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</si>
  <si>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</si>
  <si>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</si>
  <si>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</si>
  <si>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</si>
  <si>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</si>
  <si>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</si>
  <si>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</si>
  <si>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</si>
  <si>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</si>
  <si>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</si>
  <si>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</si>
  <si>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</si>
  <si>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</si>
  <si>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</si>
  <si>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</si>
  <si>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</si>
  <si>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</si>
  <si>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</si>
  <si>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</si>
  <si>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</si>
  <si>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</si>
  <si>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</si>
  <si>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</si>
  <si>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</si>
  <si>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</si>
  <si>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</si>
  <si>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</si>
  <si>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</si>
  <si>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</si>
  <si>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</si>
  <si>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</si>
  <si>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</si>
  <si>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</si>
  <si>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</si>
  <si>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</si>
  <si>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</si>
  <si>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</si>
  <si>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</si>
  <si>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</si>
  <si>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</si>
  <si>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</si>
  <si>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</si>
  <si>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</si>
  <si>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</si>
  <si>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</si>
  <si>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</si>
  <si>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</si>
  <si>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</si>
  <si>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</si>
  <si>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</si>
  <si>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</si>
  <si>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</si>
  <si>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</si>
  <si>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</si>
  <si>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</si>
  <si>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</si>
  <si>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</si>
  <si>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</si>
  <si>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</si>
  <si>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</si>
  <si>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</si>
  <si>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</si>
  <si>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</si>
  <si>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</si>
  <si>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</si>
  <si>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</si>
  <si>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</si>
  <si>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</si>
  <si>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</si>
  <si>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</si>
  <si>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</si>
  <si>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</si>
  <si>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</si>
  <si>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</si>
  <si>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</si>
  <si>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</si>
  <si>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</si>
  <si>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</si>
  <si>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</si>
  <si>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</si>
  <si>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</si>
  <si>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</si>
  <si>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</si>
  <si>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</si>
  <si>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</si>
  <si>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</si>
  <si>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</si>
  <si>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</si>
  <si>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</si>
  <si>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</si>
  <si>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</si>
  <si>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</si>
  <si>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</si>
  <si>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</si>
  <si>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</si>
  <si>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</si>
  <si>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</si>
  <si>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</si>
  <si>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</si>
  <si>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</si>
  <si>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</si>
  <si>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</si>
  <si>
    <t>org.apache.cassandra.exceptions.UnavailableException</t>
  </si>
  <si>
    <t>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t>
  </si>
  <si>
    <t>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t>
  </si>
  <si>
    <t>Exception Occurrences</t>
  </si>
  <si>
    <t>Node Detected Down</t>
  </si>
  <si>
    <t>Solr</t>
  </si>
  <si>
    <t>Solr Index Storage Size</t>
  </si>
  <si>
    <t>byte</t>
  </si>
  <si>
    <t>Solr Json</t>
  </si>
  <si>
    <t>Max Index Size (All Nodes)</t>
  </si>
  <si>
    <t>Average Size (MB)</t>
  </si>
  <si>
    <t>Total Size (MB)</t>
  </si>
  <si>
    <t>Min Size (MB)</t>
  </si>
  <si>
    <t>Max Index Size (MB)</t>
  </si>
  <si>
    <t>Solr Index Storage Size Ratio</t>
  </si>
  <si>
    <t>Max Ratio</t>
  </si>
  <si>
    <t>Percent of Total storage of table e.g., 200% means the solr index is 2x the size of CQL table storage size. 50% indicates that the solr index size is half of the CQL table size.</t>
  </si>
  <si>
    <t>Count of Value</t>
  </si>
  <si>
    <t>StdDevp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</si>
</sst>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2">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9"/>
      <color indexed="81"/>
      <name val="Tahoma"/>
      <family val="2"/>
    </font>
    <font>
      <b/>
      <sz val="9"/>
      <color indexed="81"/>
      <name val="Tahoma"/>
      <family val="2"/>
    </font>
    <font>
      <sz val="14"/>
      <color theme="1"/>
      <name val="Calibri"/>
      <family val="2"/>
    </font>
    <font>
      <sz val="11"/>
      <name val="Calibri"/>
      <family val="2"/>
    </font>
    <font>
      <sz val="11"/>
      <color rgb="FFFF0000"/>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7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2"/>
    </xf>
    <xf numFmtId="0" fontId="0" fillId="9" borderId="0" xfId="0" applyNumberFormat="1" applyFont="1" applyFill="1" applyBorder="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1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1" fillId="0" borderId="0" xfId="1" applyNumberFormat="1" applyFont="1" applyFill="1" applyBorder="1"/>
    <xf numFmtId="0" fontId="1" fillId="0" borderId="0" xfId="1" applyNumberFormat="1" applyFont="1" applyFill="1" applyBorder="1"/>
    <xf numFmtId="167" fontId="1" fillId="0" borderId="0" xfId="1" applyNumberFormat="1" applyFont="1" applyFill="1" applyBorder="1"/>
    <xf numFmtId="4" fontId="0" fillId="0" borderId="0" xfId="0" applyNumberFormat="1" applyFont="1" applyAlignment="1"/>
    <xf numFmtId="3" fontId="0" fillId="3" borderId="0" xfId="0" applyNumberFormat="1" applyFont="1" applyFill="1"/>
    <xf numFmtId="4" fontId="0" fillId="3" borderId="0" xfId="0" applyNumberFormat="1" applyFont="1" applyFill="1"/>
    <xf numFmtId="0" fontId="0" fillId="3" borderId="0" xfId="0" applyNumberFormat="1" applyFont="1" applyFill="1" applyAlignment="1">
      <alignment horizontal="left"/>
    </xf>
    <xf numFmtId="10" fontId="0" fillId="0" borderId="0" xfId="0" applyNumberFormat="1" applyFont="1" applyAlignment="1"/>
    <xf numFmtId="0" fontId="0" fillId="0" borderId="0" xfId="0" applyNumberFormat="1" applyFont="1" applyAlignment="1">
      <alignment horizontal="center"/>
    </xf>
    <xf numFmtId="0" fontId="9" fillId="12" borderId="0" xfId="0" applyNumberFormat="1" applyFont="1" applyFill="1" applyAlignment="1"/>
    <xf numFmtId="0" fontId="1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0" fillId="0" borderId="0" xfId="0" applyNumberFormat="1" applyFont="1" applyAlignment="1"/>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0" fontId="11" fillId="0" borderId="0" xfId="0" applyNumberFormat="1" applyFont="1" applyAlignment="1">
      <alignment horizontal="left" vertical="top"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0" fontId="0" fillId="0" borderId="0" xfId="0" pivotButton="1" applyNumberFormat="1" applyFont="1" applyAlignment="1">
      <alignment horizontal="center"/>
    </xf>
    <xf numFmtId="0" fontId="0" fillId="0" borderId="0" xfId="0" applyNumberFormat="1" applyFont="1" applyAlignment="1">
      <alignment horizontal="center" vertical="center" wrapText="1"/>
    </xf>
    <xf numFmtId="0" fontId="0" fillId="0" borderId="0" xfId="0" applyNumberFormat="1" applyFont="1" applyAlignment="1">
      <alignment horizontal="center" vertical="center" wrapText="1"/>
    </xf>
    <xf numFmtId="0" fontId="0" fillId="0" borderId="3" xfId="0" applyNumberFormat="1" applyFont="1" applyBorder="1" applyAlignment="1">
      <alignment horizontal="center"/>
    </xf>
    <xf numFmtId="0" fontId="0" fillId="0" borderId="3" xfId="0" applyNumberFormat="1" applyFont="1" applyBorder="1" applyAlignment="1">
      <alignment horizontal="center" vertical="center" wrapText="1"/>
    </xf>
  </cellXfs>
  <cellStyles count="2">
    <cellStyle name="Normal" xfId="0" builtinId="0"/>
    <cellStyle name="Normal 2" xfId="1"/>
  </cellStyles>
  <dxfs count="451">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4" formatCode="0.00%"/>
    </dxf>
    <dxf>
      <numFmt numFmtId="14" formatCode="0.00%"/>
    </dxf>
    <dxf>
      <numFmt numFmtId="14" formatCode="0.00%"/>
    </dxf>
    <dxf>
      <alignment horizontal="general" vertical="bottom" readingOrder="0"/>
    </dxf>
    <dxf>
      <alignment horizontal="center" vertical="center" wrapText="1" readingOrder="0"/>
    </dxf>
    <dxf>
      <numFmt numFmtId="4" formatCode="#,##0.00"/>
    </dxf>
    <dxf>
      <numFmt numFmtId="4" formatCode="#,##0.00"/>
    </dxf>
    <dxf>
      <numFmt numFmtId="4" formatCode="#,##0.00"/>
    </dxf>
    <dxf>
      <numFmt numFmtId="4" formatCode="#,##0.0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alignment wrapText="1" readingOrder="0"/>
    </dxf>
    <dxf>
      <alignment wrapText="1" readingOrder="0"/>
    </dxf>
    <dxf>
      <numFmt numFmtId="171" formatCode="#,##0.000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1" formatCode="#,##0.0000"/>
    </dxf>
    <dxf>
      <numFmt numFmtId="3" formatCode="#,##0"/>
    </dxf>
    <dxf>
      <alignment horizontal="general" vertical="bottom" readingOrder="0"/>
    </dxf>
    <dxf>
      <alignment horizontal="center" vertical="center" wrapText="1" readingOrder="0"/>
    </dxf>
    <dxf>
      <numFmt numFmtId="4" formatCode="#,##0.0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microsoft.com/office/2007/relationships/slicerCache" Target="slicerCaches/slicerCache1.xml"/><Relationship Id="rId84" Type="http://schemas.microsoft.com/office/2007/relationships/slicerCache" Target="slicerCaches/slicerCache17.xml"/><Relationship Id="rId89" Type="http://schemas.microsoft.com/office/2007/relationships/slicerCache" Target="slicerCaches/slicerCache2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microsoft.com/office/2007/relationships/slicerCache" Target="slicerCaches/slicerCache7.xml"/><Relationship Id="rId79" Type="http://schemas.microsoft.com/office/2007/relationships/slicerCache" Target="slicerCaches/slicerCache12.xml"/><Relationship Id="rId5" Type="http://schemas.openxmlformats.org/officeDocument/2006/relationships/worksheet" Target="worksheets/sheet5.xml"/><Relationship Id="rId90" Type="http://schemas.microsoft.com/office/2007/relationships/slicerCache" Target="slicerCaches/slicerCache23.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4.xml"/><Relationship Id="rId69" Type="http://schemas.microsoft.com/office/2007/relationships/slicerCache" Target="slicerCaches/slicerCache2.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5.xml"/><Relationship Id="rId80" Type="http://schemas.microsoft.com/office/2007/relationships/slicerCache" Target="slicerCaches/slicerCache13.xml"/><Relationship Id="rId85" Type="http://schemas.microsoft.com/office/2007/relationships/slicerCache" Target="slicerCaches/slicerCache18.xml"/><Relationship Id="rId93"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pivotCacheDefinition" Target="pivotCache/pivotCacheDefinition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microsoft.com/office/2007/relationships/slicerCache" Target="slicerCaches/slicerCache3.xml"/><Relationship Id="rId75" Type="http://schemas.microsoft.com/office/2007/relationships/slicerCache" Target="slicerCaches/slicerCache8.xml"/><Relationship Id="rId83" Type="http://schemas.microsoft.com/office/2007/relationships/slicerCache" Target="slicerCaches/slicerCache16.xml"/><Relationship Id="rId88" Type="http://schemas.microsoft.com/office/2007/relationships/slicerCache" Target="slicerCaches/slicerCache21.xml"/><Relationship Id="rId91" Type="http://schemas.microsoft.com/office/2007/relationships/slicerCache" Target="slicerCaches/slicerCache24.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microsoft.com/office/2007/relationships/slicerCache" Target="slicerCaches/slicerCache6.xml"/><Relationship Id="rId78" Type="http://schemas.microsoft.com/office/2007/relationships/slicerCache" Target="slicerCaches/slicerCache11.xml"/><Relationship Id="rId81" Type="http://schemas.microsoft.com/office/2007/relationships/slicerCache" Target="slicerCaches/slicerCache14.xml"/><Relationship Id="rId86" Type="http://schemas.microsoft.com/office/2007/relationships/slicerCache" Target="slicerCaches/slicerCache19.xml"/><Relationship Id="rId9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9.xml"/><Relationship Id="rId7" Type="http://schemas.openxmlformats.org/officeDocument/2006/relationships/worksheet" Target="worksheets/sheet7.xml"/><Relationship Id="rId71" Type="http://schemas.microsoft.com/office/2007/relationships/slicerCache" Target="slicerCaches/slicerCache4.xml"/><Relationship Id="rId92"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6.xml"/><Relationship Id="rId87" Type="http://schemas.microsoft.com/office/2007/relationships/slicerCache" Target="slicerCaches/slicerCache20.xml"/><Relationship Id="rId61" Type="http://schemas.openxmlformats.org/officeDocument/2006/relationships/pivotCacheDefinition" Target="pivotCache/pivotCacheDefinition1.xml"/><Relationship Id="rId82" Type="http://schemas.microsoft.com/office/2007/relationships/slicerCache" Target="slicerCaches/slicerCache15.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microsoft.com/office/2007/relationships/slicerCache" Target="slicerCaches/slicerCache1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[dseTemplate.xlsm]memtable Flush Node Chart!PivotTable2</c:name>
    <c:fmtId val="1"/>
  </c:pivotSource>
  <c:chart>
    <c:autoTitleDeleted val="0"/>
    <c:pivotFmts>
      <c:pivotFmt>
        <c:idx val="0"/>
        <c:spPr>
          <a:solidFill>
            <a:schemeClr val="accent1"/>
          </a:solidFill>
          <a:ln>
            <a:noFill/>
          </a:ln>
          <a:effectLst/>
        </c:spPr>
        <c:marker>
          <c:symbol val="none"/>
        </c:marker>
      </c:pivotFmt>
      <c:pivotFmt>
        <c:idx val="1"/>
        <c:spPr>
          <a:ln w="28575" cap="rnd">
            <a:solidFill>
              <a:schemeClr val="accent1">
                <a:lumMod val="40000"/>
                <a:lumOff val="60000"/>
              </a:schemeClr>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lumMod val="40000"/>
                <a:lumOff val="60000"/>
              </a:schemeClr>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a:noFill/>
          </a:ln>
          <a:effectLst/>
        </c:spPr>
        <c:marker>
          <c:symbol val="none"/>
        </c:marker>
      </c:pivotFmt>
      <c:pivotFmt>
        <c:idx val="4"/>
        <c:spPr>
          <a:ln w="28575" cap="rnd">
            <a:solidFill>
              <a:srgbClr val="FFC000"/>
            </a:solidFill>
            <a:round/>
          </a:ln>
          <a:effectLst/>
        </c:spPr>
        <c:marker>
          <c:symbol val="circle"/>
          <c:size val="5"/>
          <c:spPr>
            <a:solidFill>
              <a:schemeClr val="accent5"/>
            </a:solidFill>
            <a:ln w="9525">
              <a:solidFill>
                <a:schemeClr val="accent5"/>
              </a:solidFill>
            </a:ln>
            <a:effectLst/>
          </c:spPr>
        </c:marker>
      </c:pivotFmt>
      <c:pivotFmt>
        <c:idx val="5"/>
        <c:spPr>
          <a:ln w="28575" cap="rnd">
            <a:solidFill>
              <a:srgbClr val="FFC000"/>
            </a:solidFill>
            <a:round/>
          </a:ln>
          <a:effectLst/>
        </c:spPr>
        <c:marker>
          <c:symbol val="circle"/>
          <c:size val="5"/>
          <c:spPr>
            <a:solidFill>
              <a:schemeClr val="accent6"/>
            </a:solidFill>
            <a:ln w="9525">
              <a:solidFill>
                <a:schemeClr val="accent6"/>
              </a:solidFill>
            </a:ln>
            <a:effectLst/>
          </c:spPr>
        </c:marker>
      </c:pivotFmt>
    </c:pivotFmts>
    <c:plotArea>
      <c:layout/>
      <c:barChart>
        <c:barDir val="col"/>
        <c:grouping val="clustered"/>
        <c:varyColors val="0"/>
        <c:ser>
          <c:idx val="0"/>
          <c:order val="0"/>
          <c:tx>
            <c:strRef>
              <c:f>'memtable Flush Node Chart'!$B$6:$B$8</c:f>
              <c:strCache>
                <c:ptCount val="1"/>
                <c:pt idx="0">
                  <c:v>Memtable Flush maximum IORate - Max</c:v>
                </c:pt>
              </c:strCache>
            </c:strRef>
          </c:tx>
          <c:spPr>
            <a:solidFill>
              <a:schemeClr val="accent1"/>
            </a:solidFill>
            <a:ln>
              <a:noFill/>
            </a:ln>
            <a:effectLst/>
          </c:spPr>
          <c:invertIfNegative val="0"/>
          <c:cat>
            <c:multiLvlStrRef>
              <c:f>'memtable Flush Node Chart'!$A$9:$A$11</c:f>
              <c:multiLvlStrCache>
                <c:ptCount val="1"/>
                <c:lvl>
                  <c:pt idx="0">
                    <c:v>0.0.0.0</c:v>
                  </c:pt>
                </c:lvl>
                <c:lvl>
                  <c:pt idx="0">
                    <c:v>TestDC</c:v>
                  </c:pt>
                </c:lvl>
              </c:multiLvlStrCache>
            </c:multiLvlStrRef>
          </c:cat>
          <c:val>
            <c:numRef>
              <c:f>'memtable Flush Node Chart'!$B$9:$B$11</c:f>
              <c:numCache>
                <c:formatCode>#,##0.0000</c:formatCode>
                <c:ptCount val="1"/>
                <c:pt idx="0">
                  <c:v>7.89</c:v>
                </c:pt>
              </c:numCache>
            </c:numRef>
          </c:val>
          <c:extLst>
            <c:ext xmlns:c16="http://schemas.microsoft.com/office/drawing/2014/chart" uri="{C3380CC4-5D6E-409C-BE32-E72D297353CC}">
              <c16:uniqueId val="{00000000-5F86-4F3C-9EBF-1E008A26A29B}"/>
            </c:ext>
          </c:extLst>
        </c:ser>
        <c:ser>
          <c:idx val="3"/>
          <c:order val="3"/>
          <c:tx>
            <c:strRef>
              <c:f>'memtable Flush Node Chart'!$E$6:$E$8</c:f>
              <c:strCache>
                <c:ptCount val="1"/>
                <c:pt idx="0">
                  <c:v>Memtable Flush mean IORate - Max</c:v>
                </c:pt>
              </c:strCache>
            </c:strRef>
          </c:tx>
          <c:spPr>
            <a:solidFill>
              <a:schemeClr val="accent4"/>
            </a:solidFill>
            <a:ln>
              <a:noFill/>
            </a:ln>
            <a:effectLst/>
          </c:spPr>
          <c:invertIfNegative val="0"/>
          <c:cat>
            <c:multiLvlStrRef>
              <c:f>'memtable Flush Node Chart'!$A$9:$A$11</c:f>
              <c:multiLvlStrCache>
                <c:ptCount val="1"/>
                <c:lvl>
                  <c:pt idx="0">
                    <c:v>0.0.0.0</c:v>
                  </c:pt>
                </c:lvl>
                <c:lvl>
                  <c:pt idx="0">
                    <c:v>TestDC</c:v>
                  </c:pt>
                </c:lvl>
              </c:multiLvlStrCache>
            </c:multiLvlStrRef>
          </c:cat>
          <c:val>
            <c:numRef>
              <c:f>'memtable Flush Node Chart'!$E$9:$E$11</c:f>
              <c:numCache>
                <c:formatCode>#,##0.0000</c:formatCode>
                <c:ptCount val="1"/>
                <c:pt idx="0">
                  <c:v>3.45</c:v>
                </c:pt>
              </c:numCache>
            </c:numRef>
          </c:val>
          <c:extLst>
            <c:ext xmlns:c16="http://schemas.microsoft.com/office/drawing/2014/chart" uri="{C3380CC4-5D6E-409C-BE32-E72D297353CC}">
              <c16:uniqueId val="{00000003-5F86-4F3C-9EBF-1E008A26A29B}"/>
            </c:ext>
          </c:extLst>
        </c:ser>
        <c:dLbls>
          <c:showLegendKey val="0"/>
          <c:showVal val="0"/>
          <c:showCatName val="0"/>
          <c:showSerName val="0"/>
          <c:showPercent val="0"/>
          <c:showBubbleSize val="0"/>
        </c:dLbls>
        <c:gapWidth val="219"/>
        <c:axId val="1366606543"/>
        <c:axId val="1292444383"/>
      </c:barChart>
      <c:lineChart>
        <c:grouping val="standard"/>
        <c:varyColors val="0"/>
        <c:ser>
          <c:idx val="1"/>
          <c:order val="1"/>
          <c:tx>
            <c:strRef>
              <c:f>'memtable Flush Node Chart'!$C$6:$C$8</c:f>
              <c:strCache>
                <c:ptCount val="1"/>
                <c:pt idx="0">
                  <c:v>Memtable Flush maximum IORate - Average</c:v>
                </c:pt>
              </c:strCache>
            </c:strRef>
          </c:tx>
          <c:spPr>
            <a:ln w="28575" cap="rnd">
              <a:solidFill>
                <a:schemeClr val="accent1">
                  <a:lumMod val="40000"/>
                  <a:lumOff val="60000"/>
                </a:schemeClr>
              </a:solidFill>
              <a:round/>
            </a:ln>
            <a:effectLst/>
          </c:spPr>
          <c:marker>
            <c:symbol val="circle"/>
            <c:size val="5"/>
            <c:spPr>
              <a:solidFill>
                <a:schemeClr val="accent2"/>
              </a:solidFill>
              <a:ln w="9525">
                <a:solidFill>
                  <a:schemeClr val="accent2"/>
                </a:solidFill>
              </a:ln>
              <a:effectLst/>
            </c:spPr>
          </c:marker>
          <c:cat>
            <c:multiLvlStrRef>
              <c:f>'memtable Flush Node Chart'!$A$9:$A$11</c:f>
              <c:multiLvlStrCache>
                <c:ptCount val="1"/>
                <c:lvl>
                  <c:pt idx="0">
                    <c:v>0.0.0.0</c:v>
                  </c:pt>
                </c:lvl>
                <c:lvl>
                  <c:pt idx="0">
                    <c:v>TestDC</c:v>
                  </c:pt>
                </c:lvl>
              </c:multiLvlStrCache>
            </c:multiLvlStrRef>
          </c:cat>
          <c:val>
            <c:numRef>
              <c:f>'memtable Flush Node Chart'!$C$9:$C$11</c:f>
              <c:numCache>
                <c:formatCode>#,##0.0000</c:formatCode>
                <c:ptCount val="1"/>
                <c:pt idx="0">
                  <c:v>7.89</c:v>
                </c:pt>
              </c:numCache>
            </c:numRef>
          </c:val>
          <c:smooth val="0"/>
          <c:extLst>
            <c:ext xmlns:c16="http://schemas.microsoft.com/office/drawing/2014/chart" uri="{C3380CC4-5D6E-409C-BE32-E72D297353CC}">
              <c16:uniqueId val="{00000001-5F86-4F3C-9EBF-1E008A26A29B}"/>
            </c:ext>
          </c:extLst>
        </c:ser>
        <c:ser>
          <c:idx val="4"/>
          <c:order val="4"/>
          <c:tx>
            <c:strRef>
              <c:f>'memtable Flush Node Chart'!$F$6:$F$8</c:f>
              <c:strCache>
                <c:ptCount val="1"/>
                <c:pt idx="0">
                  <c:v>Memtable Flush mean IORate - Average</c:v>
                </c:pt>
              </c:strCache>
            </c:strRef>
          </c:tx>
          <c:spPr>
            <a:ln w="28575" cap="rnd">
              <a:solidFill>
                <a:srgbClr val="FFC000"/>
              </a:solidFill>
              <a:round/>
            </a:ln>
            <a:effectLst/>
          </c:spPr>
          <c:marker>
            <c:symbol val="circle"/>
            <c:size val="5"/>
            <c:spPr>
              <a:solidFill>
                <a:schemeClr val="accent5"/>
              </a:solidFill>
              <a:ln w="9525">
                <a:solidFill>
                  <a:schemeClr val="accent5"/>
                </a:solidFill>
              </a:ln>
              <a:effectLst/>
            </c:spPr>
          </c:marker>
          <c:cat>
            <c:multiLvlStrRef>
              <c:f>'memtable Flush Node Chart'!$A$9:$A$11</c:f>
              <c:multiLvlStrCache>
                <c:ptCount val="1"/>
                <c:lvl>
                  <c:pt idx="0">
                    <c:v>0.0.0.0</c:v>
                  </c:pt>
                </c:lvl>
                <c:lvl>
                  <c:pt idx="0">
                    <c:v>TestDC</c:v>
                  </c:pt>
                </c:lvl>
              </c:multiLvlStrCache>
            </c:multiLvlStrRef>
          </c:cat>
          <c:val>
            <c:numRef>
              <c:f>'memtable Flush Node Chart'!$F$9:$F$11</c:f>
              <c:numCache>
                <c:formatCode>#,##0.0000</c:formatCode>
                <c:ptCount val="1"/>
                <c:pt idx="0">
                  <c:v>3.45</c:v>
                </c:pt>
              </c:numCache>
            </c:numRef>
          </c:val>
          <c:smooth val="0"/>
          <c:extLst>
            <c:ext xmlns:c16="http://schemas.microsoft.com/office/drawing/2014/chart" uri="{C3380CC4-5D6E-409C-BE32-E72D297353CC}">
              <c16:uniqueId val="{00000004-5F86-4F3C-9EBF-1E008A26A29B}"/>
            </c:ext>
          </c:extLst>
        </c:ser>
        <c:dLbls>
          <c:showLegendKey val="0"/>
          <c:showVal val="0"/>
          <c:showCatName val="0"/>
          <c:showSerName val="0"/>
          <c:showPercent val="0"/>
          <c:showBubbleSize val="0"/>
        </c:dLbls>
        <c:marker val="1"/>
        <c:smooth val="0"/>
        <c:axId val="1366606543"/>
        <c:axId val="1292444383"/>
      </c:lineChart>
      <c:lineChart>
        <c:grouping val="standard"/>
        <c:varyColors val="0"/>
        <c:ser>
          <c:idx val="2"/>
          <c:order val="2"/>
          <c:tx>
            <c:strRef>
              <c:f>'memtable Flush Node Chart'!$D$6:$D$8</c:f>
              <c:strCache>
                <c:ptCount val="1"/>
                <c:pt idx="0">
                  <c:v>Memtable Flush maximum IORate - StdDevp</c:v>
                </c:pt>
              </c:strCache>
            </c:strRef>
          </c:tx>
          <c:spPr>
            <a:ln w="28575" cap="rnd">
              <a:solidFill>
                <a:schemeClr val="accent1">
                  <a:lumMod val="40000"/>
                  <a:lumOff val="60000"/>
                </a:schemeClr>
              </a:solidFill>
              <a:round/>
            </a:ln>
            <a:effectLst/>
          </c:spPr>
          <c:marker>
            <c:symbol val="circle"/>
            <c:size val="5"/>
            <c:spPr>
              <a:solidFill>
                <a:schemeClr val="accent3"/>
              </a:solidFill>
              <a:ln w="9525">
                <a:solidFill>
                  <a:schemeClr val="accent3"/>
                </a:solidFill>
              </a:ln>
              <a:effectLst/>
            </c:spPr>
          </c:marker>
          <c:cat>
            <c:multiLvlStrRef>
              <c:f>'memtable Flush Node Chart'!$A$9:$A$11</c:f>
              <c:multiLvlStrCache>
                <c:ptCount val="1"/>
                <c:lvl>
                  <c:pt idx="0">
                    <c:v>0.0.0.0</c:v>
                  </c:pt>
                </c:lvl>
                <c:lvl>
                  <c:pt idx="0">
                    <c:v>TestDC</c:v>
                  </c:pt>
                </c:lvl>
              </c:multiLvlStrCache>
            </c:multiLvlStrRef>
          </c:cat>
          <c:val>
            <c:numRef>
              <c:f>'memtable Flush Node Chart'!$D$9:$D$11</c:f>
              <c:numCache>
                <c:formatCode>#,##0.0000</c:formatCode>
                <c:ptCount val="1"/>
                <c:pt idx="0">
                  <c:v>0</c:v>
                </c:pt>
              </c:numCache>
            </c:numRef>
          </c:val>
          <c:smooth val="0"/>
          <c:extLst>
            <c:ext xmlns:c16="http://schemas.microsoft.com/office/drawing/2014/chart" uri="{C3380CC4-5D6E-409C-BE32-E72D297353CC}">
              <c16:uniqueId val="{00000002-5F86-4F3C-9EBF-1E008A26A29B}"/>
            </c:ext>
          </c:extLst>
        </c:ser>
        <c:ser>
          <c:idx val="5"/>
          <c:order val="5"/>
          <c:tx>
            <c:strRef>
              <c:f>'memtable Flush Node Chart'!$G$6:$G$8</c:f>
              <c:strCache>
                <c:ptCount val="1"/>
                <c:pt idx="0">
                  <c:v>Memtable Flush mean IORate - StdDevp</c:v>
                </c:pt>
              </c:strCache>
            </c:strRef>
          </c:tx>
          <c:spPr>
            <a:ln w="28575" cap="rnd">
              <a:solidFill>
                <a:srgbClr val="FFC000"/>
              </a:solidFill>
              <a:round/>
            </a:ln>
            <a:effectLst/>
          </c:spPr>
          <c:marker>
            <c:symbol val="circle"/>
            <c:size val="5"/>
            <c:spPr>
              <a:solidFill>
                <a:schemeClr val="accent6"/>
              </a:solidFill>
              <a:ln w="9525">
                <a:solidFill>
                  <a:schemeClr val="accent6"/>
                </a:solidFill>
              </a:ln>
              <a:effectLst/>
            </c:spPr>
          </c:marker>
          <c:cat>
            <c:multiLvlStrRef>
              <c:f>'memtable Flush Node Chart'!$A$9:$A$11</c:f>
              <c:multiLvlStrCache>
                <c:ptCount val="1"/>
                <c:lvl>
                  <c:pt idx="0">
                    <c:v>0.0.0.0</c:v>
                  </c:pt>
                </c:lvl>
                <c:lvl>
                  <c:pt idx="0">
                    <c:v>TestDC</c:v>
                  </c:pt>
                </c:lvl>
              </c:multiLvlStrCache>
            </c:multiLvlStrRef>
          </c:cat>
          <c:val>
            <c:numRef>
              <c:f>'memtable Flush Node Chart'!$G$9:$G$11</c:f>
              <c:numCache>
                <c:formatCode>#,##0.0000</c:formatCode>
                <c:ptCount val="1"/>
                <c:pt idx="0">
                  <c:v>0</c:v>
                </c:pt>
              </c:numCache>
            </c:numRef>
          </c:val>
          <c:smooth val="0"/>
          <c:extLst>
            <c:ext xmlns:c16="http://schemas.microsoft.com/office/drawing/2014/chart" uri="{C3380CC4-5D6E-409C-BE32-E72D297353CC}">
              <c16:uniqueId val="{00000005-5F86-4F3C-9EBF-1E008A26A29B}"/>
            </c:ext>
          </c:extLst>
        </c:ser>
        <c:dLbls>
          <c:showLegendKey val="0"/>
          <c:showVal val="0"/>
          <c:showCatName val="0"/>
          <c:showSerName val="0"/>
          <c:showPercent val="0"/>
          <c:showBubbleSize val="0"/>
        </c:dLbls>
        <c:marker val="1"/>
        <c:smooth val="0"/>
        <c:axId val="1366602383"/>
        <c:axId val="1420538015"/>
      </c:lineChart>
      <c:catAx>
        <c:axId val="1366606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444383"/>
        <c:crosses val="autoZero"/>
        <c:auto val="1"/>
        <c:lblAlgn val="ctr"/>
        <c:lblOffset val="100"/>
        <c:noMultiLvlLbl val="0"/>
      </c:catAx>
      <c:valAx>
        <c:axId val="1292444383"/>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606543"/>
        <c:crosses val="autoZero"/>
        <c:crossBetween val="between"/>
      </c:valAx>
      <c:valAx>
        <c:axId val="1420538015"/>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602383"/>
        <c:crosses val="max"/>
        <c:crossBetween val="between"/>
      </c:valAx>
      <c:catAx>
        <c:axId val="1366602383"/>
        <c:scaling>
          <c:orientation val="minMax"/>
        </c:scaling>
        <c:delete val="1"/>
        <c:axPos val="b"/>
        <c:numFmt formatCode="General" sourceLinked="1"/>
        <c:majorTickMark val="out"/>
        <c:minorTickMark val="none"/>
        <c:tickLblPos val="nextTo"/>
        <c:crossAx val="1420538015"/>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[dseTemplate.xlsm]Compaction Node Chart!PivotTable2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lumMod val="40000"/>
                <a:lumOff val="60000"/>
              </a:schemeClr>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lumMod val="40000"/>
                <a:lumOff val="60000"/>
              </a:schemeClr>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a:noFill/>
          </a:ln>
          <a:effectLst/>
        </c:spPr>
        <c:marker>
          <c:symbol val="none"/>
        </c:marker>
      </c:pivotFmt>
      <c:pivotFmt>
        <c:idx val="4"/>
        <c:spPr>
          <a:solidFill>
            <a:schemeClr val="accent1"/>
          </a:solidFill>
          <a:ln w="28575" cap="rnd">
            <a:solidFill>
              <a:srgbClr val="FFC000"/>
            </a:solidFill>
            <a:round/>
          </a:ln>
          <a:effectLst/>
        </c:spPr>
        <c:marker>
          <c:symbol val="circle"/>
          <c:size val="5"/>
          <c:spPr>
            <a:solidFill>
              <a:schemeClr val="accent5"/>
            </a:solidFill>
            <a:ln w="9525">
              <a:solidFill>
                <a:schemeClr val="accent5"/>
              </a:solidFill>
            </a:ln>
            <a:effectLst/>
          </c:spPr>
        </c:marker>
      </c:pivotFmt>
      <c:pivotFmt>
        <c:idx val="5"/>
        <c:spPr>
          <a:solidFill>
            <a:schemeClr val="accent1"/>
          </a:solidFill>
          <a:ln w="28575" cap="rnd">
            <a:solidFill>
              <a:srgbClr val="FFC000"/>
            </a:solidFill>
            <a:round/>
          </a:ln>
          <a:effectLst/>
        </c:spPr>
        <c:marker>
          <c:symbol val="circle"/>
          <c:size val="5"/>
          <c:spPr>
            <a:solidFill>
              <a:schemeClr val="accent6"/>
            </a:solidFill>
            <a:ln w="9525">
              <a:solidFill>
                <a:schemeClr val="accent6"/>
              </a:solidFill>
            </a:ln>
            <a:effectLst/>
          </c:spPr>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ln w="28575" cap="rnd">
            <a:solidFill>
              <a:schemeClr val="accent1">
                <a:lumMod val="40000"/>
                <a:lumOff val="60000"/>
              </a:schemeClr>
            </a:solidFill>
            <a:round/>
          </a:ln>
          <a:effectLst/>
        </c:spPr>
        <c:marker>
          <c:symbol val="circle"/>
          <c:size val="5"/>
          <c:spPr>
            <a:solidFill>
              <a:schemeClr val="accent1"/>
            </a:solidFill>
            <a:ln w="9525">
              <a:solidFill>
                <a:schemeClr val="accent1"/>
              </a:solidFill>
            </a:ln>
            <a:effectLst/>
          </c:spPr>
        </c:marker>
      </c:pivotFmt>
      <c:pivotFmt>
        <c:idx val="9"/>
        <c:spPr>
          <a:ln w="28575" cap="rnd">
            <a:solidFill>
              <a:srgbClr val="FFC000"/>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lumMod val="40000"/>
                <a:lumOff val="60000"/>
              </a:schemeClr>
            </a:solidFill>
            <a:round/>
          </a:ln>
          <a:effectLst/>
        </c:spPr>
        <c:marker>
          <c:symbol val="circle"/>
          <c:size val="5"/>
          <c:spPr>
            <a:solidFill>
              <a:schemeClr val="accent1"/>
            </a:solidFill>
            <a:ln w="9525">
              <a:solidFill>
                <a:schemeClr val="accent1"/>
              </a:solidFill>
            </a:ln>
            <a:effectLst/>
          </c:spPr>
        </c:marker>
      </c:pivotFmt>
      <c:pivotFmt>
        <c:idx val="11"/>
        <c:spPr>
          <a:ln w="28575" cap="rnd">
            <a:solidFill>
              <a:srgbClr val="FFC000"/>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s>
    <c:plotArea>
      <c:layout/>
      <c:barChart>
        <c:barDir val="col"/>
        <c:grouping val="clustered"/>
        <c:varyColors val="0"/>
        <c:ser>
          <c:idx val="0"/>
          <c:order val="0"/>
          <c:tx>
            <c:strRef>
              <c:f>'Compaction Node Chart'!$B$6:$B$8</c:f>
              <c:strCache>
                <c:ptCount val="1"/>
                <c:pt idx="0">
                  <c:v>Compaction maximum rate - Max</c:v>
                </c:pt>
              </c:strCache>
            </c:strRef>
          </c:tx>
          <c:spPr>
            <a:solidFill>
              <a:schemeClr val="accent1"/>
            </a:solidFill>
            <a:ln>
              <a:noFill/>
            </a:ln>
            <a:effectLst/>
          </c:spPr>
          <c:invertIfNegative val="0"/>
          <c:cat>
            <c:multiLvlStrRef>
              <c:f>'Compaction Node Chart'!$A$9:$A$11</c:f>
              <c:multiLvlStrCache>
                <c:ptCount val="1"/>
                <c:lvl>
                  <c:pt idx="0">
                    <c:v>0.0.0.0</c:v>
                  </c:pt>
                </c:lvl>
                <c:lvl>
                  <c:pt idx="0">
                    <c:v>TestDC</c:v>
                  </c:pt>
                </c:lvl>
              </c:multiLvlStrCache>
            </c:multiLvlStrRef>
          </c:cat>
          <c:val>
            <c:numRef>
              <c:f>'Compaction Node Chart'!$B$9:$B$11</c:f>
              <c:numCache>
                <c:formatCode>#,##0.0000</c:formatCode>
                <c:ptCount val="1"/>
                <c:pt idx="0">
                  <c:v>4.5546290000000003</c:v>
                </c:pt>
              </c:numCache>
            </c:numRef>
          </c:val>
          <c:extLst>
            <c:ext xmlns:c16="http://schemas.microsoft.com/office/drawing/2014/chart" uri="{C3380CC4-5D6E-409C-BE32-E72D297353CC}">
              <c16:uniqueId val="{00000000-386A-42BC-B5FC-3976382AC01B}"/>
            </c:ext>
          </c:extLst>
        </c:ser>
        <c:ser>
          <c:idx val="3"/>
          <c:order val="3"/>
          <c:tx>
            <c:strRef>
              <c:f>'Compaction Node Chart'!$E$6:$E$8</c:f>
              <c:strCache>
                <c:ptCount val="1"/>
                <c:pt idx="0">
                  <c:v>Compaction mean rate - Max</c:v>
                </c:pt>
              </c:strCache>
            </c:strRef>
          </c:tx>
          <c:spPr>
            <a:solidFill>
              <a:schemeClr val="accent4"/>
            </a:solidFill>
            <a:ln>
              <a:noFill/>
            </a:ln>
            <a:effectLst/>
          </c:spPr>
          <c:invertIfNegative val="0"/>
          <c:cat>
            <c:multiLvlStrRef>
              <c:f>'Compaction Node Chart'!$A$9:$A$11</c:f>
              <c:multiLvlStrCache>
                <c:ptCount val="1"/>
                <c:lvl>
                  <c:pt idx="0">
                    <c:v>0.0.0.0</c:v>
                  </c:pt>
                </c:lvl>
                <c:lvl>
                  <c:pt idx="0">
                    <c:v>TestDC</c:v>
                  </c:pt>
                </c:lvl>
              </c:multiLvlStrCache>
            </c:multiLvlStrRef>
          </c:cat>
          <c:val>
            <c:numRef>
              <c:f>'Compaction Node Chart'!$E$9:$E$11</c:f>
              <c:numCache>
                <c:formatCode>#,##0.0000</c:formatCode>
                <c:ptCount val="1"/>
                <c:pt idx="0">
                  <c:v>3.8825877000000002</c:v>
                </c:pt>
              </c:numCache>
            </c:numRef>
          </c:val>
          <c:extLst>
            <c:ext xmlns:c16="http://schemas.microsoft.com/office/drawing/2014/chart" uri="{C3380CC4-5D6E-409C-BE32-E72D297353CC}">
              <c16:uniqueId val="{00000001-386A-42BC-B5FC-3976382AC01B}"/>
            </c:ext>
          </c:extLst>
        </c:ser>
        <c:dLbls>
          <c:showLegendKey val="0"/>
          <c:showVal val="0"/>
          <c:showCatName val="0"/>
          <c:showSerName val="0"/>
          <c:showPercent val="0"/>
          <c:showBubbleSize val="0"/>
        </c:dLbls>
        <c:gapWidth val="219"/>
        <c:axId val="1366606543"/>
        <c:axId val="1292444383"/>
      </c:barChart>
      <c:lineChart>
        <c:grouping val="standard"/>
        <c:varyColors val="0"/>
        <c:ser>
          <c:idx val="1"/>
          <c:order val="1"/>
          <c:tx>
            <c:strRef>
              <c:f>'Compaction Node Chart'!$C$6:$C$8</c:f>
              <c:strCache>
                <c:ptCount val="1"/>
                <c:pt idx="0">
                  <c:v>Compaction maximum rate - Average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'Compaction Node Chart'!$A$9:$A$11</c:f>
              <c:multiLvlStrCache>
                <c:ptCount val="1"/>
                <c:lvl>
                  <c:pt idx="0">
                    <c:v>0.0.0.0</c:v>
                  </c:pt>
                </c:lvl>
                <c:lvl>
                  <c:pt idx="0">
                    <c:v>TestDC</c:v>
                  </c:pt>
                </c:lvl>
              </c:multiLvlStrCache>
            </c:multiLvlStrRef>
          </c:cat>
          <c:val>
            <c:numRef>
              <c:f>'Compaction Node Chart'!$C$9:$C$11</c:f>
              <c:numCache>
                <c:formatCode>#,##0.0000</c:formatCode>
                <c:ptCount val="1"/>
                <c:pt idx="0">
                  <c:v>2.3732310000000001</c:v>
                </c:pt>
              </c:numCache>
            </c:numRef>
          </c:val>
          <c:smooth val="0"/>
          <c:extLst>
            <c:ext xmlns:c16="http://schemas.microsoft.com/office/drawing/2014/chart" uri="{C3380CC4-5D6E-409C-BE32-E72D297353CC}">
              <c16:uniqueId val="{00000002-386A-42BC-B5FC-3976382AC01B}"/>
            </c:ext>
          </c:extLst>
        </c:ser>
        <c:ser>
          <c:idx val="4"/>
          <c:order val="4"/>
          <c:tx>
            <c:strRef>
              <c:f>'Compaction Node Chart'!$F$6:$F$8</c:f>
              <c:strCache>
                <c:ptCount val="1"/>
                <c:pt idx="0">
                  <c:v>Compaction mean rate - Average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'Compaction Node Chart'!$A$9:$A$11</c:f>
              <c:multiLvlStrCache>
                <c:ptCount val="1"/>
                <c:lvl>
                  <c:pt idx="0">
                    <c:v>0.0.0.0</c:v>
                  </c:pt>
                </c:lvl>
                <c:lvl>
                  <c:pt idx="0">
                    <c:v>TestDC</c:v>
                  </c:pt>
                </c:lvl>
              </c:multiLvlStrCache>
            </c:multiLvlStrRef>
          </c:cat>
          <c:val>
            <c:numRef>
              <c:f>'Compaction Node Chart'!$F$9:$F$11</c:f>
              <c:numCache>
                <c:formatCode>#,##0.0000</c:formatCode>
                <c:ptCount val="1"/>
                <c:pt idx="0">
                  <c:v>2.0372103500000001</c:v>
                </c:pt>
              </c:numCache>
            </c:numRef>
          </c:val>
          <c:smooth val="0"/>
          <c:extLst>
            <c:ext xmlns:c16="http://schemas.microsoft.com/office/drawing/2014/chart" uri="{C3380CC4-5D6E-409C-BE32-E72D297353CC}">
              <c16:uniqueId val="{00000003-386A-42BC-B5FC-3976382AC01B}"/>
            </c:ext>
          </c:extLst>
        </c:ser>
        <c:dLbls>
          <c:showLegendKey val="0"/>
          <c:showVal val="0"/>
          <c:showCatName val="0"/>
          <c:showSerName val="0"/>
          <c:showPercent val="0"/>
          <c:showBubbleSize val="0"/>
        </c:dLbls>
        <c:marker val="1"/>
        <c:smooth val="0"/>
        <c:axId val="1366606543"/>
        <c:axId val="1292444383"/>
      </c:lineChart>
      <c:lineChart>
        <c:grouping val="standard"/>
        <c:varyColors val="0"/>
        <c:ser>
          <c:idx val="2"/>
          <c:order val="2"/>
          <c:tx>
            <c:strRef>
              <c:f>'Compaction Node Chart'!$D$6:$D$8</c:f>
              <c:strCache>
                <c:ptCount val="1"/>
                <c:pt idx="0">
                  <c:v>Compaction maximum rate - StdDevp</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'Compaction Node Chart'!$A$9:$A$11</c:f>
              <c:multiLvlStrCache>
                <c:ptCount val="1"/>
                <c:lvl>
                  <c:pt idx="0">
                    <c:v>0.0.0.0</c:v>
                  </c:pt>
                </c:lvl>
                <c:lvl>
                  <c:pt idx="0">
                    <c:v>TestDC</c:v>
                  </c:pt>
                </c:lvl>
              </c:multiLvlStrCache>
            </c:multiLvlStrRef>
          </c:cat>
          <c:val>
            <c:numRef>
              <c:f>'Compaction Node Chart'!$D$9:$D$11</c:f>
              <c:numCache>
                <c:formatCode>#,##0.0000</c:formatCode>
                <c:ptCount val="1"/>
                <c:pt idx="0">
                  <c:v>2.1813980000000002</c:v>
                </c:pt>
              </c:numCache>
            </c:numRef>
          </c:val>
          <c:smooth val="0"/>
          <c:extLst>
            <c:ext xmlns:c16="http://schemas.microsoft.com/office/drawing/2014/chart" uri="{C3380CC4-5D6E-409C-BE32-E72D297353CC}">
              <c16:uniqueId val="{00000004-386A-42BC-B5FC-3976382AC01B}"/>
            </c:ext>
          </c:extLst>
        </c:ser>
        <c:ser>
          <c:idx val="5"/>
          <c:order val="5"/>
          <c:tx>
            <c:strRef>
              <c:f>'Compaction Node Chart'!$G$6:$G$8</c:f>
              <c:strCache>
                <c:ptCount val="1"/>
                <c:pt idx="0">
                  <c:v>Compaction mean rate - StdDevp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'Compaction Node Chart'!$A$9:$A$11</c:f>
              <c:multiLvlStrCache>
                <c:ptCount val="1"/>
                <c:lvl>
                  <c:pt idx="0">
                    <c:v>0.0.0.0</c:v>
                  </c:pt>
                </c:lvl>
                <c:lvl>
                  <c:pt idx="0">
                    <c:v>TestDC</c:v>
                  </c:pt>
                </c:lvl>
              </c:multiLvlStrCache>
            </c:multiLvlStrRef>
          </c:cat>
          <c:val>
            <c:numRef>
              <c:f>'Compaction Node Chart'!$G$9:$G$11</c:f>
              <c:numCache>
                <c:formatCode>#,##0.0000</c:formatCode>
                <c:ptCount val="1"/>
                <c:pt idx="0">
                  <c:v>1.8453773499999999</c:v>
                </c:pt>
              </c:numCache>
            </c:numRef>
          </c:val>
          <c:smooth val="0"/>
          <c:extLst>
            <c:ext xmlns:c16="http://schemas.microsoft.com/office/drawing/2014/chart" uri="{C3380CC4-5D6E-409C-BE32-E72D297353CC}">
              <c16:uniqueId val="{00000005-386A-42BC-B5FC-3976382AC01B}"/>
            </c:ext>
          </c:extLst>
        </c:ser>
        <c:dLbls>
          <c:showLegendKey val="0"/>
          <c:showVal val="0"/>
          <c:showCatName val="0"/>
          <c:showSerName val="0"/>
          <c:showPercent val="0"/>
          <c:showBubbleSize val="0"/>
        </c:dLbls>
        <c:marker val="1"/>
        <c:smooth val="0"/>
        <c:axId val="1366602383"/>
        <c:axId val="1420538015"/>
      </c:lineChart>
      <c:catAx>
        <c:axId val="1366606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444383"/>
        <c:crosses val="autoZero"/>
        <c:auto val="1"/>
        <c:lblAlgn val="ctr"/>
        <c:lblOffset val="100"/>
        <c:noMultiLvlLbl val="0"/>
      </c:catAx>
      <c:valAx>
        <c:axId val="1292444383"/>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606543"/>
        <c:crosses val="autoZero"/>
        <c:crossBetween val="between"/>
      </c:valAx>
      <c:valAx>
        <c:axId val="1420538015"/>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602383"/>
        <c:crosses val="max"/>
        <c:crossBetween val="between"/>
      </c:valAx>
      <c:catAx>
        <c:axId val="1366602383"/>
        <c:scaling>
          <c:orientation val="minMax"/>
        </c:scaling>
        <c:delete val="1"/>
        <c:axPos val="b"/>
        <c:numFmt formatCode="General" sourceLinked="1"/>
        <c:majorTickMark val="out"/>
        <c:minorTickMark val="none"/>
        <c:tickLblPos val="nextTo"/>
        <c:crossAx val="142053801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[dseTemplate.xlsm]Concurrent Node Chart!PivotTable4</c:name>
    <c:fmtId val="3"/>
  </c:pivotSource>
  <c:chart>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barChart>
        <c:barDir val="col"/>
        <c:grouping val="clustered"/>
        <c:varyColors val="0"/>
        <c:ser>
          <c:idx val="0"/>
          <c:order val="0"/>
          <c:tx>
            <c:strRef>
              <c:f>'Concurrent Node Chart'!$B$4</c:f>
              <c:strCache>
                <c:ptCount val="1"/>
                <c:pt idx="0">
                  <c:v>Max IORate Accumulative (mb/sec)</c:v>
                </c:pt>
              </c:strCache>
            </c:strRef>
          </c:tx>
          <c:spPr>
            <a:solidFill>
              <a:schemeClr val="accent1"/>
            </a:solidFill>
            <a:ln>
              <a:noFill/>
            </a:ln>
            <a:effectLst/>
          </c:spPr>
          <c:invertIfNegative val="0"/>
          <c:cat>
            <c:multiLvlStrRef>
              <c:f>'Concurrent Node Chart'!$A$5:$A$7</c:f>
              <c:multiLvlStrCache>
                <c:ptCount val="1"/>
                <c:lvl>
                  <c:pt idx="0">
                    <c:v>0.0.0.0</c:v>
                  </c:pt>
                </c:lvl>
                <c:lvl>
                  <c:pt idx="0">
                    <c:v>TestDC</c:v>
                  </c:pt>
                </c:lvl>
              </c:multiLvlStrCache>
            </c:multiLvlStrRef>
          </c:cat>
          <c:val>
            <c:numRef>
              <c:f>'Concurrent Node Chart'!$B$5:$B$7</c:f>
              <c:numCache>
                <c:formatCode>#,##0.00</c:formatCode>
                <c:ptCount val="1"/>
                <c:pt idx="0">
                  <c:v>4.4827570000000003</c:v>
                </c:pt>
              </c:numCache>
            </c:numRef>
          </c:val>
          <c:extLst>
            <c:ext xmlns:c16="http://schemas.microsoft.com/office/drawing/2014/chart" uri="{C3380CC4-5D6E-409C-BE32-E72D297353CC}">
              <c16:uniqueId val="{00000000-D0BF-421B-A6BE-0E23E8B9484C}"/>
            </c:ext>
          </c:extLst>
        </c:ser>
        <c:dLbls>
          <c:showLegendKey val="0"/>
          <c:showVal val="0"/>
          <c:showCatName val="0"/>
          <c:showSerName val="0"/>
          <c:showPercent val="0"/>
          <c:showBubbleSize val="0"/>
        </c:dLbls>
        <c:gapWidth val="219"/>
        <c:axId val="1366596559"/>
        <c:axId val="1420336591"/>
      </c:barChart>
      <c:lineChart>
        <c:grouping val="standard"/>
        <c:varyColors val="0"/>
        <c:ser>
          <c:idx val="1"/>
          <c:order val="1"/>
          <c:tx>
            <c:strRef>
              <c:f>'Concurrent Node Chart'!$C$4</c:f>
              <c:strCache>
                <c:ptCount val="1"/>
                <c:pt idx="0">
                  <c:v>Average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'Concurrent Node Chart'!$A$5:$A$7</c:f>
              <c:multiLvlStrCache>
                <c:ptCount val="1"/>
                <c:lvl>
                  <c:pt idx="0">
                    <c:v>0.0.0.0</c:v>
                  </c:pt>
                </c:lvl>
                <c:lvl>
                  <c:pt idx="0">
                    <c:v>TestDC</c:v>
                  </c:pt>
                </c:lvl>
              </c:multiLvlStrCache>
            </c:multiLvlStrRef>
          </c:cat>
          <c:val>
            <c:numRef>
              <c:f>'Concurrent Node Chart'!$C$5:$C$7</c:f>
              <c:numCache>
                <c:formatCode>#,##0.00</c:formatCode>
                <c:ptCount val="1"/>
                <c:pt idx="0">
                  <c:v>4.4827570000000003</c:v>
                </c:pt>
              </c:numCache>
            </c:numRef>
          </c:val>
          <c:smooth val="0"/>
          <c:extLst>
            <c:ext xmlns:c16="http://schemas.microsoft.com/office/drawing/2014/chart" uri="{C3380CC4-5D6E-409C-BE32-E72D297353CC}">
              <c16:uniqueId val="{00000001-D0BF-421B-A6BE-0E23E8B9484C}"/>
            </c:ext>
          </c:extLst>
        </c:ser>
        <c:dLbls>
          <c:showLegendKey val="0"/>
          <c:showVal val="0"/>
          <c:showCatName val="0"/>
          <c:showSerName val="0"/>
          <c:showPercent val="0"/>
          <c:showBubbleSize val="0"/>
        </c:dLbls>
        <c:marker val="1"/>
        <c:smooth val="0"/>
        <c:axId val="1366596559"/>
        <c:axId val="1420336591"/>
      </c:lineChart>
      <c:lineChart>
        <c:grouping val="standard"/>
        <c:varyColors val="0"/>
        <c:ser>
          <c:idx val="2"/>
          <c:order val="2"/>
          <c:tx>
            <c:strRef>
              <c:f>'Concurrent Node Chart'!$D$4</c:f>
              <c:strCache>
                <c:ptCount val="1"/>
                <c:pt idx="0">
                  <c:v>StdDev</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'Concurrent Node Chart'!$A$5:$A$7</c:f>
              <c:multiLvlStrCache>
                <c:ptCount val="1"/>
                <c:lvl>
                  <c:pt idx="0">
                    <c:v>0.0.0.0</c:v>
                  </c:pt>
                </c:lvl>
                <c:lvl>
                  <c:pt idx="0">
                    <c:v>TestDC</c:v>
                  </c:pt>
                </c:lvl>
              </c:multiLvlStrCache>
            </c:multiLvlStrRef>
          </c:cat>
          <c:val>
            <c:numRef>
              <c:f>'Concurrent Node Chart'!$D$5:$D$7</c:f>
              <c:numCache>
                <c:formatCode>#,##0.00</c:formatCode>
                <c:ptCount val="1"/>
                <c:pt idx="0">
                  <c:v>0</c:v>
                </c:pt>
              </c:numCache>
            </c:numRef>
          </c:val>
          <c:smooth val="0"/>
          <c:extLst>
            <c:ext xmlns:c16="http://schemas.microsoft.com/office/drawing/2014/chart" uri="{C3380CC4-5D6E-409C-BE32-E72D297353CC}">
              <c16:uniqueId val="{00000002-D0BF-421B-A6BE-0E23E8B9484C}"/>
            </c:ext>
          </c:extLst>
        </c:ser>
        <c:dLbls>
          <c:showLegendKey val="0"/>
          <c:showVal val="0"/>
          <c:showCatName val="0"/>
          <c:showSerName val="0"/>
          <c:showPercent val="0"/>
          <c:showBubbleSize val="0"/>
        </c:dLbls>
        <c:marker val="1"/>
        <c:smooth val="0"/>
        <c:axId val="1210775551"/>
        <c:axId val="1420839231"/>
      </c:lineChart>
      <c:catAx>
        <c:axId val="1366596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336591"/>
        <c:crosses val="autoZero"/>
        <c:auto val="1"/>
        <c:lblAlgn val="ctr"/>
        <c:lblOffset val="100"/>
        <c:noMultiLvlLbl val="0"/>
      </c:catAx>
      <c:valAx>
        <c:axId val="14203365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596559"/>
        <c:crosses val="autoZero"/>
        <c:crossBetween val="between"/>
      </c:valAx>
      <c:valAx>
        <c:axId val="142083923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75551"/>
        <c:crosses val="max"/>
        <c:crossBetween val="between"/>
      </c:valAx>
      <c:catAx>
        <c:axId val="1210775551"/>
        <c:scaling>
          <c:orientation val="minMax"/>
        </c:scaling>
        <c:delete val="1"/>
        <c:axPos val="b"/>
        <c:numFmt formatCode="General" sourceLinked="1"/>
        <c:majorTickMark val="out"/>
        <c:minorTickMark val="none"/>
        <c:tickLblPos val="nextTo"/>
        <c:crossAx val="1420839231"/>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strRef>
              <c:f>'Log Events State by Node'!$A$8:$A$9</c:f>
              <c:strCache>
                <c:ptCount val="1"/>
                <c:pt idx="0">
                  <c:v>DC1</c:v>
                </c:pt>
              </c:strCache>
            </c:strRef>
          </c:cat>
          <c:val>
            <c:numRef>
              <c:f>'Log Events State by Node'!$B$8:$B$9</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69</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80010</xdr:rowOff>
    </xdr:from>
    <xdr:to>
      <xdr:col>7</xdr:col>
      <xdr:colOff>1181100</xdr:colOff>
      <xdr:row>27</xdr:row>
      <xdr:rowOff>106680</xdr:rowOff>
    </xdr:to>
    <xdr:graphicFrame macro="">
      <xdr:nvGraphicFramePr>
        <xdr:cNvPr id="2" name="Chart 1">
          <a:extLst>
            <a:ext uri="{FF2B5EF4-FFF2-40B4-BE49-F238E27FC236}">
              <a16:creationId xmlns:a16="http://schemas.microsoft.com/office/drawing/2014/main" id="{A96BF7E1-6783-4E7F-B6C7-CD6C68BCA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114300</xdr:colOff>
      <xdr:row>0</xdr:row>
      <xdr:rowOff>76200</xdr:rowOff>
    </xdr:from>
    <xdr:to>
      <xdr:col>7</xdr:col>
      <xdr:colOff>1181100</xdr:colOff>
      <xdr:row>27</xdr:row>
      <xdr:rowOff>102870</xdr:rowOff>
    </xdr:to>
    <xdr:graphicFrame macro="">
      <xdr:nvGraphicFramePr>
        <xdr:cNvPr id="2" name="Chart 1">
          <a:extLst>
            <a:ext uri="{FF2B5EF4-FFF2-40B4-BE49-F238E27FC236}">
              <a16:creationId xmlns:a16="http://schemas.microsoft.com/office/drawing/2014/main" id="{3A3A03EE-CCA9-401A-B3B8-631648201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114300</xdr:colOff>
      <xdr:row>0</xdr:row>
      <xdr:rowOff>95250</xdr:rowOff>
    </xdr:from>
    <xdr:to>
      <xdr:col>9</xdr:col>
      <xdr:colOff>754380</xdr:colOff>
      <xdr:row>25</xdr:row>
      <xdr:rowOff>7620</xdr:rowOff>
    </xdr:to>
    <xdr:graphicFrame macro="">
      <xdr:nvGraphicFramePr>
        <xdr:cNvPr id="4" name="Chart 3">
          <a:extLst>
            <a:ext uri="{FF2B5EF4-FFF2-40B4-BE49-F238E27FC236}">
              <a16:creationId xmlns:a16="http://schemas.microsoft.com/office/drawing/2014/main" id="{8B7C6955-BF2E-465B-AB22-A4BE29966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3020.57052719907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3020.570529282406" createdVersion="6" refreshedVersion="6" minRefreshableVersion="3" recordCount="182">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9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3020.570529745368"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020.570529861114" createdVersion="6" refreshedVersion="6" minRefreshableVersion="3" recordCount="3143">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Compaction mean latencty" u="1"/>
        <s v="MemTable Size minimum" u="1"/>
        <s v="MemTable OPS maximum" u="1"/>
        <s v="MemTable OPS mean" u="1"/>
        <s v="MemTable Size maximum" u="1"/>
        <s v="MemTable occurrences" u="1"/>
        <s v="SSTable read maximum " u="1"/>
        <s v="MemTable Size mean" u="1"/>
        <s v="MemTable OPS minimum" u="1"/>
        <s v="Compaction maximum latencty" u="1"/>
        <s v="Compaction minimum latencty" u="1"/>
      </sharedItems>
    </cacheField>
    <cacheField name="Value" numFmtId="0">
      <sharedItems containsString="0" containsBlank="1" containsNumber="1" minValue="-1" maxValue="15887269396"/>
    </cacheField>
    <cacheField name="Unit of Measure" numFmtId="0">
      <sharedItems containsBlank="1"/>
    </cacheField>
    <cacheField name="Size in MB(Formatted)" numFmtId="0">
      <sharedItems containsString="0" containsBlank="1" containsNumber="1" minValue="0" maxValue="15151.280780792236"/>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020.57053032407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020.758960763887" createdVersion="5" refreshedVersion="6" minRefreshableVersion="3" recordCount="116">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11">
        <s v="Compacting large partition"/>
        <s v="Compaction Latency Warning"/>
        <s v="Prepared Discarded"/>
        <s v="Query Tombstones Warning"/>
        <s v="Unlogged Batch Partitions"/>
        <s v="io.netty.channel.unix.Errors$NativeIoException"/>
        <s v="Node Marked Down "/>
        <s v="Node Not Responding "/>
        <s v="org.apache.cassandra.exceptions.UnavailableException"/>
        <s v="Node Detected Down"/>
        <m/>
      </sharedItems>
    </cacheField>
    <cacheField name="Path" numFmtId="0">
      <sharedItems containsBlank="1" count="13" longText="1">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 v="Node Marked Down (Dropped Hints)"/>
        <s v="Node Not Responding (Timed Out Hints)"/>
        <s v="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
        <s v="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
      </sharedItems>
    </cacheField>
    <cacheField name="Associated Item Type" numFmtId="0">
      <sharedItems containsBlank="1" count="4">
        <s v="Table"/>
        <m/>
        <s v="IPAdress"/>
        <s v="IPAddress"/>
      </sharedItems>
    </cacheField>
    <cacheField name="Associated Item" numFmtId="0">
      <sharedItems containsBlank="1" count="19">
        <s v="TestKS.TestTbl"/>
        <m/>
        <s v="0.0.0.8:43646-&gt;0.0.0.9:9042"/>
        <s v="0.0.0.6:60565-&gt;0.0.0.8:9042"/>
        <s v="0.0.0.7:44813-&gt;0.0.0.8:9042"/>
        <s v="0.0.0.8:43193-&gt;0.0.0.8:9042"/>
        <s v="0.0.0.8:46213-&gt;0.0.0.8:9042"/>
        <s v="10.22.242.37"/>
        <s v="10.23.8.58; 10.23.8.59; 10.23.8.35; 10.23.8.34; 10.23.8.43; 10.23.8.55; 10.23.8.42; 10.23.8.33; 10.23.8.32; 10.23.8.25; 10.23.8.44; 10.23.8.57; 10.23.8.27; 10.23.8.54; 10.23.8.26"/>
        <s v="10.23.8.54"/>
        <s v="10.23.8.25; 10.23.8.59; 10.23.8.55; 10.23.8.26; 10.23.8.40; 10.23.8.32; 10.23.8.58; 10.23.8.44; 10.23.8.35; 10.23.8.33; 10.23.8.54; 10.23.8.34; 10.23.8.57; 10.23.8.43; 10.23.8.42"/>
        <s v="10.23.8.30"/>
        <s v="10.23.8.42"/>
        <s v="10.23.8.27"/>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7-06-27T02:58:23" count="95">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d v="2017-06-27T02:58:23"/>
        <d v="2017-06-27T02:28:23"/>
        <d v="2017-06-27T01:58:23"/>
        <d v="2017-06-27T01:28:23"/>
        <d v="2017-06-27T00:58:23"/>
        <d v="2017-06-27T00:28:23"/>
        <d v="2017-06-26T23:58:23"/>
        <d v="2017-06-25T04:32:33"/>
        <d v="2017-06-25T04:29:44"/>
        <d v="2017-06-25T01:19:54"/>
        <d v="2017-06-24T09:52:02"/>
        <d v="2017-06-24T09:37:38"/>
        <d v="2017-06-24T08:24:43"/>
        <m/>
      </sharedItems>
    </cacheField>
    <cacheField name="Occurrences" numFmtId="0">
      <sharedItems containsString="0" containsBlank="1" containsNumber="1" containsInteger="1" minValue="1" maxValue="19"/>
    </cacheField>
    <cacheField name="Reconciliation Reference" numFmtId="0">
      <sharedItems containsString="0" containsBlank="1" containsNumber="1" containsInteger="1" minValue="416" maxValue="39507"/>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3187.784970486115" createdVersion="5" refreshedVersion="6" minRefreshableVersion="3" recordCount="3143">
  <cacheSource type="worksheet">
    <worksheetSource ref="A1:L1048576" sheet="CFStats"/>
  </cacheSource>
  <cacheFields count="12">
    <cacheField name="Source" numFmtId="0">
      <sharedItems containsBlank="1" count="6">
        <s v="CFStats"/>
        <s v="Cassandra Log"/>
        <s v="TableHistogram"/>
        <s v="Solr Json"/>
        <s v="Solr"/>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s v="Solr Index Storage Size"/>
        <s v="Solr Index Storage Size Ratio"/>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Blank="1" containsMixedTypes="1" containsNumber="1" minValue="-1" maxValue="512389489489" count="101">
        <n v="25341"/>
        <n v="0.26593476974073632"/>
        <n v="43066695"/>
        <n v="1.0740350820976626E-2"/>
        <n v="0"/>
        <n v="-1"/>
        <n v="23"/>
        <n v="2.5000000000000001E-2"/>
        <n v="2"/>
        <n v="0.03"/>
        <n v="21671"/>
        <n v="258"/>
        <n v="14414"/>
        <n v="326294685"/>
        <n v="110678904"/>
        <n v="231011406"/>
        <n v="7475"/>
        <n v="1025"/>
        <n v="2422"/>
        <n v="107"/>
        <n v="531"/>
        <n v="17942"/>
        <n v="0.191833"/>
        <n v="4.5546290000000003"/>
        <n v="2.280383"/>
        <n v="3.8825877000000002"/>
        <n v="35"/>
        <n v="4.4999999999999998E-2"/>
        <n v="10"/>
        <n v="1.97"/>
        <n v="2100"/>
        <n v="100"/>
        <n v="1200"/>
        <n v="4"/>
        <n v="12"/>
        <n v="8"/>
        <n v="3"/>
        <n v="7"/>
        <n v="1"/>
        <n v="6"/>
        <n v="7901303"/>
        <n v="9174"/>
        <n v="112953"/>
        <n v="246"/>
        <n v="5819747"/>
        <n v="1455699.25"/>
        <n v="2519584.2544080932"/>
        <n v="230"/>
        <n v="124"/>
        <n v="5"/>
        <n v="123"/>
        <n v="54"/>
        <n v="7.89"/>
        <n v="3.45"/>
        <n v="1.23"/>
        <n v="12.43"/>
        <n v="5.67"/>
        <n v="2.34"/>
        <n v="23.45"/>
        <s v="[1, 10, 7, 0, 0, 0, 0, 0, 0]"/>
        <s v="[1, 11/10, 13, 0, 0, 0, 0, 0, 0]"/>
        <s v="[1, 10, 5, 0, 0, 0, 0, 0, 0]"/>
        <s v="[1, 10, 13, 0, 0, 0, 0, 0, 0]"/>
        <s v="[1, 10, 17, 0, 0, 0, 0, 0, 0]"/>
        <s v="[1, 10, 16, 0, 0, 0, 0, 0, 0]"/>
        <s v="[2, 10, 6, 0, 0, 0, 0, 0, 0]"/>
        <n v="1574"/>
        <n v="111"/>
        <n v="550.5"/>
        <n v="441.62229336843944"/>
        <n v="240"/>
        <n v="166"/>
        <n v="201.33333333333334"/>
        <n v="30.302181806302698"/>
        <n v="16107106"/>
        <n v="216159"/>
        <n v="7522042"/>
        <n v="94"/>
        <n v="692979776"/>
        <n v="8286272"/>
        <n v="329273688"/>
        <n v="10149889"/>
        <n v="5706858"/>
        <n v="80"/>
        <n v="444342300"/>
        <n v="252178879.30158731"/>
        <n v="15887269396"/>
        <n v="30"/>
        <n v="15"/>
        <n v="3.4"/>
        <n v="62111"/>
        <n v="20405"/>
        <n v="13252"/>
        <n v="15527"/>
        <n v="55318147"/>
        <n v="508575176751"/>
        <n v="54707997"/>
        <n v="512389489489"/>
        <n v="54936691"/>
        <n v="0.5"/>
        <m/>
      </sharedItems>
    </cacheField>
    <cacheField name="Unit of Measure" numFmtId="0">
      <sharedItems containsBlank="1"/>
    </cacheField>
    <cacheField name="Size in MB(Formatted)" numFmtId="0">
      <sharedItems containsString="0" containsBlank="1" containsNumber="1" minValue="0" maxValue="488652.69612216944"/>
    </cacheField>
    <cacheField name="Active" numFmtId="0">
      <sharedItems containsBlank="1" count="2">
        <m/>
        <b v="1"/>
      </sharedItems>
    </cacheField>
    <cacheField name="(Value)" numFmtId="0">
      <sharedItems containsString="0" containsBlank="1" containsNumber="1" minValue="0" maxValue="512389489489"/>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s v="Cassandra Log"/>
    <x v="0"/>
    <x v="0"/>
    <x v="177"/>
    <m/>
    <m/>
    <m/>
    <m/>
    <m/>
    <m/>
    <m/>
    <n v="16"/>
  </r>
  <r>
    <s v="Cassandra Log"/>
    <x v="0"/>
    <x v="0"/>
    <x v="178"/>
    <m/>
    <m/>
    <m/>
    <m/>
    <m/>
    <m/>
    <m/>
    <n v="2"/>
  </r>
  <r>
    <s v="Cassandra Log"/>
    <x v="0"/>
    <x v="0"/>
    <x v="179"/>
    <m/>
    <m/>
    <m/>
    <m/>
    <m/>
    <m/>
    <m/>
    <n v="45"/>
  </r>
  <r>
    <s v="Cassandra Log"/>
    <x v="0"/>
    <x v="0"/>
    <x v="180"/>
    <m/>
    <m/>
    <m/>
    <m/>
    <m/>
    <m/>
    <m/>
    <n v="45"/>
  </r>
  <r>
    <m/>
    <x v="1"/>
    <x v="1"/>
    <x v="181"/>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2"/>
    <x v="0"/>
    <x v="0"/>
    <x v="0"/>
    <x v="1"/>
    <x v="48"/>
    <n v="35"/>
    <s v="SSTables"/>
    <m/>
    <b v="1"/>
    <n v="35"/>
  </r>
  <r>
    <x v="2"/>
    <x v="0"/>
    <x v="0"/>
    <x v="0"/>
    <x v="1"/>
    <x v="49"/>
    <n v="4.4999999999999998E-2"/>
    <s v="ms"/>
    <m/>
    <b v="1"/>
    <n v="4055.2689999999998"/>
  </r>
  <r>
    <x v="2"/>
    <x v="0"/>
    <x v="0"/>
    <x v="0"/>
    <x v="1"/>
    <x v="50"/>
    <n v="10"/>
    <s v="ms"/>
    <m/>
    <b v="1"/>
    <n v="10"/>
  </r>
  <r>
    <x v="2"/>
    <x v="0"/>
    <x v="0"/>
    <x v="0"/>
    <x v="1"/>
    <x v="36"/>
    <n v="1.97"/>
    <s v="mb"/>
    <n v="1.97"/>
    <b v="1"/>
    <n v="1.97"/>
  </r>
  <r>
    <x v="1"/>
    <x v="0"/>
    <x v="0"/>
    <x v="0"/>
    <x v="1"/>
    <x v="51"/>
    <n v="2100"/>
    <m/>
    <m/>
    <b v="1"/>
    <n v="2100"/>
  </r>
  <r>
    <x v="1"/>
    <x v="0"/>
    <x v="0"/>
    <x v="0"/>
    <x v="1"/>
    <x v="52"/>
    <n v="100"/>
    <m/>
    <m/>
    <b v="1"/>
    <n v="100"/>
  </r>
  <r>
    <x v="1"/>
    <x v="0"/>
    <x v="0"/>
    <x v="0"/>
    <x v="1"/>
    <x v="53"/>
    <n v="1200"/>
    <m/>
    <m/>
    <b v="1"/>
    <n v="1200"/>
  </r>
  <r>
    <x v="1"/>
    <x v="0"/>
    <x v="0"/>
    <x v="0"/>
    <x v="1"/>
    <x v="54"/>
    <n v="4"/>
    <m/>
    <m/>
    <b v="1"/>
    <n v="4"/>
  </r>
  <r>
    <x v="1"/>
    <x v="0"/>
    <x v="0"/>
    <x v="0"/>
    <x v="1"/>
    <x v="55"/>
    <n v="12"/>
    <m/>
    <m/>
    <b v="1"/>
    <n v="12"/>
  </r>
  <r>
    <x v="1"/>
    <x v="0"/>
    <x v="0"/>
    <x v="0"/>
    <x v="1"/>
    <x v="56"/>
    <n v="8"/>
    <m/>
    <m/>
    <b v="1"/>
    <n v="8"/>
  </r>
  <r>
    <x v="1"/>
    <x v="0"/>
    <x v="0"/>
    <x v="0"/>
    <x v="1"/>
    <x v="57"/>
    <n v="4"/>
    <m/>
    <m/>
    <b v="1"/>
    <n v="4"/>
  </r>
  <r>
    <x v="1"/>
    <x v="0"/>
    <x v="0"/>
    <x v="0"/>
    <x v="1"/>
    <x v="58"/>
    <n v="2"/>
    <m/>
    <m/>
    <b v="1"/>
    <n v="2"/>
  </r>
  <r>
    <x v="1"/>
    <x v="0"/>
    <x v="0"/>
    <x v="0"/>
    <x v="1"/>
    <x v="59"/>
    <n v="3"/>
    <m/>
    <m/>
    <b v="1"/>
    <n v="3"/>
  </r>
  <r>
    <x v="1"/>
    <x v="0"/>
    <x v="0"/>
    <x v="0"/>
    <x v="1"/>
    <x v="60"/>
    <n v="7"/>
    <m/>
    <m/>
    <b v="1"/>
    <n v="7"/>
  </r>
  <r>
    <x v="1"/>
    <x v="0"/>
    <x v="0"/>
    <x v="0"/>
    <x v="1"/>
    <x v="61"/>
    <n v="3"/>
    <m/>
    <m/>
    <b v="1"/>
    <n v="3"/>
  </r>
  <r>
    <x v="1"/>
    <x v="0"/>
    <x v="0"/>
    <x v="0"/>
    <x v="1"/>
    <x v="62"/>
    <n v="2"/>
    <m/>
    <m/>
    <b v="1"/>
    <n v="2"/>
  </r>
  <r>
    <x v="1"/>
    <x v="0"/>
    <x v="0"/>
    <x v="0"/>
    <x v="1"/>
    <x v="63"/>
    <n v="1"/>
    <m/>
    <m/>
    <b v="1"/>
    <n v="1"/>
  </r>
  <r>
    <x v="1"/>
    <x v="0"/>
    <x v="0"/>
    <x v="0"/>
    <x v="1"/>
    <x v="64"/>
    <n v="6"/>
    <m/>
    <m/>
    <b v="1"/>
    <n v="6"/>
  </r>
  <r>
    <x v="1"/>
    <x v="0"/>
    <x v="0"/>
    <x v="0"/>
    <x v="1"/>
    <x v="65"/>
    <n v="23"/>
    <m/>
    <m/>
    <b v="1"/>
    <n v="23"/>
  </r>
  <r>
    <x v="1"/>
    <x v="0"/>
    <x v="0"/>
    <x v="0"/>
    <x v="0"/>
    <x v="66"/>
    <n v="7901303"/>
    <s v="ms"/>
    <m/>
    <m/>
    <n v="7901303"/>
  </r>
  <r>
    <x v="1"/>
    <x v="0"/>
    <x v="0"/>
    <x v="0"/>
    <x v="0"/>
    <x v="67"/>
    <n v="9174"/>
    <s v="ms"/>
    <m/>
    <m/>
    <n v="9174"/>
  </r>
  <r>
    <x v="1"/>
    <x v="0"/>
    <x v="0"/>
    <x v="0"/>
    <x v="0"/>
    <x v="68"/>
    <n v="112953"/>
    <s v="ms"/>
    <m/>
    <m/>
    <n v="112953"/>
  </r>
  <r>
    <x v="1"/>
    <x v="0"/>
    <x v="0"/>
    <x v="0"/>
    <x v="0"/>
    <x v="69"/>
    <n v="246"/>
    <m/>
    <m/>
    <m/>
    <n v="246"/>
  </r>
  <r>
    <x v="1"/>
    <x v="0"/>
    <x v="0"/>
    <x v="0"/>
    <x v="0"/>
    <x v="70"/>
    <n v="1"/>
    <m/>
    <m/>
    <m/>
    <n v="1"/>
  </r>
  <r>
    <x v="1"/>
    <x v="0"/>
    <x v="0"/>
    <x v="0"/>
    <x v="1"/>
    <x v="71"/>
    <n v="5819747"/>
    <s v="ms"/>
    <m/>
    <b v="1"/>
    <n v="5819747"/>
  </r>
  <r>
    <x v="1"/>
    <x v="0"/>
    <x v="0"/>
    <x v="0"/>
    <x v="1"/>
    <x v="72"/>
    <n v="23"/>
    <s v="ms"/>
    <m/>
    <b v="1"/>
    <n v="23"/>
  </r>
  <r>
    <x v="1"/>
    <x v="0"/>
    <x v="0"/>
    <x v="0"/>
    <x v="1"/>
    <x v="73"/>
    <n v="1455699.25"/>
    <s v="ms"/>
    <m/>
    <b v="1"/>
    <n v="1455699.25"/>
  </r>
  <r>
    <x v="1"/>
    <x v="0"/>
    <x v="0"/>
    <x v="0"/>
    <x v="1"/>
    <x v="74"/>
    <n v="2519584.2544080932"/>
    <s v="ms"/>
    <m/>
    <b v="1"/>
    <n v="2519584.2544080932"/>
  </r>
  <r>
    <x v="1"/>
    <x v="0"/>
    <x v="0"/>
    <x v="0"/>
    <x v="1"/>
    <x v="75"/>
    <n v="4"/>
    <m/>
    <m/>
    <b v="1"/>
    <n v="4"/>
  </r>
  <r>
    <x v="1"/>
    <x v="0"/>
    <x v="0"/>
    <x v="0"/>
    <x v="1"/>
    <x v="76"/>
    <n v="230"/>
    <s v="ms"/>
    <m/>
    <b v="1"/>
    <n v="230"/>
  </r>
  <r>
    <x v="1"/>
    <x v="0"/>
    <x v="0"/>
    <x v="0"/>
    <x v="1"/>
    <x v="77"/>
    <n v="124"/>
    <s v="ms"/>
    <m/>
    <b v="1"/>
    <n v="124"/>
  </r>
  <r>
    <x v="1"/>
    <x v="0"/>
    <x v="0"/>
    <x v="0"/>
    <x v="1"/>
    <x v="78"/>
    <n v="100"/>
    <s v="ms"/>
    <m/>
    <b v="1"/>
    <n v="100"/>
  </r>
  <r>
    <x v="1"/>
    <x v="0"/>
    <x v="0"/>
    <x v="0"/>
    <x v="1"/>
    <x v="79"/>
    <n v="10"/>
    <m/>
    <m/>
    <b v="1"/>
    <n v="10"/>
  </r>
  <r>
    <x v="1"/>
    <x v="0"/>
    <x v="0"/>
    <x v="0"/>
    <x v="1"/>
    <x v="80"/>
    <n v="5"/>
    <m/>
    <m/>
    <b v="1"/>
    <n v="5"/>
  </r>
  <r>
    <x v="1"/>
    <x v="0"/>
    <x v="0"/>
    <x v="0"/>
    <x v="1"/>
    <x v="81"/>
    <n v="123"/>
    <s v="ms"/>
    <m/>
    <b v="1"/>
    <n v="123"/>
  </r>
  <r>
    <x v="1"/>
    <x v="0"/>
    <x v="0"/>
    <x v="0"/>
    <x v="1"/>
    <x v="82"/>
    <n v="54"/>
    <s v="ms"/>
    <m/>
    <b v="1"/>
    <n v="54"/>
  </r>
  <r>
    <x v="1"/>
    <x v="0"/>
    <x v="0"/>
    <x v="0"/>
    <x v="1"/>
    <x v="83"/>
    <n v="23"/>
    <s v="ms"/>
    <m/>
    <b v="1"/>
    <n v="23"/>
  </r>
  <r>
    <x v="1"/>
    <x v="0"/>
    <x v="0"/>
    <x v="0"/>
    <x v="1"/>
    <x v="84"/>
    <n v="12"/>
    <m/>
    <m/>
    <b v="1"/>
    <n v="12"/>
  </r>
  <r>
    <x v="1"/>
    <x v="0"/>
    <x v="0"/>
    <x v="0"/>
    <x v="1"/>
    <x v="85"/>
    <n v="7.89"/>
    <s v="mb/sec"/>
    <m/>
    <b v="1"/>
    <n v="7.89"/>
  </r>
  <r>
    <x v="1"/>
    <x v="0"/>
    <x v="0"/>
    <x v="0"/>
    <x v="1"/>
    <x v="86"/>
    <n v="3.45"/>
    <s v="mb/sec"/>
    <m/>
    <b v="1"/>
    <n v="3.45"/>
  </r>
  <r>
    <x v="1"/>
    <x v="0"/>
    <x v="0"/>
    <x v="0"/>
    <x v="1"/>
    <x v="87"/>
    <n v="1.23"/>
    <s v="mb/sec"/>
    <m/>
    <b v="1"/>
    <n v="1.23"/>
  </r>
  <r>
    <x v="1"/>
    <x v="0"/>
    <x v="0"/>
    <x v="0"/>
    <x v="1"/>
    <x v="88"/>
    <n v="12.43"/>
    <s v="mb"/>
    <m/>
    <b v="1"/>
    <n v="12.43"/>
  </r>
  <r>
    <x v="1"/>
    <x v="0"/>
    <x v="0"/>
    <x v="0"/>
    <x v="1"/>
    <x v="89"/>
    <n v="5.67"/>
    <s v="mb"/>
    <m/>
    <b v="1"/>
    <n v="5.67"/>
  </r>
  <r>
    <x v="1"/>
    <x v="0"/>
    <x v="0"/>
    <x v="0"/>
    <x v="1"/>
    <x v="90"/>
    <n v="2.34"/>
    <s v="mb"/>
    <m/>
    <b v="1"/>
    <n v="2.34"/>
  </r>
  <r>
    <x v="1"/>
    <x v="0"/>
    <x v="0"/>
    <x v="0"/>
    <x v="1"/>
    <x v="91"/>
    <n v="23.45"/>
    <s v="mb"/>
    <m/>
    <b v="1"/>
    <n v="23.45"/>
  </r>
  <r>
    <x v="0"/>
    <x v="0"/>
    <x v="0"/>
    <x v="0"/>
    <x v="1"/>
    <x v="92"/>
    <m/>
    <s v="[1, 10, 7, 0, 0, 0, 0, 0, 0]"/>
    <m/>
    <b v="1"/>
    <m/>
  </r>
  <r>
    <x v="0"/>
    <x v="0"/>
    <x v="0"/>
    <x v="0"/>
    <x v="1"/>
    <x v="92"/>
    <m/>
    <s v="[1, 11/10, 13, 0, 0, 0, 0, 0, 0]"/>
    <m/>
    <b v="1"/>
    <m/>
  </r>
  <r>
    <x v="0"/>
    <x v="0"/>
    <x v="0"/>
    <x v="0"/>
    <x v="1"/>
    <x v="92"/>
    <m/>
    <s v="[1, 10, 5, 0, 0, 0, 0, 0, 0]"/>
    <m/>
    <b v="1"/>
    <m/>
  </r>
  <r>
    <x v="0"/>
    <x v="0"/>
    <x v="0"/>
    <x v="0"/>
    <x v="1"/>
    <x v="92"/>
    <m/>
    <s v="[1, 10, 13, 0, 0, 0, 0, 0, 0]"/>
    <m/>
    <b v="1"/>
    <m/>
  </r>
  <r>
    <x v="0"/>
    <x v="0"/>
    <x v="0"/>
    <x v="0"/>
    <x v="1"/>
    <x v="92"/>
    <m/>
    <s v="[1, 10, 7, 0, 0, 0, 0, 0, 0]"/>
    <m/>
    <b v="1"/>
    <m/>
  </r>
  <r>
    <x v="0"/>
    <x v="0"/>
    <x v="0"/>
    <x v="0"/>
    <x v="1"/>
    <x v="92"/>
    <m/>
    <s v="[1, 10, 17, 0, 0, 0, 0, 0, 0]"/>
    <m/>
    <b v="1"/>
    <m/>
  </r>
  <r>
    <x v="0"/>
    <x v="0"/>
    <x v="0"/>
    <x v="0"/>
    <x v="1"/>
    <x v="92"/>
    <m/>
    <s v="[1, 10, 7, 0, 0, 0, 0, 0, 0]"/>
    <m/>
    <b v="1"/>
    <m/>
  </r>
  <r>
    <x v="0"/>
    <x v="0"/>
    <x v="0"/>
    <x v="0"/>
    <x v="1"/>
    <x v="92"/>
    <m/>
    <s v="[1, 10, 16, 0, 0, 0, 0, 0, 0]"/>
    <m/>
    <b v="1"/>
    <m/>
  </r>
  <r>
    <x v="0"/>
    <x v="0"/>
    <x v="0"/>
    <x v="0"/>
    <x v="1"/>
    <x v="92"/>
    <m/>
    <s v="[2, 10, 6, 0, 0, 0, 0, 0, 0]"/>
    <m/>
    <b v="1"/>
    <m/>
  </r>
  <r>
    <x v="1"/>
    <x v="0"/>
    <x v="0"/>
    <x v="0"/>
    <x v="2"/>
    <x v="93"/>
    <n v="1574"/>
    <s v="ms"/>
    <m/>
    <b v="1"/>
    <n v="1574"/>
  </r>
  <r>
    <x v="1"/>
    <x v="0"/>
    <x v="0"/>
    <x v="0"/>
    <x v="2"/>
    <x v="94"/>
    <n v="111"/>
    <s v="ms"/>
    <m/>
    <b v="1"/>
    <n v="111"/>
  </r>
  <r>
    <x v="1"/>
    <x v="0"/>
    <x v="0"/>
    <x v="0"/>
    <x v="2"/>
    <x v="95"/>
    <n v="550.5"/>
    <s v="ms"/>
    <m/>
    <b v="1"/>
    <n v="550.5"/>
  </r>
  <r>
    <x v="1"/>
    <x v="0"/>
    <x v="0"/>
    <x v="0"/>
    <x v="2"/>
    <x v="96"/>
    <n v="441.62229336843944"/>
    <s v="ms"/>
    <m/>
    <b v="1"/>
    <n v="441.62229336843944"/>
  </r>
  <r>
    <x v="1"/>
    <x v="0"/>
    <x v="0"/>
    <x v="0"/>
    <x v="2"/>
    <x v="97"/>
    <n v="8"/>
    <m/>
    <m/>
    <b v="1"/>
    <n v="8"/>
  </r>
  <r>
    <x v="1"/>
    <x v="0"/>
    <x v="0"/>
    <x v="0"/>
    <x v="2"/>
    <x v="93"/>
    <n v="240"/>
    <s v="ms"/>
    <m/>
    <b v="1"/>
    <n v="240"/>
  </r>
  <r>
    <x v="1"/>
    <x v="0"/>
    <x v="0"/>
    <x v="0"/>
    <x v="2"/>
    <x v="94"/>
    <n v="166"/>
    <s v="ms"/>
    <m/>
    <b v="1"/>
    <n v="166"/>
  </r>
  <r>
    <x v="1"/>
    <x v="0"/>
    <x v="0"/>
    <x v="0"/>
    <x v="2"/>
    <x v="95"/>
    <n v="201.33333333333334"/>
    <s v="ms"/>
    <m/>
    <b v="1"/>
    <n v="201.33333333333334"/>
  </r>
  <r>
    <x v="1"/>
    <x v="0"/>
    <x v="0"/>
    <x v="0"/>
    <x v="2"/>
    <x v="96"/>
    <n v="30.302181806302698"/>
    <s v="ms"/>
    <m/>
    <b v="1"/>
    <n v="30.302181806302698"/>
  </r>
  <r>
    <x v="1"/>
    <x v="0"/>
    <x v="0"/>
    <x v="0"/>
    <x v="2"/>
    <x v="97"/>
    <n v="3"/>
    <m/>
    <m/>
    <b v="1"/>
    <n v="3"/>
  </r>
  <r>
    <x v="1"/>
    <x v="0"/>
    <x v="0"/>
    <x v="1"/>
    <x v="0"/>
    <x v="98"/>
    <n v="1"/>
    <m/>
    <m/>
    <m/>
    <n v="1"/>
  </r>
  <r>
    <x v="1"/>
    <x v="0"/>
    <x v="0"/>
    <x v="0"/>
    <x v="0"/>
    <x v="99"/>
    <n v="1"/>
    <m/>
    <m/>
    <m/>
    <n v="1"/>
  </r>
  <r>
    <x v="1"/>
    <x v="0"/>
    <x v="0"/>
    <x v="0"/>
    <x v="1"/>
    <x v="100"/>
    <n v="1"/>
    <m/>
    <m/>
    <b v="1"/>
    <n v="1"/>
  </r>
  <r>
    <x v="1"/>
    <x v="0"/>
    <x v="0"/>
    <x v="0"/>
    <x v="1"/>
    <x v="101"/>
    <n v="16107106"/>
    <s v="Operations per Second"/>
    <m/>
    <b v="1"/>
    <n v="16107106"/>
  </r>
  <r>
    <x v="1"/>
    <x v="0"/>
    <x v="0"/>
    <x v="0"/>
    <x v="1"/>
    <x v="102"/>
    <n v="216159"/>
    <s v="Operations per Second"/>
    <m/>
    <b v="1"/>
    <n v="216159"/>
  </r>
  <r>
    <x v="1"/>
    <x v="0"/>
    <x v="0"/>
    <x v="0"/>
    <x v="1"/>
    <x v="103"/>
    <n v="7522042"/>
    <s v="Operations per Second"/>
    <m/>
    <b v="1"/>
    <n v="7522042"/>
  </r>
  <r>
    <x v="1"/>
    <x v="0"/>
    <x v="0"/>
    <x v="0"/>
    <x v="1"/>
    <x v="104"/>
    <n v="94"/>
    <m/>
    <m/>
    <b v="1"/>
    <n v="94"/>
  </r>
  <r>
    <x v="1"/>
    <x v="0"/>
    <x v="0"/>
    <x v="0"/>
    <x v="1"/>
    <x v="105"/>
    <n v="692979776"/>
    <s v="bytes"/>
    <n v="660.87701416015625"/>
    <b v="1"/>
    <m/>
  </r>
  <r>
    <x v="1"/>
    <x v="0"/>
    <x v="0"/>
    <x v="0"/>
    <x v="1"/>
    <x v="106"/>
    <n v="8286272"/>
    <s v="bytes"/>
    <n v="7.90240478515625"/>
    <b v="1"/>
    <m/>
  </r>
  <r>
    <x v="1"/>
    <x v="0"/>
    <x v="0"/>
    <x v="0"/>
    <x v="1"/>
    <x v="107"/>
    <n v="329273688"/>
    <s v="bytes"/>
    <n v="314.01985947629237"/>
    <b v="1"/>
    <m/>
  </r>
  <r>
    <x v="1"/>
    <x v="0"/>
    <x v="0"/>
    <x v="0"/>
    <x v="1"/>
    <x v="108"/>
    <n v="10149889"/>
    <s v="Operations per Second"/>
    <m/>
    <b v="1"/>
    <n v="10149889"/>
  </r>
  <r>
    <x v="1"/>
    <x v="0"/>
    <x v="0"/>
    <x v="0"/>
    <x v="1"/>
    <x v="109"/>
    <n v="216159"/>
    <s v="Operations per Second"/>
    <m/>
    <b v="1"/>
    <n v="216159"/>
  </r>
  <r>
    <x v="1"/>
    <x v="0"/>
    <x v="0"/>
    <x v="0"/>
    <x v="1"/>
    <x v="110"/>
    <n v="5706858"/>
    <s v="Operations per Second"/>
    <m/>
    <b v="1"/>
    <n v="5706858"/>
  </r>
  <r>
    <x v="1"/>
    <x v="0"/>
    <x v="0"/>
    <x v="0"/>
    <x v="1"/>
    <x v="111"/>
    <n v="80"/>
    <m/>
    <m/>
    <b v="1"/>
    <n v="80"/>
  </r>
  <r>
    <x v="1"/>
    <x v="0"/>
    <x v="0"/>
    <x v="0"/>
    <x v="1"/>
    <x v="112"/>
    <n v="444342300"/>
    <s v="bytes"/>
    <n v="240.49652033003522"/>
    <b v="1"/>
    <m/>
  </r>
  <r>
    <x v="1"/>
    <x v="0"/>
    <x v="0"/>
    <x v="0"/>
    <x v="1"/>
    <x v="113"/>
    <n v="8286272"/>
    <s v="bytes"/>
    <n v="7.90240478515625"/>
    <b v="1"/>
    <m/>
  </r>
  <r>
    <x v="1"/>
    <x v="0"/>
    <x v="0"/>
    <x v="0"/>
    <x v="1"/>
    <x v="114"/>
    <n v="252178879.30158731"/>
    <s v="bytes"/>
    <n v="240.49652033003522"/>
    <b v="1"/>
    <m/>
  </r>
  <r>
    <x v="1"/>
    <x v="0"/>
    <x v="0"/>
    <x v="0"/>
    <x v="1"/>
    <x v="115"/>
    <n v="15887269396"/>
    <s v="bytes"/>
    <n v="15151.280780792236"/>
    <b v="1"/>
    <m/>
  </r>
  <r>
    <x v="1"/>
    <x v="0"/>
    <x v="0"/>
    <x v="0"/>
    <x v="1"/>
    <x v="116"/>
    <n v="30"/>
    <s v="mb/sec"/>
    <m/>
    <m/>
    <m/>
  </r>
  <r>
    <x v="1"/>
    <x v="0"/>
    <x v="0"/>
    <x v="0"/>
    <x v="1"/>
    <x v="117"/>
    <n v="15"/>
    <s v="mb/sec"/>
    <m/>
    <m/>
    <m/>
  </r>
  <r>
    <x v="1"/>
    <x v="0"/>
    <x v="0"/>
    <x v="0"/>
    <x v="1"/>
    <x v="118"/>
    <n v="3.4"/>
    <s v="mb/sec"/>
    <m/>
    <m/>
    <m/>
  </r>
  <r>
    <x v="1"/>
    <x v="0"/>
    <x v="0"/>
    <x v="0"/>
    <x v="1"/>
    <x v="119"/>
    <n v="1"/>
    <m/>
    <m/>
    <m/>
    <m/>
  </r>
  <r>
    <x v="1"/>
    <x v="0"/>
    <x v="0"/>
    <x v="0"/>
    <x v="1"/>
    <x v="120"/>
    <n v="62111"/>
    <m/>
    <m/>
    <b v="1"/>
    <n v="62111"/>
  </r>
  <r>
    <x v="1"/>
    <x v="0"/>
    <x v="0"/>
    <x v="0"/>
    <x v="1"/>
    <x v="121"/>
    <n v="20405"/>
    <m/>
    <m/>
    <b v="1"/>
    <n v="20405"/>
  </r>
  <r>
    <x v="1"/>
    <x v="0"/>
    <x v="0"/>
    <x v="0"/>
    <x v="1"/>
    <x v="122"/>
    <n v="13252"/>
    <m/>
    <m/>
    <b v="1"/>
    <n v="13252"/>
  </r>
  <r>
    <x v="1"/>
    <x v="0"/>
    <x v="0"/>
    <x v="0"/>
    <x v="1"/>
    <x v="123"/>
    <n v="15527"/>
    <m/>
    <m/>
    <b v="1"/>
    <n v="15527"/>
  </r>
  <r>
    <x v="1"/>
    <x v="0"/>
    <x v="0"/>
    <x v="0"/>
    <x v="1"/>
    <x v="124"/>
    <n v="4"/>
    <m/>
    <m/>
    <b v="1"/>
    <n v="4"/>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3"/>
    <d v="1899-12-30T00:15:00"/>
    <x v="0"/>
    <x v="0"/>
    <x v="0"/>
    <x v="6"/>
    <x v="9"/>
    <x v="3"/>
    <x v="7"/>
    <x v="81"/>
    <n v="3"/>
    <n v="416"/>
    <x v="1"/>
    <x v="1"/>
  </r>
  <r>
    <x v="3"/>
    <d v="1899-12-30T00:15:00"/>
    <x v="0"/>
    <x v="0"/>
    <x v="0"/>
    <x v="6"/>
    <x v="9"/>
    <x v="3"/>
    <x v="7"/>
    <x v="82"/>
    <n v="3"/>
    <n v="436"/>
    <x v="1"/>
    <x v="1"/>
  </r>
  <r>
    <x v="3"/>
    <d v="1899-12-30T00:15:00"/>
    <x v="0"/>
    <x v="0"/>
    <x v="0"/>
    <x v="6"/>
    <x v="9"/>
    <x v="3"/>
    <x v="7"/>
    <x v="83"/>
    <n v="3"/>
    <n v="455"/>
    <x v="1"/>
    <x v="1"/>
  </r>
  <r>
    <x v="3"/>
    <d v="1899-12-30T00:15:00"/>
    <x v="0"/>
    <x v="0"/>
    <x v="0"/>
    <x v="6"/>
    <x v="9"/>
    <x v="3"/>
    <x v="7"/>
    <x v="84"/>
    <n v="3"/>
    <n v="559"/>
    <x v="1"/>
    <x v="1"/>
  </r>
  <r>
    <x v="3"/>
    <d v="1899-12-30T00:15:00"/>
    <x v="0"/>
    <x v="0"/>
    <x v="0"/>
    <x v="6"/>
    <x v="9"/>
    <x v="3"/>
    <x v="7"/>
    <x v="85"/>
    <n v="3"/>
    <n v="594"/>
    <x v="1"/>
    <x v="1"/>
  </r>
  <r>
    <x v="3"/>
    <d v="1899-12-30T00:15:00"/>
    <x v="0"/>
    <x v="0"/>
    <x v="0"/>
    <x v="6"/>
    <x v="9"/>
    <x v="3"/>
    <x v="7"/>
    <x v="86"/>
    <n v="3"/>
    <n v="617"/>
    <x v="1"/>
    <x v="1"/>
  </r>
  <r>
    <x v="3"/>
    <d v="1899-12-30T00:15:00"/>
    <x v="0"/>
    <x v="0"/>
    <x v="0"/>
    <x v="6"/>
    <x v="9"/>
    <x v="3"/>
    <x v="7"/>
    <x v="87"/>
    <n v="3"/>
    <n v="652"/>
    <x v="1"/>
    <x v="1"/>
  </r>
  <r>
    <x v="3"/>
    <d v="1899-12-30T00:15:00"/>
    <x v="0"/>
    <x v="0"/>
    <x v="0"/>
    <x v="7"/>
    <x v="10"/>
    <x v="3"/>
    <x v="8"/>
    <x v="88"/>
    <n v="19"/>
    <n v="3650"/>
    <x v="1"/>
    <x v="1"/>
  </r>
  <r>
    <x v="3"/>
    <d v="1899-12-30T00:15:00"/>
    <x v="0"/>
    <x v="0"/>
    <x v="0"/>
    <x v="7"/>
    <x v="10"/>
    <x v="3"/>
    <x v="9"/>
    <x v="89"/>
    <n v="1"/>
    <n v="3673"/>
    <x v="1"/>
    <x v="1"/>
  </r>
  <r>
    <x v="3"/>
    <d v="1899-12-30T00:15:00"/>
    <x v="0"/>
    <x v="0"/>
    <x v="0"/>
    <x v="7"/>
    <x v="10"/>
    <x v="3"/>
    <x v="10"/>
    <x v="90"/>
    <n v="16"/>
    <n v="4099"/>
    <x v="1"/>
    <x v="1"/>
  </r>
  <r>
    <x v="3"/>
    <d v="1899-12-30T00:15:00"/>
    <x v="0"/>
    <x v="0"/>
    <x v="0"/>
    <x v="7"/>
    <x v="10"/>
    <x v="3"/>
    <x v="11"/>
    <x v="91"/>
    <n v="1"/>
    <n v="5949"/>
    <x v="1"/>
    <x v="1"/>
  </r>
  <r>
    <x v="3"/>
    <d v="1899-12-30T00:15:00"/>
    <x v="0"/>
    <x v="0"/>
    <x v="0"/>
    <x v="7"/>
    <x v="10"/>
    <x v="3"/>
    <x v="12"/>
    <x v="92"/>
    <n v="1"/>
    <n v="6021"/>
    <x v="1"/>
    <x v="1"/>
  </r>
  <r>
    <x v="3"/>
    <d v="1899-12-30T00:15:00"/>
    <x v="0"/>
    <x v="0"/>
    <x v="0"/>
    <x v="7"/>
    <x v="10"/>
    <x v="3"/>
    <x v="13"/>
    <x v="93"/>
    <n v="1"/>
    <n v="6233"/>
    <x v="1"/>
    <x v="1"/>
  </r>
  <r>
    <x v="3"/>
    <d v="1899-12-30T00:15:00"/>
    <x v="0"/>
    <x v="0"/>
    <x v="0"/>
    <x v="8"/>
    <x v="11"/>
    <x v="1"/>
    <x v="1"/>
    <x v="93"/>
    <n v="1"/>
    <n v="39499"/>
    <x v="1"/>
    <x v="1"/>
  </r>
  <r>
    <x v="3"/>
    <d v="1899-12-30T00:15:00"/>
    <x v="0"/>
    <x v="0"/>
    <x v="0"/>
    <x v="8"/>
    <x v="12"/>
    <x v="1"/>
    <x v="1"/>
    <x v="93"/>
    <n v="1"/>
    <n v="39507"/>
    <x v="1"/>
    <x v="1"/>
  </r>
  <r>
    <x v="3"/>
    <d v="1899-12-30T00:15:00"/>
    <x v="0"/>
    <x v="0"/>
    <x v="0"/>
    <x v="9"/>
    <x v="1"/>
    <x v="3"/>
    <x v="13"/>
    <x v="93"/>
    <n v="1"/>
    <n v="39507"/>
    <x v="1"/>
    <x v="1"/>
  </r>
  <r>
    <x v="4"/>
    <m/>
    <x v="1"/>
    <x v="1"/>
    <x v="1"/>
    <x v="10"/>
    <x v="1"/>
    <x v="1"/>
    <x v="1"/>
    <x v="94"/>
    <m/>
    <m/>
    <x v="1"/>
    <x v="1"/>
  </r>
</pivotCacheRecords>
</file>

<file path=xl/pivotCache/pivotCacheRecords7.xml><?xml version="1.0" encoding="utf-8"?>
<pivotCacheRecords xmlns="http://schemas.openxmlformats.org/spreadsheetml/2006/main" xmlns:r="http://schemas.openxmlformats.org/officeDocument/2006/relationships" count="3143">
  <r>
    <x v="0"/>
    <x v="0"/>
    <x v="0"/>
    <x v="0"/>
    <x v="0"/>
    <x v="0"/>
    <x v="0"/>
    <m/>
    <m/>
    <x v="0"/>
    <n v="25341"/>
    <m/>
  </r>
  <r>
    <x v="0"/>
    <x v="0"/>
    <x v="0"/>
    <x v="0"/>
    <x v="0"/>
    <x v="1"/>
    <x v="1"/>
    <s v="ms."/>
    <m/>
    <x v="0"/>
    <n v="0.26593476974073632"/>
    <m/>
  </r>
  <r>
    <x v="0"/>
    <x v="0"/>
    <x v="0"/>
    <x v="0"/>
    <x v="0"/>
    <x v="2"/>
    <x v="2"/>
    <m/>
    <m/>
    <x v="0"/>
    <n v="43066695"/>
    <m/>
  </r>
  <r>
    <x v="0"/>
    <x v="0"/>
    <x v="0"/>
    <x v="0"/>
    <x v="0"/>
    <x v="3"/>
    <x v="3"/>
    <s v="ms."/>
    <m/>
    <x v="0"/>
    <n v="1.0740350820976626E-2"/>
    <m/>
  </r>
  <r>
    <x v="0"/>
    <x v="0"/>
    <x v="0"/>
    <x v="0"/>
    <x v="0"/>
    <x v="4"/>
    <x v="4"/>
    <m/>
    <m/>
    <x v="0"/>
    <n v="0"/>
    <m/>
  </r>
  <r>
    <x v="0"/>
    <x v="0"/>
    <x v="0"/>
    <x v="0"/>
    <x v="1"/>
    <x v="5"/>
    <x v="4"/>
    <m/>
    <m/>
    <x v="1"/>
    <n v="0"/>
    <m/>
  </r>
  <r>
    <x v="0"/>
    <x v="0"/>
    <x v="0"/>
    <x v="0"/>
    <x v="1"/>
    <x v="6"/>
    <x v="4"/>
    <m/>
    <n v="0"/>
    <x v="1"/>
    <n v="0"/>
    <m/>
  </r>
  <r>
    <x v="0"/>
    <x v="0"/>
    <x v="0"/>
    <x v="0"/>
    <x v="1"/>
    <x v="7"/>
    <x v="4"/>
    <m/>
    <n v="0"/>
    <x v="1"/>
    <n v="0"/>
    <m/>
  </r>
  <r>
    <x v="0"/>
    <x v="0"/>
    <x v="0"/>
    <x v="0"/>
    <x v="1"/>
    <x v="8"/>
    <x v="4"/>
    <m/>
    <n v="0"/>
    <x v="1"/>
    <n v="0"/>
    <m/>
  </r>
  <r>
    <x v="0"/>
    <x v="0"/>
    <x v="0"/>
    <x v="0"/>
    <x v="1"/>
    <x v="9"/>
    <x v="4"/>
    <m/>
    <n v="0"/>
    <x v="1"/>
    <n v="0"/>
    <m/>
  </r>
  <r>
    <x v="0"/>
    <x v="0"/>
    <x v="0"/>
    <x v="0"/>
    <x v="1"/>
    <x v="10"/>
    <x v="4"/>
    <m/>
    <m/>
    <x v="1"/>
    <n v="0"/>
    <m/>
  </r>
  <r>
    <x v="0"/>
    <x v="0"/>
    <x v="0"/>
    <x v="0"/>
    <x v="1"/>
    <x v="11"/>
    <x v="5"/>
    <m/>
    <m/>
    <x v="1"/>
    <n v="0"/>
    <m/>
  </r>
  <r>
    <x v="0"/>
    <x v="0"/>
    <x v="0"/>
    <x v="0"/>
    <x v="1"/>
    <x v="12"/>
    <x v="4"/>
    <m/>
    <m/>
    <x v="1"/>
    <n v="0"/>
    <m/>
  </r>
  <r>
    <x v="0"/>
    <x v="0"/>
    <x v="0"/>
    <x v="0"/>
    <x v="1"/>
    <x v="13"/>
    <x v="4"/>
    <m/>
    <n v="0"/>
    <x v="1"/>
    <n v="0"/>
    <m/>
  </r>
  <r>
    <x v="0"/>
    <x v="0"/>
    <x v="0"/>
    <x v="0"/>
    <x v="1"/>
    <x v="14"/>
    <x v="4"/>
    <m/>
    <n v="0"/>
    <x v="1"/>
    <n v="0"/>
    <m/>
  </r>
  <r>
    <x v="0"/>
    <x v="0"/>
    <x v="0"/>
    <x v="0"/>
    <x v="1"/>
    <x v="15"/>
    <x v="4"/>
    <m/>
    <m/>
    <x v="1"/>
    <n v="0"/>
    <m/>
  </r>
  <r>
    <x v="0"/>
    <x v="0"/>
    <x v="0"/>
    <x v="0"/>
    <x v="1"/>
    <x v="16"/>
    <x v="6"/>
    <m/>
    <m/>
    <x v="1"/>
    <n v="23"/>
    <m/>
  </r>
  <r>
    <x v="0"/>
    <x v="0"/>
    <x v="0"/>
    <x v="0"/>
    <x v="1"/>
    <x v="17"/>
    <x v="7"/>
    <s v="ms"/>
    <m/>
    <x v="1"/>
    <n v="2.5000000000000001E-2"/>
    <m/>
  </r>
  <r>
    <x v="0"/>
    <x v="0"/>
    <x v="0"/>
    <x v="0"/>
    <x v="1"/>
    <x v="18"/>
    <x v="8"/>
    <m/>
    <m/>
    <x v="1"/>
    <n v="2"/>
    <m/>
  </r>
  <r>
    <x v="0"/>
    <x v="0"/>
    <x v="0"/>
    <x v="0"/>
    <x v="1"/>
    <x v="19"/>
    <x v="9"/>
    <s v="NaN ms"/>
    <m/>
    <x v="1"/>
    <n v="0.03"/>
    <m/>
  </r>
  <r>
    <x v="0"/>
    <x v="0"/>
    <x v="0"/>
    <x v="0"/>
    <x v="1"/>
    <x v="4"/>
    <x v="4"/>
    <m/>
    <m/>
    <x v="1"/>
    <n v="0"/>
    <m/>
  </r>
  <r>
    <x v="0"/>
    <x v="0"/>
    <x v="0"/>
    <x v="0"/>
    <x v="1"/>
    <x v="20"/>
    <x v="4"/>
    <m/>
    <m/>
    <x v="1"/>
    <n v="0"/>
    <m/>
  </r>
  <r>
    <x v="0"/>
    <x v="0"/>
    <x v="0"/>
    <x v="0"/>
    <x v="1"/>
    <x v="21"/>
    <x v="4"/>
    <m/>
    <m/>
    <x v="1"/>
    <n v="0"/>
    <m/>
  </r>
  <r>
    <x v="0"/>
    <x v="0"/>
    <x v="0"/>
    <x v="0"/>
    <x v="1"/>
    <x v="22"/>
    <x v="4"/>
    <m/>
    <n v="0"/>
    <x v="1"/>
    <n v="0"/>
    <m/>
  </r>
  <r>
    <x v="0"/>
    <x v="0"/>
    <x v="0"/>
    <x v="0"/>
    <x v="1"/>
    <x v="23"/>
    <x v="4"/>
    <m/>
    <n v="0"/>
    <x v="1"/>
    <n v="0"/>
    <m/>
  </r>
  <r>
    <x v="0"/>
    <x v="0"/>
    <x v="0"/>
    <x v="0"/>
    <x v="1"/>
    <x v="24"/>
    <x v="4"/>
    <m/>
    <n v="0"/>
    <x v="1"/>
    <n v="0"/>
    <m/>
  </r>
  <r>
    <x v="0"/>
    <x v="0"/>
    <x v="0"/>
    <x v="0"/>
    <x v="1"/>
    <x v="25"/>
    <x v="4"/>
    <m/>
    <n v="0"/>
    <x v="1"/>
    <n v="0"/>
    <m/>
  </r>
  <r>
    <x v="0"/>
    <x v="0"/>
    <x v="0"/>
    <x v="0"/>
    <x v="1"/>
    <x v="26"/>
    <x v="4"/>
    <m/>
    <n v="0"/>
    <x v="1"/>
    <n v="0"/>
    <m/>
  </r>
  <r>
    <x v="0"/>
    <x v="0"/>
    <x v="0"/>
    <x v="0"/>
    <x v="1"/>
    <x v="27"/>
    <x v="4"/>
    <m/>
    <n v="0"/>
    <x v="1"/>
    <n v="0"/>
    <m/>
  </r>
  <r>
    <x v="0"/>
    <x v="0"/>
    <x v="0"/>
    <x v="0"/>
    <x v="1"/>
    <x v="28"/>
    <x v="4"/>
    <m/>
    <n v="0"/>
    <x v="1"/>
    <n v="0"/>
    <m/>
  </r>
  <r>
    <x v="0"/>
    <x v="0"/>
    <x v="0"/>
    <x v="0"/>
    <x v="1"/>
    <x v="29"/>
    <x v="4"/>
    <m/>
    <m/>
    <x v="1"/>
    <n v="0"/>
    <m/>
  </r>
  <r>
    <x v="0"/>
    <x v="0"/>
    <x v="0"/>
    <x v="0"/>
    <x v="1"/>
    <x v="30"/>
    <x v="4"/>
    <m/>
    <m/>
    <x v="1"/>
    <n v="0"/>
    <m/>
  </r>
  <r>
    <x v="0"/>
    <x v="0"/>
    <x v="0"/>
    <x v="0"/>
    <x v="1"/>
    <x v="31"/>
    <x v="4"/>
    <m/>
    <m/>
    <x v="1"/>
    <n v="0"/>
    <m/>
  </r>
  <r>
    <x v="0"/>
    <x v="0"/>
    <x v="0"/>
    <x v="0"/>
    <x v="1"/>
    <x v="32"/>
    <x v="4"/>
    <m/>
    <m/>
    <x v="1"/>
    <n v="0"/>
    <m/>
  </r>
  <r>
    <x v="1"/>
    <x v="0"/>
    <x v="0"/>
    <x v="0"/>
    <x v="1"/>
    <x v="33"/>
    <x v="10"/>
    <s v="ms"/>
    <m/>
    <x v="1"/>
    <n v="21671"/>
    <m/>
  </r>
  <r>
    <x v="1"/>
    <x v="0"/>
    <x v="0"/>
    <x v="0"/>
    <x v="1"/>
    <x v="34"/>
    <x v="11"/>
    <s v="ms"/>
    <m/>
    <x v="1"/>
    <n v="258"/>
    <m/>
  </r>
  <r>
    <x v="1"/>
    <x v="0"/>
    <x v="0"/>
    <x v="0"/>
    <x v="1"/>
    <x v="35"/>
    <x v="12"/>
    <s v="ms"/>
    <m/>
    <x v="1"/>
    <n v="14414"/>
    <m/>
  </r>
  <r>
    <x v="1"/>
    <x v="0"/>
    <x v="0"/>
    <x v="0"/>
    <x v="1"/>
    <x v="36"/>
    <x v="13"/>
    <s v="bytes"/>
    <n v="311.17886066436768"/>
    <x v="1"/>
    <m/>
    <m/>
  </r>
  <r>
    <x v="1"/>
    <x v="0"/>
    <x v="0"/>
    <x v="0"/>
    <x v="1"/>
    <x v="37"/>
    <x v="14"/>
    <s v="bytes"/>
    <n v="105.55162811279297"/>
    <x v="1"/>
    <m/>
    <m/>
  </r>
  <r>
    <x v="1"/>
    <x v="0"/>
    <x v="0"/>
    <x v="0"/>
    <x v="1"/>
    <x v="38"/>
    <x v="15"/>
    <s v="bytes"/>
    <n v="220.30964517593384"/>
    <x v="1"/>
    <m/>
    <m/>
  </r>
  <r>
    <x v="1"/>
    <x v="0"/>
    <x v="0"/>
    <x v="0"/>
    <x v="1"/>
    <x v="39"/>
    <x v="16"/>
    <m/>
    <m/>
    <x v="1"/>
    <n v="7475"/>
    <m/>
  </r>
  <r>
    <x v="1"/>
    <x v="0"/>
    <x v="0"/>
    <x v="0"/>
    <x v="1"/>
    <x v="40"/>
    <x v="17"/>
    <m/>
    <m/>
    <x v="1"/>
    <n v="1025"/>
    <m/>
  </r>
  <r>
    <x v="1"/>
    <x v="0"/>
    <x v="0"/>
    <x v="0"/>
    <x v="1"/>
    <x v="41"/>
    <x v="18"/>
    <m/>
    <m/>
    <x v="1"/>
    <n v="2422"/>
    <m/>
  </r>
  <r>
    <x v="1"/>
    <x v="0"/>
    <x v="0"/>
    <x v="0"/>
    <x v="1"/>
    <x v="42"/>
    <x v="19"/>
    <m/>
    <m/>
    <x v="1"/>
    <n v="107"/>
    <m/>
  </r>
  <r>
    <x v="1"/>
    <x v="0"/>
    <x v="0"/>
    <x v="0"/>
    <x v="1"/>
    <x v="43"/>
    <x v="20"/>
    <m/>
    <m/>
    <x v="1"/>
    <n v="531"/>
    <m/>
  </r>
  <r>
    <x v="1"/>
    <x v="0"/>
    <x v="0"/>
    <x v="0"/>
    <x v="1"/>
    <x v="44"/>
    <x v="21"/>
    <m/>
    <m/>
    <x v="1"/>
    <n v="17942"/>
    <m/>
  </r>
  <r>
    <x v="1"/>
    <x v="0"/>
    <x v="0"/>
    <x v="0"/>
    <x v="1"/>
    <x v="45"/>
    <x v="22"/>
    <s v="mb/sec"/>
    <m/>
    <x v="1"/>
    <n v="0.191833"/>
    <m/>
  </r>
  <r>
    <x v="1"/>
    <x v="0"/>
    <x v="0"/>
    <x v="0"/>
    <x v="1"/>
    <x v="46"/>
    <x v="22"/>
    <s v="mb/sec"/>
    <m/>
    <x v="1"/>
    <n v="0.191833"/>
    <m/>
  </r>
  <r>
    <x v="1"/>
    <x v="0"/>
    <x v="0"/>
    <x v="0"/>
    <x v="1"/>
    <x v="47"/>
    <x v="22"/>
    <s v="mb/sec"/>
    <m/>
    <x v="1"/>
    <n v="0.191833"/>
    <m/>
  </r>
  <r>
    <x v="1"/>
    <x v="0"/>
    <x v="0"/>
    <x v="0"/>
    <x v="1"/>
    <x v="45"/>
    <x v="23"/>
    <s v="mb/sec"/>
    <m/>
    <x v="1"/>
    <n v="4.5546290000000003"/>
    <m/>
  </r>
  <r>
    <x v="1"/>
    <x v="0"/>
    <x v="0"/>
    <x v="0"/>
    <x v="1"/>
    <x v="46"/>
    <x v="24"/>
    <s v="mb/sec"/>
    <m/>
    <x v="1"/>
    <n v="2.280383"/>
    <m/>
  </r>
  <r>
    <x v="1"/>
    <x v="0"/>
    <x v="0"/>
    <x v="0"/>
    <x v="1"/>
    <x v="47"/>
    <x v="25"/>
    <s v="mb/sec"/>
    <m/>
    <x v="1"/>
    <n v="3.8825877000000002"/>
    <m/>
  </r>
  <r>
    <x v="2"/>
    <x v="0"/>
    <x v="0"/>
    <x v="0"/>
    <x v="1"/>
    <x v="48"/>
    <x v="26"/>
    <s v="SSTables"/>
    <m/>
    <x v="1"/>
    <n v="35"/>
    <m/>
  </r>
  <r>
    <x v="2"/>
    <x v="0"/>
    <x v="0"/>
    <x v="0"/>
    <x v="1"/>
    <x v="49"/>
    <x v="27"/>
    <s v="ms"/>
    <m/>
    <x v="1"/>
    <n v="4055.2689999999998"/>
    <m/>
  </r>
  <r>
    <x v="2"/>
    <x v="0"/>
    <x v="0"/>
    <x v="0"/>
    <x v="1"/>
    <x v="50"/>
    <x v="28"/>
    <s v="ms"/>
    <m/>
    <x v="1"/>
    <n v="10"/>
    <m/>
  </r>
  <r>
    <x v="2"/>
    <x v="0"/>
    <x v="0"/>
    <x v="0"/>
    <x v="1"/>
    <x v="36"/>
    <x v="29"/>
    <s v="mb"/>
    <n v="1.97"/>
    <x v="1"/>
    <n v="1.97"/>
    <m/>
  </r>
  <r>
    <x v="1"/>
    <x v="0"/>
    <x v="0"/>
    <x v="0"/>
    <x v="1"/>
    <x v="51"/>
    <x v="30"/>
    <m/>
    <m/>
    <x v="1"/>
    <n v="2100"/>
    <m/>
  </r>
  <r>
    <x v="1"/>
    <x v="0"/>
    <x v="0"/>
    <x v="0"/>
    <x v="1"/>
    <x v="52"/>
    <x v="31"/>
    <m/>
    <m/>
    <x v="1"/>
    <n v="100"/>
    <m/>
  </r>
  <r>
    <x v="1"/>
    <x v="0"/>
    <x v="0"/>
    <x v="0"/>
    <x v="1"/>
    <x v="53"/>
    <x v="32"/>
    <m/>
    <m/>
    <x v="1"/>
    <n v="1200"/>
    <m/>
  </r>
  <r>
    <x v="1"/>
    <x v="0"/>
    <x v="0"/>
    <x v="0"/>
    <x v="1"/>
    <x v="54"/>
    <x v="33"/>
    <m/>
    <m/>
    <x v="1"/>
    <n v="4"/>
    <m/>
  </r>
  <r>
    <x v="1"/>
    <x v="0"/>
    <x v="0"/>
    <x v="0"/>
    <x v="1"/>
    <x v="55"/>
    <x v="34"/>
    <m/>
    <m/>
    <x v="1"/>
    <n v="12"/>
    <m/>
  </r>
  <r>
    <x v="1"/>
    <x v="0"/>
    <x v="0"/>
    <x v="0"/>
    <x v="1"/>
    <x v="56"/>
    <x v="35"/>
    <m/>
    <m/>
    <x v="1"/>
    <n v="8"/>
    <m/>
  </r>
  <r>
    <x v="1"/>
    <x v="0"/>
    <x v="0"/>
    <x v="0"/>
    <x v="1"/>
    <x v="57"/>
    <x v="33"/>
    <m/>
    <m/>
    <x v="1"/>
    <n v="4"/>
    <m/>
  </r>
  <r>
    <x v="1"/>
    <x v="0"/>
    <x v="0"/>
    <x v="0"/>
    <x v="1"/>
    <x v="58"/>
    <x v="8"/>
    <m/>
    <m/>
    <x v="1"/>
    <n v="2"/>
    <m/>
  </r>
  <r>
    <x v="1"/>
    <x v="0"/>
    <x v="0"/>
    <x v="0"/>
    <x v="1"/>
    <x v="59"/>
    <x v="36"/>
    <m/>
    <m/>
    <x v="1"/>
    <n v="3"/>
    <m/>
  </r>
  <r>
    <x v="1"/>
    <x v="0"/>
    <x v="0"/>
    <x v="0"/>
    <x v="1"/>
    <x v="60"/>
    <x v="37"/>
    <m/>
    <m/>
    <x v="1"/>
    <n v="7"/>
    <m/>
  </r>
  <r>
    <x v="1"/>
    <x v="0"/>
    <x v="0"/>
    <x v="0"/>
    <x v="1"/>
    <x v="61"/>
    <x v="36"/>
    <m/>
    <m/>
    <x v="1"/>
    <n v="3"/>
    <m/>
  </r>
  <r>
    <x v="1"/>
    <x v="0"/>
    <x v="0"/>
    <x v="0"/>
    <x v="1"/>
    <x v="62"/>
    <x v="8"/>
    <m/>
    <m/>
    <x v="1"/>
    <n v="2"/>
    <m/>
  </r>
  <r>
    <x v="1"/>
    <x v="0"/>
    <x v="0"/>
    <x v="0"/>
    <x v="1"/>
    <x v="63"/>
    <x v="38"/>
    <m/>
    <m/>
    <x v="1"/>
    <n v="1"/>
    <m/>
  </r>
  <r>
    <x v="1"/>
    <x v="0"/>
    <x v="0"/>
    <x v="0"/>
    <x v="1"/>
    <x v="64"/>
    <x v="39"/>
    <m/>
    <m/>
    <x v="1"/>
    <n v="6"/>
    <m/>
  </r>
  <r>
    <x v="1"/>
    <x v="0"/>
    <x v="0"/>
    <x v="0"/>
    <x v="1"/>
    <x v="65"/>
    <x v="6"/>
    <m/>
    <m/>
    <x v="1"/>
    <n v="23"/>
    <m/>
  </r>
  <r>
    <x v="1"/>
    <x v="0"/>
    <x v="0"/>
    <x v="0"/>
    <x v="0"/>
    <x v="66"/>
    <x v="40"/>
    <s v="ms"/>
    <m/>
    <x v="0"/>
    <n v="7901303"/>
    <s v="1697"/>
  </r>
  <r>
    <x v="1"/>
    <x v="0"/>
    <x v="0"/>
    <x v="0"/>
    <x v="0"/>
    <x v="67"/>
    <x v="41"/>
    <s v="ms"/>
    <m/>
    <x v="0"/>
    <n v="9174"/>
    <s v="1697"/>
  </r>
  <r>
    <x v="1"/>
    <x v="0"/>
    <x v="0"/>
    <x v="0"/>
    <x v="0"/>
    <x v="68"/>
    <x v="42"/>
    <s v="ms"/>
    <m/>
    <x v="0"/>
    <n v="112953"/>
    <s v="1697"/>
  </r>
  <r>
    <x v="1"/>
    <x v="0"/>
    <x v="0"/>
    <x v="0"/>
    <x v="0"/>
    <x v="69"/>
    <x v="43"/>
    <m/>
    <m/>
    <x v="0"/>
    <n v="246"/>
    <s v="1697"/>
  </r>
  <r>
    <x v="1"/>
    <x v="0"/>
    <x v="0"/>
    <x v="0"/>
    <x v="0"/>
    <x v="70"/>
    <x v="38"/>
    <m/>
    <m/>
    <x v="0"/>
    <n v="1"/>
    <s v="1697"/>
  </r>
  <r>
    <x v="1"/>
    <x v="0"/>
    <x v="0"/>
    <x v="0"/>
    <x v="1"/>
    <x v="71"/>
    <x v="44"/>
    <s v="ms"/>
    <m/>
    <x v="1"/>
    <n v="5819747"/>
    <n v="13"/>
  </r>
  <r>
    <x v="1"/>
    <x v="0"/>
    <x v="0"/>
    <x v="0"/>
    <x v="1"/>
    <x v="72"/>
    <x v="6"/>
    <s v="ms"/>
    <m/>
    <x v="1"/>
    <n v="23"/>
    <n v="13"/>
  </r>
  <r>
    <x v="1"/>
    <x v="0"/>
    <x v="0"/>
    <x v="0"/>
    <x v="1"/>
    <x v="73"/>
    <x v="45"/>
    <s v="ms"/>
    <m/>
    <x v="1"/>
    <n v="1455699.25"/>
    <n v="13"/>
  </r>
  <r>
    <x v="1"/>
    <x v="0"/>
    <x v="0"/>
    <x v="0"/>
    <x v="1"/>
    <x v="74"/>
    <x v="46"/>
    <s v="ms"/>
    <m/>
    <x v="1"/>
    <n v="2519584.2544080932"/>
    <n v="13"/>
  </r>
  <r>
    <x v="1"/>
    <x v="0"/>
    <x v="0"/>
    <x v="0"/>
    <x v="1"/>
    <x v="75"/>
    <x v="33"/>
    <m/>
    <m/>
    <x v="1"/>
    <n v="4"/>
    <n v="13"/>
  </r>
  <r>
    <x v="1"/>
    <x v="0"/>
    <x v="0"/>
    <x v="0"/>
    <x v="1"/>
    <x v="76"/>
    <x v="47"/>
    <s v="ms"/>
    <m/>
    <x v="1"/>
    <n v="230"/>
    <n v="14"/>
  </r>
  <r>
    <x v="1"/>
    <x v="0"/>
    <x v="0"/>
    <x v="0"/>
    <x v="1"/>
    <x v="77"/>
    <x v="48"/>
    <s v="ms"/>
    <m/>
    <x v="1"/>
    <n v="124"/>
    <n v="14"/>
  </r>
  <r>
    <x v="1"/>
    <x v="0"/>
    <x v="0"/>
    <x v="0"/>
    <x v="1"/>
    <x v="78"/>
    <x v="31"/>
    <s v="ms"/>
    <m/>
    <x v="1"/>
    <n v="100"/>
    <n v="14"/>
  </r>
  <r>
    <x v="1"/>
    <x v="0"/>
    <x v="0"/>
    <x v="0"/>
    <x v="1"/>
    <x v="79"/>
    <x v="28"/>
    <m/>
    <m/>
    <x v="1"/>
    <n v="10"/>
    <n v="14"/>
  </r>
  <r>
    <x v="1"/>
    <x v="0"/>
    <x v="0"/>
    <x v="0"/>
    <x v="1"/>
    <x v="80"/>
    <x v="49"/>
    <m/>
    <m/>
    <x v="1"/>
    <n v="5"/>
    <n v="14"/>
  </r>
  <r>
    <x v="1"/>
    <x v="0"/>
    <x v="0"/>
    <x v="0"/>
    <x v="1"/>
    <x v="81"/>
    <x v="50"/>
    <s v="ms"/>
    <m/>
    <x v="1"/>
    <n v="123"/>
    <n v="15"/>
  </r>
  <r>
    <x v="1"/>
    <x v="0"/>
    <x v="0"/>
    <x v="0"/>
    <x v="1"/>
    <x v="82"/>
    <x v="51"/>
    <s v="ms"/>
    <m/>
    <x v="1"/>
    <n v="54"/>
    <n v="15"/>
  </r>
  <r>
    <x v="1"/>
    <x v="0"/>
    <x v="0"/>
    <x v="0"/>
    <x v="1"/>
    <x v="83"/>
    <x v="6"/>
    <s v="ms"/>
    <m/>
    <x v="1"/>
    <n v="23"/>
    <n v="15"/>
  </r>
  <r>
    <x v="1"/>
    <x v="0"/>
    <x v="0"/>
    <x v="0"/>
    <x v="1"/>
    <x v="84"/>
    <x v="34"/>
    <m/>
    <m/>
    <x v="1"/>
    <n v="12"/>
    <n v="15"/>
  </r>
  <r>
    <x v="1"/>
    <x v="0"/>
    <x v="0"/>
    <x v="0"/>
    <x v="1"/>
    <x v="85"/>
    <x v="52"/>
    <s v="mb/sec"/>
    <m/>
    <x v="1"/>
    <n v="7.89"/>
    <n v="15"/>
  </r>
  <r>
    <x v="1"/>
    <x v="0"/>
    <x v="0"/>
    <x v="0"/>
    <x v="1"/>
    <x v="86"/>
    <x v="53"/>
    <s v="mb/sec"/>
    <m/>
    <x v="1"/>
    <n v="3.45"/>
    <n v="15"/>
  </r>
  <r>
    <x v="1"/>
    <x v="0"/>
    <x v="0"/>
    <x v="0"/>
    <x v="1"/>
    <x v="87"/>
    <x v="54"/>
    <s v="mb/sec"/>
    <m/>
    <x v="1"/>
    <n v="1.23"/>
    <n v="15"/>
  </r>
  <r>
    <x v="1"/>
    <x v="0"/>
    <x v="0"/>
    <x v="0"/>
    <x v="1"/>
    <x v="88"/>
    <x v="55"/>
    <s v="mb"/>
    <m/>
    <x v="1"/>
    <n v="12.43"/>
    <n v="15"/>
  </r>
  <r>
    <x v="1"/>
    <x v="0"/>
    <x v="0"/>
    <x v="0"/>
    <x v="1"/>
    <x v="89"/>
    <x v="56"/>
    <s v="mb"/>
    <m/>
    <x v="1"/>
    <n v="5.67"/>
    <n v="15"/>
  </r>
  <r>
    <x v="1"/>
    <x v="0"/>
    <x v="0"/>
    <x v="0"/>
    <x v="1"/>
    <x v="90"/>
    <x v="57"/>
    <s v="mb"/>
    <m/>
    <x v="1"/>
    <n v="2.34"/>
    <n v="15"/>
  </r>
  <r>
    <x v="1"/>
    <x v="0"/>
    <x v="0"/>
    <x v="0"/>
    <x v="1"/>
    <x v="91"/>
    <x v="58"/>
    <s v="mb"/>
    <m/>
    <x v="1"/>
    <n v="23.45"/>
    <n v="15"/>
  </r>
  <r>
    <x v="0"/>
    <x v="0"/>
    <x v="0"/>
    <x v="0"/>
    <x v="1"/>
    <x v="92"/>
    <x v="59"/>
    <m/>
    <m/>
    <x v="1"/>
    <m/>
    <m/>
  </r>
  <r>
    <x v="0"/>
    <x v="0"/>
    <x v="0"/>
    <x v="0"/>
    <x v="1"/>
    <x v="92"/>
    <x v="60"/>
    <m/>
    <m/>
    <x v="1"/>
    <m/>
    <m/>
  </r>
  <r>
    <x v="0"/>
    <x v="0"/>
    <x v="0"/>
    <x v="0"/>
    <x v="1"/>
    <x v="92"/>
    <x v="61"/>
    <m/>
    <m/>
    <x v="1"/>
    <m/>
    <m/>
  </r>
  <r>
    <x v="0"/>
    <x v="0"/>
    <x v="0"/>
    <x v="0"/>
    <x v="1"/>
    <x v="92"/>
    <x v="62"/>
    <m/>
    <m/>
    <x v="1"/>
    <m/>
    <m/>
  </r>
  <r>
    <x v="0"/>
    <x v="0"/>
    <x v="0"/>
    <x v="0"/>
    <x v="1"/>
    <x v="92"/>
    <x v="59"/>
    <m/>
    <m/>
    <x v="1"/>
    <m/>
    <m/>
  </r>
  <r>
    <x v="0"/>
    <x v="0"/>
    <x v="0"/>
    <x v="0"/>
    <x v="1"/>
    <x v="92"/>
    <x v="63"/>
    <m/>
    <m/>
    <x v="1"/>
    <m/>
    <m/>
  </r>
  <r>
    <x v="0"/>
    <x v="0"/>
    <x v="0"/>
    <x v="0"/>
    <x v="1"/>
    <x v="92"/>
    <x v="59"/>
    <m/>
    <m/>
    <x v="1"/>
    <m/>
    <m/>
  </r>
  <r>
    <x v="0"/>
    <x v="0"/>
    <x v="0"/>
    <x v="0"/>
    <x v="1"/>
    <x v="92"/>
    <x v="64"/>
    <m/>
    <m/>
    <x v="1"/>
    <m/>
    <m/>
  </r>
  <r>
    <x v="0"/>
    <x v="0"/>
    <x v="0"/>
    <x v="0"/>
    <x v="1"/>
    <x v="92"/>
    <x v="65"/>
    <m/>
    <m/>
    <x v="1"/>
    <m/>
    <m/>
  </r>
  <r>
    <x v="1"/>
    <x v="0"/>
    <x v="0"/>
    <x v="0"/>
    <x v="2"/>
    <x v="93"/>
    <x v="66"/>
    <s v="ms"/>
    <m/>
    <x v="1"/>
    <n v="1574"/>
    <n v="58"/>
  </r>
  <r>
    <x v="1"/>
    <x v="0"/>
    <x v="0"/>
    <x v="0"/>
    <x v="2"/>
    <x v="94"/>
    <x v="67"/>
    <s v="ms"/>
    <m/>
    <x v="1"/>
    <n v="111"/>
    <n v="58"/>
  </r>
  <r>
    <x v="1"/>
    <x v="0"/>
    <x v="0"/>
    <x v="0"/>
    <x v="2"/>
    <x v="95"/>
    <x v="68"/>
    <s v="ms"/>
    <m/>
    <x v="1"/>
    <n v="550.5"/>
    <n v="58"/>
  </r>
  <r>
    <x v="1"/>
    <x v="0"/>
    <x v="0"/>
    <x v="0"/>
    <x v="2"/>
    <x v="96"/>
    <x v="69"/>
    <s v="ms"/>
    <m/>
    <x v="1"/>
    <n v="441.62229336843944"/>
    <n v="58"/>
  </r>
  <r>
    <x v="1"/>
    <x v="0"/>
    <x v="0"/>
    <x v="0"/>
    <x v="2"/>
    <x v="97"/>
    <x v="35"/>
    <m/>
    <m/>
    <x v="1"/>
    <n v="8"/>
    <n v="58"/>
  </r>
  <r>
    <x v="1"/>
    <x v="0"/>
    <x v="0"/>
    <x v="0"/>
    <x v="2"/>
    <x v="93"/>
    <x v="70"/>
    <s v="ms"/>
    <m/>
    <x v="1"/>
    <n v="240"/>
    <n v="45"/>
  </r>
  <r>
    <x v="1"/>
    <x v="0"/>
    <x v="0"/>
    <x v="0"/>
    <x v="2"/>
    <x v="94"/>
    <x v="71"/>
    <s v="ms"/>
    <m/>
    <x v="1"/>
    <n v="166"/>
    <n v="45"/>
  </r>
  <r>
    <x v="1"/>
    <x v="0"/>
    <x v="0"/>
    <x v="0"/>
    <x v="2"/>
    <x v="95"/>
    <x v="72"/>
    <s v="ms"/>
    <m/>
    <x v="1"/>
    <n v="201.33333333333334"/>
    <n v="45"/>
  </r>
  <r>
    <x v="1"/>
    <x v="0"/>
    <x v="0"/>
    <x v="0"/>
    <x v="2"/>
    <x v="96"/>
    <x v="73"/>
    <s v="ms"/>
    <m/>
    <x v="1"/>
    <n v="30.302181806302698"/>
    <n v="45"/>
  </r>
  <r>
    <x v="1"/>
    <x v="0"/>
    <x v="0"/>
    <x v="0"/>
    <x v="2"/>
    <x v="97"/>
    <x v="36"/>
    <m/>
    <m/>
    <x v="1"/>
    <n v="3"/>
    <n v="45"/>
  </r>
  <r>
    <x v="1"/>
    <x v="0"/>
    <x v="0"/>
    <x v="1"/>
    <x v="0"/>
    <x v="98"/>
    <x v="38"/>
    <m/>
    <m/>
    <x v="0"/>
    <n v="1"/>
    <n v="27"/>
  </r>
  <r>
    <x v="1"/>
    <x v="0"/>
    <x v="0"/>
    <x v="0"/>
    <x v="0"/>
    <x v="99"/>
    <x v="38"/>
    <m/>
    <m/>
    <x v="0"/>
    <n v="1"/>
    <n v="19"/>
  </r>
  <r>
    <x v="1"/>
    <x v="0"/>
    <x v="0"/>
    <x v="0"/>
    <x v="1"/>
    <x v="100"/>
    <x v="38"/>
    <m/>
    <m/>
    <x v="1"/>
    <n v="1"/>
    <n v="33"/>
  </r>
  <r>
    <x v="1"/>
    <x v="0"/>
    <x v="0"/>
    <x v="0"/>
    <x v="1"/>
    <x v="101"/>
    <x v="74"/>
    <s v="Operations per Second"/>
    <m/>
    <x v="1"/>
    <n v="16107106"/>
    <n v="5"/>
  </r>
  <r>
    <x v="1"/>
    <x v="0"/>
    <x v="0"/>
    <x v="0"/>
    <x v="1"/>
    <x v="102"/>
    <x v="75"/>
    <s v="Operations per Second"/>
    <m/>
    <x v="1"/>
    <n v="216159"/>
    <n v="5"/>
  </r>
  <r>
    <x v="1"/>
    <x v="0"/>
    <x v="0"/>
    <x v="0"/>
    <x v="1"/>
    <x v="103"/>
    <x v="76"/>
    <s v="Operations per Second"/>
    <m/>
    <x v="1"/>
    <n v="7522042"/>
    <n v="5"/>
  </r>
  <r>
    <x v="1"/>
    <x v="0"/>
    <x v="0"/>
    <x v="0"/>
    <x v="1"/>
    <x v="104"/>
    <x v="77"/>
    <m/>
    <m/>
    <x v="1"/>
    <n v="94"/>
    <n v="5"/>
  </r>
  <r>
    <x v="1"/>
    <x v="0"/>
    <x v="0"/>
    <x v="0"/>
    <x v="1"/>
    <x v="105"/>
    <x v="78"/>
    <s v="bytes"/>
    <n v="660.87701416015625"/>
    <x v="1"/>
    <m/>
    <n v="5"/>
  </r>
  <r>
    <x v="1"/>
    <x v="0"/>
    <x v="0"/>
    <x v="0"/>
    <x v="1"/>
    <x v="106"/>
    <x v="79"/>
    <s v="bytes"/>
    <n v="7.90240478515625"/>
    <x v="1"/>
    <m/>
    <n v="5"/>
  </r>
  <r>
    <x v="1"/>
    <x v="0"/>
    <x v="0"/>
    <x v="0"/>
    <x v="1"/>
    <x v="107"/>
    <x v="80"/>
    <s v="bytes"/>
    <n v="314.01985947629237"/>
    <x v="1"/>
    <m/>
    <n v="5"/>
  </r>
  <r>
    <x v="1"/>
    <x v="0"/>
    <x v="0"/>
    <x v="0"/>
    <x v="1"/>
    <x v="108"/>
    <x v="81"/>
    <s v="Operations per Second"/>
    <m/>
    <x v="1"/>
    <n v="10149889"/>
    <n v="5"/>
  </r>
  <r>
    <x v="1"/>
    <x v="0"/>
    <x v="0"/>
    <x v="0"/>
    <x v="1"/>
    <x v="109"/>
    <x v="75"/>
    <s v="Operations per Second"/>
    <m/>
    <x v="1"/>
    <n v="216159"/>
    <n v="5"/>
  </r>
  <r>
    <x v="1"/>
    <x v="0"/>
    <x v="0"/>
    <x v="0"/>
    <x v="1"/>
    <x v="110"/>
    <x v="82"/>
    <s v="Operations per Second"/>
    <m/>
    <x v="1"/>
    <n v="5706858"/>
    <n v="5"/>
  </r>
  <r>
    <x v="1"/>
    <x v="0"/>
    <x v="0"/>
    <x v="0"/>
    <x v="1"/>
    <x v="111"/>
    <x v="83"/>
    <m/>
    <m/>
    <x v="1"/>
    <n v="80"/>
    <n v="5"/>
  </r>
  <r>
    <x v="1"/>
    <x v="0"/>
    <x v="0"/>
    <x v="0"/>
    <x v="1"/>
    <x v="112"/>
    <x v="84"/>
    <s v="bytes"/>
    <n v="240.49652033003522"/>
    <x v="1"/>
    <m/>
    <n v="5"/>
  </r>
  <r>
    <x v="1"/>
    <x v="0"/>
    <x v="0"/>
    <x v="0"/>
    <x v="1"/>
    <x v="113"/>
    <x v="79"/>
    <s v="bytes"/>
    <n v="7.90240478515625"/>
    <x v="1"/>
    <m/>
    <n v="5"/>
  </r>
  <r>
    <x v="1"/>
    <x v="0"/>
    <x v="0"/>
    <x v="0"/>
    <x v="1"/>
    <x v="114"/>
    <x v="85"/>
    <s v="bytes"/>
    <n v="240.49652033003522"/>
    <x v="1"/>
    <m/>
    <n v="5"/>
  </r>
  <r>
    <x v="1"/>
    <x v="0"/>
    <x v="0"/>
    <x v="0"/>
    <x v="1"/>
    <x v="115"/>
    <x v="86"/>
    <s v="bytes"/>
    <n v="15151.280780792236"/>
    <x v="1"/>
    <m/>
    <n v="5"/>
  </r>
  <r>
    <x v="1"/>
    <x v="0"/>
    <x v="0"/>
    <x v="0"/>
    <x v="1"/>
    <x v="116"/>
    <x v="87"/>
    <s v="mb/sec"/>
    <m/>
    <x v="0"/>
    <m/>
    <m/>
  </r>
  <r>
    <x v="1"/>
    <x v="0"/>
    <x v="0"/>
    <x v="0"/>
    <x v="1"/>
    <x v="117"/>
    <x v="88"/>
    <s v="mb/sec"/>
    <m/>
    <x v="0"/>
    <m/>
    <m/>
  </r>
  <r>
    <x v="1"/>
    <x v="0"/>
    <x v="0"/>
    <x v="0"/>
    <x v="1"/>
    <x v="118"/>
    <x v="89"/>
    <s v="mb/sec"/>
    <m/>
    <x v="0"/>
    <m/>
    <m/>
  </r>
  <r>
    <x v="1"/>
    <x v="0"/>
    <x v="0"/>
    <x v="0"/>
    <x v="1"/>
    <x v="119"/>
    <x v="38"/>
    <m/>
    <m/>
    <x v="0"/>
    <m/>
    <m/>
  </r>
  <r>
    <x v="1"/>
    <x v="0"/>
    <x v="0"/>
    <x v="0"/>
    <x v="1"/>
    <x v="120"/>
    <x v="90"/>
    <m/>
    <m/>
    <x v="1"/>
    <n v="62111"/>
    <n v="52"/>
  </r>
  <r>
    <x v="1"/>
    <x v="0"/>
    <x v="0"/>
    <x v="0"/>
    <x v="1"/>
    <x v="121"/>
    <x v="91"/>
    <m/>
    <m/>
    <x v="1"/>
    <n v="20405"/>
    <n v="52"/>
  </r>
  <r>
    <x v="1"/>
    <x v="0"/>
    <x v="0"/>
    <x v="0"/>
    <x v="1"/>
    <x v="122"/>
    <x v="92"/>
    <m/>
    <m/>
    <x v="1"/>
    <n v="13252"/>
    <n v="52"/>
  </r>
  <r>
    <x v="1"/>
    <x v="0"/>
    <x v="0"/>
    <x v="0"/>
    <x v="1"/>
    <x v="123"/>
    <x v="93"/>
    <m/>
    <m/>
    <x v="1"/>
    <n v="15527"/>
    <n v="52"/>
  </r>
  <r>
    <x v="1"/>
    <x v="0"/>
    <x v="0"/>
    <x v="0"/>
    <x v="1"/>
    <x v="124"/>
    <x v="33"/>
    <m/>
    <m/>
    <x v="1"/>
    <n v="4"/>
    <n v="52"/>
  </r>
  <r>
    <x v="3"/>
    <x v="0"/>
    <x v="0"/>
    <x v="0"/>
    <x v="1"/>
    <x v="125"/>
    <x v="94"/>
    <s v="byte"/>
    <n v="52.755496025085442"/>
    <x v="1"/>
    <n v="55318147"/>
    <m/>
  </r>
  <r>
    <x v="3"/>
    <x v="0"/>
    <x v="0"/>
    <x v="0"/>
    <x v="1"/>
    <x v="125"/>
    <x v="95"/>
    <s v="byte"/>
    <n v="485015.08402919769"/>
    <x v="1"/>
    <n v="508575176751"/>
    <m/>
  </r>
  <r>
    <x v="3"/>
    <x v="0"/>
    <x v="0"/>
    <x v="0"/>
    <x v="1"/>
    <x v="125"/>
    <x v="96"/>
    <s v="byte"/>
    <n v="52.173611640930176"/>
    <x v="1"/>
    <n v="54707997"/>
    <m/>
  </r>
  <r>
    <x v="3"/>
    <x v="0"/>
    <x v="0"/>
    <x v="0"/>
    <x v="1"/>
    <x v="125"/>
    <x v="97"/>
    <s v="byte"/>
    <n v="488652.69612216944"/>
    <x v="1"/>
    <n v="512389489489"/>
    <m/>
  </r>
  <r>
    <x v="3"/>
    <x v="0"/>
    <x v="0"/>
    <x v="0"/>
    <x v="1"/>
    <x v="125"/>
    <x v="98"/>
    <s v="byte"/>
    <n v="52.391711235046387"/>
    <x v="1"/>
    <n v="54936691"/>
    <m/>
  </r>
  <r>
    <x v="4"/>
    <x v="0"/>
    <x v="0"/>
    <x v="0"/>
    <x v="1"/>
    <x v="126"/>
    <x v="8"/>
    <s v="Ratio"/>
    <m/>
    <x v="1"/>
    <n v="2"/>
    <m/>
  </r>
  <r>
    <x v="4"/>
    <x v="0"/>
    <x v="0"/>
    <x v="0"/>
    <x v="1"/>
    <x v="126"/>
    <x v="99"/>
    <s v="Ratio"/>
    <m/>
    <x v="1"/>
    <n v="0.5"/>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47">
      <pivotArea dataOnly="0" labelOnly="1" outline="0" fieldPosition="0">
        <references count="1">
          <reference field="4294967294" count="1">
            <x v="0"/>
          </reference>
        </references>
      </pivotArea>
    </format>
    <format dxfId="4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49">
      <pivotArea dataOnly="0" labelOnly="1" outline="0" fieldPosition="0">
        <references count="1">
          <reference field="4294967294" count="1">
            <x v="0"/>
          </reference>
        </references>
      </pivotArea>
    </format>
    <format dxfId="4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S17" firstHeaderRow="1" firstDataRow="3"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Col" showAll="0">
      <items count="3">
        <item sd="0" x="1"/>
        <item sd="0" x="0"/>
        <item t="default" sd="0"/>
      </items>
    </pivotField>
    <pivotField axis="axisCol"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axis="axisRow" dataField="1" showAll="0" sortType="ascending">
      <items count="102">
        <item sd="0" x="5"/>
        <item sd="0" x="4"/>
        <item sd="0" x="3"/>
        <item sd="0" x="7"/>
        <item sd="0" x="9"/>
        <item sd="0" x="27"/>
        <item sd="0" x="22"/>
        <item sd="0" x="1"/>
        <item sd="0" x="99"/>
        <item sd="0" x="38"/>
        <item sd="0" x="54"/>
        <item sd="0" x="29"/>
        <item sd="0" x="8"/>
        <item sd="0" x="24"/>
        <item sd="0" x="57"/>
        <item sd="0" x="36"/>
        <item sd="0" x="89"/>
        <item sd="0" x="53"/>
        <item sd="0" x="25"/>
        <item sd="0" x="33"/>
        <item sd="0" x="23"/>
        <item sd="0" x="49"/>
        <item sd="0" x="56"/>
        <item sd="0" x="39"/>
        <item sd="0" x="37"/>
        <item sd="0" x="52"/>
        <item sd="0" x="35"/>
        <item sd="0" x="28"/>
        <item sd="0" x="34"/>
        <item sd="0" x="55"/>
        <item sd="0" x="88"/>
        <item sd="0" x="6"/>
        <item sd="0" x="58"/>
        <item sd="0" x="87"/>
        <item sd="0" x="73"/>
        <item sd="0" x="26"/>
        <item sd="0" x="51"/>
        <item sd="0" x="83"/>
        <item sd="0" x="77"/>
        <item sd="0" x="31"/>
        <item sd="0" x="19"/>
        <item sd="0" x="67"/>
        <item sd="0" x="50"/>
        <item sd="0" x="48"/>
        <item sd="0" x="71"/>
        <item sd="0" x="72"/>
        <item sd="0" x="47"/>
        <item sd="0" x="70"/>
        <item sd="0" x="43"/>
        <item sd="0" x="11"/>
        <item sd="0" x="69"/>
        <item sd="0" x="20"/>
        <item sd="0" x="68"/>
        <item sd="0" x="17"/>
        <item sd="0" x="32"/>
        <item sd="0" x="66"/>
        <item sd="0" x="30"/>
        <item sd="0" x="18"/>
        <item sd="0" x="16"/>
        <item sd="0" x="41"/>
        <item sd="0" x="92"/>
        <item sd="0" x="12"/>
        <item sd="0" x="93"/>
        <item sd="0" x="21"/>
        <item sd="0" x="91"/>
        <item sd="0" x="10"/>
        <item sd="0" x="0"/>
        <item sd="0" x="90"/>
        <item sd="0" x="42"/>
        <item sd="0" x="75"/>
        <item sd="0" x="45"/>
        <item sd="0" x="46"/>
        <item sd="0" x="82"/>
        <item sd="0" x="44"/>
        <item sd="0" x="76"/>
        <item sd="0" x="40"/>
        <item sd="0" x="79"/>
        <item sd="0" x="81"/>
        <item sd="0" x="74"/>
        <item sd="0" x="2"/>
        <item sd="0" x="96"/>
        <item sd="0" x="98"/>
        <item sd="0" x="94"/>
        <item sd="0" x="14"/>
        <item sd="0" x="15"/>
        <item sd="0" x="85"/>
        <item sd="0" x="13"/>
        <item sd="0" x="80"/>
        <item sd="0" x="84"/>
        <item sd="0" x="78"/>
        <item sd="0" x="86"/>
        <item sd="0" x="95"/>
        <item sd="0" x="97"/>
        <item sd="0" x="62"/>
        <item sd="0" x="64"/>
        <item sd="0" x="63"/>
        <item sd="0" x="61"/>
        <item sd="0" x="59"/>
        <item sd="0" x="60"/>
        <item sd="0" x="65"/>
        <item sd="0" x="100"/>
        <item t="default" sd="0"/>
      </items>
    </pivotField>
    <pivotField showAll="0"/>
    <pivotField showAll="0"/>
    <pivotField axis="axisPage" showAll="0" defaultSubtotal="0">
      <items count="2">
        <item x="1"/>
        <item x="0"/>
      </items>
    </pivotField>
    <pivotField showAll="0"/>
    <pivotField showAll="0" defaultSubtotal="0"/>
  </pivotFields>
  <rowFields count="2">
    <field x="6"/>
    <field x="2"/>
  </rowFields>
  <rowItems count="8">
    <i>
      <x v="93"/>
    </i>
    <i>
      <x v="94"/>
    </i>
    <i>
      <x v="95"/>
    </i>
    <i>
      <x v="96"/>
    </i>
    <i>
      <x v="97"/>
    </i>
    <i>
      <x v="98"/>
    </i>
    <i>
      <x v="99"/>
    </i>
    <i t="grand">
      <x/>
    </i>
  </rowItems>
  <colFields count="2">
    <field x="3"/>
    <field x="4"/>
  </colFields>
  <colItems count="2">
    <i>
      <x v="1"/>
    </i>
    <i t="grand">
      <x/>
    </i>
  </colItems>
  <pageFields count="3">
    <pageField fld="1" hier="-1"/>
    <pageField fld="9" hier="-1"/>
    <pageField fld="5" item="102" hier="-1"/>
  </pageFields>
  <dataFields count="1">
    <dataField name="Count of Value" fld="6" subtotal="count" baseField="0" baseItem="0"/>
  </dataFields>
  <formats count="2">
    <format dxfId="444">
      <pivotArea dataOnly="0" labelOnly="1" outline="0" axis="axisValues" fieldPosition="0"/>
    </format>
    <format dxfId="44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9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9"/>
        <item h="1" m="1" x="188"/>
        <item h="1" m="1" x="183"/>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5"/>
        <item h="1" m="1" x="184"/>
        <item h="1" m="1" x="187"/>
        <item h="1" x="107"/>
        <item h="1" x="108"/>
        <item h="1" x="109"/>
        <item h="1" x="110"/>
        <item h="1" x="111"/>
        <item h="1" x="112"/>
        <item h="1" x="30"/>
        <item h="1" x="31"/>
        <item h="1" x="32"/>
        <item h="1" x="104"/>
        <item h="1" x="105"/>
        <item h="1" x="106"/>
        <item h="1" m="1" x="191"/>
        <item h="1" m="1" x="190"/>
        <item h="1" m="1" x="182"/>
        <item h="1" m="1" x="18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7:AC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J7:AK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7:D9"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H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37">
      <pivotArea collapsedLevelsAreSubtotals="1" fieldPosition="0">
        <references count="2">
          <reference field="4294967294" count="1" selected="0">
            <x v="0"/>
          </reference>
          <reference field="2" count="1">
            <x v="0"/>
          </reference>
        </references>
      </pivotArea>
    </format>
    <format dxfId="43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SlowQueryOccurrence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38">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35">
      <pivotArea field="3" type="button" dataOnly="0" labelOnly="1" outline="0" axis="axisRow" fieldPosition="1"/>
    </format>
    <format dxfId="434">
      <pivotArea dataOnly="0" labelOnly="1" outline="0" fieldPosition="0">
        <references count="1">
          <reference field="4294967294" count="8">
            <x v="0"/>
            <x v="1"/>
            <x v="2"/>
            <x v="4"/>
            <x v="6"/>
            <x v="11"/>
            <x v="14"/>
            <x v="15"/>
          </reference>
        </references>
      </pivotArea>
    </format>
    <format dxfId="433">
      <pivotArea outline="0" fieldPosition="0">
        <references count="1">
          <reference field="4294967294" count="1">
            <x v="7"/>
          </reference>
        </references>
      </pivotArea>
    </format>
    <format dxfId="432">
      <pivotArea dataOnly="0" labelOnly="1" outline="0" fieldPosition="0">
        <references count="1">
          <reference field="4294967294" count="1">
            <x v="7"/>
          </reference>
        </references>
      </pivotArea>
    </format>
    <format dxfId="431">
      <pivotArea outline="0" fieldPosition="0">
        <references count="1">
          <reference field="4294967294" count="1">
            <x v="3"/>
          </reference>
        </references>
      </pivotArea>
    </format>
    <format dxfId="430">
      <pivotArea outline="0" fieldPosition="0">
        <references count="1">
          <reference field="4294967294" count="1">
            <x v="8"/>
          </reference>
        </references>
      </pivotArea>
    </format>
    <format dxfId="429">
      <pivotArea outline="0" fieldPosition="0">
        <references count="1">
          <reference field="4294967294" count="1">
            <x v="9"/>
          </reference>
        </references>
      </pivotArea>
    </format>
    <format dxfId="428">
      <pivotArea outline="0" fieldPosition="0">
        <references count="1">
          <reference field="4294967294" count="1">
            <x v="10"/>
          </reference>
        </references>
      </pivotArea>
    </format>
    <format dxfId="427">
      <pivotArea outline="0" fieldPosition="0">
        <references count="1">
          <reference field="4294967294" count="1">
            <x v="13"/>
          </reference>
        </references>
      </pivotArea>
    </format>
    <format dxfId="426">
      <pivotArea outline="0" fieldPosition="0">
        <references count="1">
          <reference field="4294967294" count="1">
            <x v="5"/>
          </reference>
        </references>
      </pivotArea>
    </format>
    <format dxfId="425">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24">
      <pivotArea field="3" type="button" dataOnly="0" labelOnly="1" outline="0" axis="axisRow" fieldPosition="0"/>
    </format>
    <format dxfId="423">
      <pivotArea dataOnly="0" labelOnly="1" outline="0" fieldPosition="0">
        <references count="1">
          <reference field="4294967294" count="8">
            <x v="0"/>
            <x v="1"/>
            <x v="2"/>
            <x v="4"/>
            <x v="6"/>
            <x v="10"/>
            <x v="13"/>
            <x v="14"/>
          </reference>
        </references>
      </pivotArea>
    </format>
    <format dxfId="422">
      <pivotArea outline="0" fieldPosition="0">
        <references count="1">
          <reference field="4294967294" count="1">
            <x v="5"/>
          </reference>
        </references>
      </pivotArea>
    </format>
    <format dxfId="421">
      <pivotArea outline="0" fieldPosition="0">
        <references count="1">
          <reference field="4294967294" count="1">
            <x v="7"/>
          </reference>
        </references>
      </pivotArea>
    </format>
    <format dxfId="420">
      <pivotArea dataOnly="0" labelOnly="1" outline="0" fieldPosition="0">
        <references count="1">
          <reference field="4294967294" count="1">
            <x v="7"/>
          </reference>
        </references>
      </pivotArea>
    </format>
    <format dxfId="419">
      <pivotArea dataOnly="0" labelOnly="1" outline="0" fieldPosition="0">
        <references count="1">
          <reference field="4294967294" count="1">
            <x v="5"/>
          </reference>
        </references>
      </pivotArea>
    </format>
    <format dxfId="418">
      <pivotArea outline="0" fieldPosition="0">
        <references count="1">
          <reference field="4294967294" count="1">
            <x v="3"/>
          </reference>
        </references>
      </pivotArea>
    </format>
    <format dxfId="417">
      <pivotArea outline="0" fieldPosition="0">
        <references count="1">
          <reference field="4294967294" count="1">
            <x v="9"/>
          </reference>
        </references>
      </pivotArea>
    </format>
    <format dxfId="416">
      <pivotArea outline="0" fieldPosition="0">
        <references count="1">
          <reference field="4294967294" count="1">
            <x v="12"/>
          </reference>
        </references>
      </pivotArea>
    </format>
    <format dxfId="415">
      <pivotArea outline="0" fieldPosition="0">
        <references count="1">
          <reference field="4294967294" count="1">
            <x v="8"/>
          </reference>
        </references>
      </pivotArea>
    </format>
    <format dxfId="414">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TTPReadRepairDigestQry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DigestQr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TTPReadRepair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02">
      <pivotArea dataOnly="0" labelOnly="1" outline="0" fieldPosition="0">
        <references count="1">
          <reference field="4294967294" count="1">
            <x v="0"/>
          </reference>
        </references>
      </pivotArea>
    </format>
    <format dxfId="40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04">
      <pivotArea dataOnly="0" labelOnly="1" outline="0" fieldPosition="0">
        <references count="1">
          <reference field="4294967294" count="1">
            <x v="0"/>
          </reference>
        </references>
      </pivotArea>
    </format>
    <format dxfId="40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06">
      <pivotArea dataOnly="0" labelOnly="1" outline="0" fieldPosition="0">
        <references count="1">
          <reference field="4294967294" count="1">
            <x v="1"/>
          </reference>
        </references>
      </pivotArea>
    </format>
    <format dxfId="40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40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40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411">
      <pivotArea dataOnly="0" labelOnly="1" outline="0" axis="axisValues" fieldPosition="0"/>
    </format>
    <format dxfId="410">
      <pivotArea dataOnly="0" outline="0" axis="axisValues" fieldPosition="0"/>
    </format>
    <format dxfId="40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413">
      <pivotArea dataOnly="0" labelOnly="1" outline="0" fieldPosition="0">
        <references count="1">
          <reference field="4294967294" count="1">
            <x v="0"/>
          </reference>
        </references>
      </pivotArea>
    </format>
    <format dxfId="41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88">
      <pivotArea dataOnly="0" labelOnly="1" outline="0" fieldPosition="0">
        <references count="1">
          <reference field="4294967294" count="1">
            <x v="1"/>
          </reference>
        </references>
      </pivotArea>
    </format>
    <format dxfId="38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90">
      <pivotArea dataOnly="0" labelOnly="1" outline="0" fieldPosition="0">
        <references count="1">
          <reference field="4294967294" count="1">
            <x v="0"/>
          </reference>
        </references>
      </pivotArea>
    </format>
    <format dxfId="38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92">
      <pivotArea dataOnly="0" labelOnly="1" outline="0" fieldPosition="0">
        <references count="1">
          <reference field="4294967294" count="1">
            <x v="0"/>
          </reference>
        </references>
      </pivotArea>
    </format>
    <format dxfId="39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94">
      <pivotArea dataOnly="0" labelOnly="1" outline="0" fieldPosition="0">
        <references count="1">
          <reference field="4294967294" count="1">
            <x v="0"/>
          </reference>
        </references>
      </pivotArea>
    </format>
    <format dxfId="39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96">
      <pivotArea dataOnly="0" labelOnly="1" outline="0" fieldPosition="0">
        <references count="1">
          <reference field="4294967294" count="1">
            <x v="1"/>
          </reference>
        </references>
      </pivotArea>
    </format>
    <format dxfId="39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400">
      <pivotArea dataOnly="0" labelOnly="1" outline="0" axis="axisValues" fieldPosition="0"/>
    </format>
    <format dxfId="399">
      <pivotArea dataOnly="0" outline="0" axis="axisValues" fieldPosition="0"/>
    </format>
    <format dxfId="39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H4:I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4:L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n="Node Detected Down" x="8"/>
        <item n="Node Detected Down2"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77">
      <pivotArea dataOnly="0" labelOnly="1" outline="0" axis="axisValues" fieldPosition="0"/>
    </format>
    <format dxfId="376">
      <pivotArea collapsedLevelsAreSubtotals="1" fieldPosition="0">
        <references count="1">
          <reference field="4" count="1">
            <x v="1"/>
          </reference>
        </references>
      </pivotArea>
    </format>
    <format dxfId="375">
      <pivotArea outline="0" fieldPosition="0">
        <references count="1">
          <reference field="4294967294" count="1">
            <x v="0"/>
          </reference>
        </references>
      </pivotArea>
    </format>
    <format dxfId="374">
      <pivotArea outline="0" fieldPosition="0">
        <references count="1">
          <reference field="4294967294" count="1">
            <x v="3"/>
          </reference>
        </references>
      </pivotArea>
    </format>
    <format dxfId="373">
      <pivotArea outline="0" fieldPosition="0">
        <references count="1">
          <reference field="4294967294" count="1">
            <x v="1"/>
          </reference>
        </references>
      </pivotArea>
    </format>
    <format dxfId="372">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79">
      <pivotArea collapsedLevelsAreSubtotals="1" fieldPosition="0">
        <references count="1">
          <reference field="4" count="1">
            <x v="1"/>
          </reference>
        </references>
      </pivotArea>
    </format>
    <format dxfId="3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86">
      <pivotArea dataOnly="0" labelOnly="1" outline="0" axis="axisValues" fieldPosition="0"/>
    </format>
    <format dxfId="385">
      <pivotArea collapsedLevelsAreSubtotals="1" fieldPosition="0">
        <references count="1">
          <reference field="4" count="1">
            <x v="1"/>
          </reference>
        </references>
      </pivotArea>
    </format>
    <format dxfId="384">
      <pivotArea outline="0" fieldPosition="0">
        <references count="1">
          <reference field="4294967294" count="1">
            <x v="0"/>
          </reference>
        </references>
      </pivotArea>
    </format>
    <format dxfId="383">
      <pivotArea outline="0" fieldPosition="0">
        <references count="1">
          <reference field="4294967294" count="1">
            <x v="3"/>
          </reference>
        </references>
      </pivotArea>
    </format>
    <format dxfId="382">
      <pivotArea outline="0" fieldPosition="0">
        <references count="1">
          <reference field="4294967294" count="1">
            <x v="3"/>
          </reference>
        </references>
      </pivotArea>
    </format>
    <format dxfId="381">
      <pivotArea outline="0" fieldPosition="0">
        <references count="1">
          <reference field="4294967294" count="1">
            <x v="1"/>
          </reference>
        </references>
      </pivotArea>
    </format>
    <format dxfId="38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71">
      <pivotArea collapsedLevelsAreSubtotals="1" fieldPosition="0">
        <references count="1">
          <reference field="4" count="1">
            <x v="1"/>
          </reference>
        </references>
      </pivotArea>
    </format>
    <format dxfId="3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colGrandTotals="0" itemPrintTitles="1" mergeItem="1" createdVersion="5" indent="0" outline="1" outlineData="1" chartFormat="2" rowHeaderCaption="Node">
  <location ref="A6:G11" firstHeaderRow="1" firstDataRow="3" firstDataCol="1" rowPageCount="2" colPageCount="1"/>
  <pivotFields count="12">
    <pivotField showAll="0" defaultSubtotal="0">
      <items count="6">
        <item x="1"/>
        <item x="0"/>
        <item x="4"/>
        <item x="3"/>
        <item x="2"/>
        <item x="5"/>
      </items>
    </pivotField>
    <pivotField axis="axisRow"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Col" showAll="0">
      <items count="138">
        <item h="1" x="29"/>
        <item h="1" x="31"/>
        <item h="1" x="20"/>
        <item h="1" x="21"/>
        <item h="1" x="23"/>
        <item h="1" x="22"/>
        <item h="1" x="27"/>
        <item h="1" x="28"/>
        <item h="1" x="26"/>
        <item h="1" x="25"/>
        <item h="1" x="24"/>
        <item h="1" x="16"/>
        <item h="1" x="17"/>
        <item h="1" x="18"/>
        <item h="1" x="19"/>
        <item h="1" x="30"/>
        <item h="1" x="32"/>
        <item h="1" x="12"/>
        <item h="1" x="13"/>
        <item h="1" x="14"/>
        <item h="1" x="15"/>
        <item h="1" x="11"/>
        <item h="1" x="9"/>
        <item h="1" x="4"/>
        <item h="1" x="0"/>
        <item h="1" x="1"/>
        <item h="1" x="6"/>
        <item h="1" x="7"/>
        <item h="1" x="8"/>
        <item h="1" x="10"/>
        <item h="1" x="5"/>
        <item h="1" x="2"/>
        <item h="1" x="3"/>
        <item h="1" x="127"/>
        <item h="1" x="36"/>
        <item h="1" x="37"/>
        <item h="1" x="38"/>
        <item h="1" x="39"/>
        <item h="1" x="40"/>
        <item h="1" x="41"/>
        <item h="1" x="42"/>
        <item h="1" x="43"/>
        <item h="1" x="44"/>
        <item h="1" x="45"/>
        <item h="1" x="46"/>
        <item h="1" x="47"/>
        <item h="1" m="1" x="130"/>
        <item h="1" m="1" x="135"/>
        <item h="1" m="1" x="131"/>
        <item h="1" m="1" x="133"/>
        <item h="1" m="1" x="132"/>
        <item h="1" m="1" x="128"/>
        <item h="1" m="1" x="134"/>
        <item h="1" x="33"/>
        <item h="1" x="34"/>
        <item h="1" x="35"/>
        <item h="1" x="49"/>
        <item h="1" x="50"/>
        <item h="1" x="51"/>
        <item h="1" x="52"/>
        <item h="1" x="53"/>
        <item h="1" x="54"/>
        <item h="1" x="48"/>
        <item h="1" x="55"/>
        <item h="1" x="56"/>
        <item h="1" x="57"/>
        <item h="1" x="58"/>
        <item h="1" x="59"/>
        <item h="1" x="60"/>
        <item h="1" x="61"/>
        <item h="1" x="62"/>
        <item h="1" x="63"/>
        <item h="1" x="64"/>
        <item h="1" x="65"/>
        <item h="1" x="66"/>
        <item h="1" x="67"/>
        <item h="1" x="68"/>
        <item h="1" x="69"/>
        <item h="1" m="1" x="129"/>
        <item h="1" m="1" x="136"/>
        <item h="1" x="70"/>
        <item h="1" x="71"/>
        <item h="1" x="72"/>
        <item h="1" x="73"/>
        <item h="1" x="74"/>
        <item h="1" x="75"/>
        <item h="1" x="76"/>
        <item h="1" x="77"/>
        <item h="1" x="78"/>
        <item h="1" x="79"/>
        <item h="1" x="80"/>
        <item h="1" x="81"/>
        <item h="1" x="82"/>
        <item h="1" x="83"/>
        <item h="1" x="84"/>
        <item x="85"/>
        <item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t="default"/>
      </items>
    </pivotField>
    <pivotField showAll="0"/>
    <pivotField showAll="0"/>
    <pivotField showAll="0"/>
    <pivotField showAll="0" defaultSubtotal="0"/>
    <pivotField dataField="1" showAll="0"/>
    <pivotField showAll="0" defaultSubtotal="0"/>
  </pivotFields>
  <rowFields count="2">
    <field x="1"/>
    <field x="2"/>
  </rowFields>
  <rowItems count="3">
    <i>
      <x v="1"/>
    </i>
    <i r="1">
      <x/>
    </i>
    <i t="grand">
      <x/>
    </i>
  </rowItems>
  <colFields count="2">
    <field x="5"/>
    <field x="-2"/>
  </colFields>
  <colItems count="6">
    <i>
      <x v="95"/>
      <x/>
    </i>
    <i r="1" i="1">
      <x v="1"/>
    </i>
    <i r="1" i="2">
      <x v="2"/>
    </i>
    <i>
      <x v="96"/>
      <x/>
    </i>
    <i r="1" i="1">
      <x v="1"/>
    </i>
    <i r="1" i="2">
      <x v="2"/>
    </i>
  </colItems>
  <pageFields count="2">
    <pageField fld="3" hier="-1"/>
    <pageField fld="4" hier="-1"/>
  </pageFields>
  <dataFields count="3">
    <dataField name="Max" fld="10" subtotal="max" baseField="2" baseItem="0" numFmtId="171"/>
    <dataField name="Average" fld="10" subtotal="average" baseField="1" baseItem="1" numFmtId="171"/>
    <dataField name="StdDevp" fld="10" subtotal="stdDevp" baseField="2" baseItem="0" numFmtId="171"/>
  </dataFields>
  <formats count="4">
    <format dxfId="10">
      <pivotArea outline="0" collapsedLevelsAreSubtotals="1" fieldPosition="0">
        <references count="2">
          <reference field="4294967294" count="1" selected="0">
            <x v="0"/>
          </reference>
          <reference field="5" count="1" selected="0">
            <x v="96"/>
          </reference>
        </references>
      </pivotArea>
    </format>
    <format dxfId="9">
      <pivotArea type="topRight" dataOnly="0" labelOnly="1" outline="0" offset="B1" fieldPosition="0"/>
    </format>
    <format dxfId="8">
      <pivotArea dataOnly="0" labelOnly="1" offset="A256" fieldPosition="0">
        <references count="1">
          <reference field="5" count="1">
            <x v="96"/>
          </reference>
        </references>
      </pivotArea>
    </format>
    <format dxfId="7">
      <pivotArea dataOnly="0" labelOnly="1" outline="0" fieldPosition="0">
        <references count="2">
          <reference field="4294967294" count="1">
            <x v="0"/>
          </reference>
          <reference field="5" count="1" selected="0">
            <x v="96"/>
          </reference>
        </references>
      </pivotArea>
    </format>
  </formats>
  <chartFormats count="6">
    <chartFormat chart="1" format="0" series="1">
      <pivotArea type="data" outline="0" fieldPosition="0">
        <references count="2">
          <reference field="4294967294" count="1" selected="0">
            <x v="0"/>
          </reference>
          <reference field="5" count="1" selected="0">
            <x v="95"/>
          </reference>
        </references>
      </pivotArea>
    </chartFormat>
    <chartFormat chart="1" format="1" series="1">
      <pivotArea type="data" outline="0" fieldPosition="0">
        <references count="2">
          <reference field="4294967294" count="1" selected="0">
            <x v="1"/>
          </reference>
          <reference field="5" count="1" selected="0">
            <x v="95"/>
          </reference>
        </references>
      </pivotArea>
    </chartFormat>
    <chartFormat chart="1" format="2" series="1">
      <pivotArea type="data" outline="0" fieldPosition="0">
        <references count="2">
          <reference field="4294967294" count="1" selected="0">
            <x v="2"/>
          </reference>
          <reference field="5" count="1" selected="0">
            <x v="95"/>
          </reference>
        </references>
      </pivotArea>
    </chartFormat>
    <chartFormat chart="1" format="3" series="1">
      <pivotArea type="data" outline="0" fieldPosition="0">
        <references count="2">
          <reference field="4294967294" count="1" selected="0">
            <x v="0"/>
          </reference>
          <reference field="5" count="1" selected="0">
            <x v="96"/>
          </reference>
        </references>
      </pivotArea>
    </chartFormat>
    <chartFormat chart="1" format="4" series="1">
      <pivotArea type="data" outline="0" fieldPosition="0">
        <references count="2">
          <reference field="4294967294" count="1" selected="0">
            <x v="1"/>
          </reference>
          <reference field="5" count="1" selected="0">
            <x v="96"/>
          </reference>
        </references>
      </pivotArea>
    </chartFormat>
    <chartFormat chart="1" format="5" series="1">
      <pivotArea type="data" outline="0" fieldPosition="0">
        <references count="2">
          <reference field="4294967294" count="1" selected="0">
            <x v="2"/>
          </reference>
          <reference field="5" count="1" selected="0">
            <x v="9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colGrandTotals="0" itemPrintTitles="1" mergeItem="1" createdVersion="5" indent="0" outline="1" outlineData="1" chartFormat="3" rowHeaderCaption="Node">
  <location ref="A6:G11" firstHeaderRow="1" firstDataRow="3" firstDataCol="1" rowPageCount="2" colPageCount="1"/>
  <pivotFields count="12">
    <pivotField showAll="0" defaultSubtotal="0">
      <items count="6">
        <item x="1"/>
        <item x="0"/>
        <item x="4"/>
        <item x="3"/>
        <item x="2"/>
        <item x="5"/>
      </items>
    </pivotField>
    <pivotField axis="axisRow"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Col" showAll="0">
      <items count="138">
        <item h="1" x="29"/>
        <item h="1" x="31"/>
        <item h="1" x="20"/>
        <item h="1" x="21"/>
        <item h="1" x="23"/>
        <item h="1" x="22"/>
        <item h="1" x="27"/>
        <item h="1" x="28"/>
        <item h="1" x="26"/>
        <item h="1" x="25"/>
        <item h="1" x="24"/>
        <item h="1" x="16"/>
        <item h="1" x="17"/>
        <item h="1" x="18"/>
        <item h="1" x="19"/>
        <item h="1" x="30"/>
        <item h="1" x="32"/>
        <item h="1" x="12"/>
        <item h="1" x="13"/>
        <item h="1" x="14"/>
        <item h="1" x="15"/>
        <item h="1" x="11"/>
        <item h="1" x="9"/>
        <item h="1" x="4"/>
        <item h="1" x="0"/>
        <item h="1" x="1"/>
        <item h="1" x="6"/>
        <item h="1" x="7"/>
        <item h="1" x="8"/>
        <item h="1" x="10"/>
        <item h="1" x="5"/>
        <item h="1" x="2"/>
        <item h="1" x="3"/>
        <item h="1" x="127"/>
        <item h="1" x="36"/>
        <item h="1" x="37"/>
        <item h="1" x="38"/>
        <item h="1" x="39"/>
        <item h="1" x="40"/>
        <item h="1" x="41"/>
        <item h="1" x="42"/>
        <item h="1" x="43"/>
        <item h="1" x="44"/>
        <item x="45"/>
        <item h="1" x="46"/>
        <item x="47"/>
        <item h="1" m="1" x="130"/>
        <item h="1" m="1" x="135"/>
        <item h="1" m="1" x="131"/>
        <item h="1" m="1" x="133"/>
        <item h="1" m="1" x="132"/>
        <item h="1" m="1" x="128"/>
        <item h="1" m="1" x="134"/>
        <item h="1" x="33"/>
        <item h="1" x="34"/>
        <item h="1" x="35"/>
        <item h="1" x="49"/>
        <item h="1" x="50"/>
        <item h="1" x="51"/>
        <item h="1" x="52"/>
        <item h="1" x="53"/>
        <item h="1" x="54"/>
        <item h="1" x="48"/>
        <item h="1" x="55"/>
        <item h="1" x="56"/>
        <item h="1" x="57"/>
        <item h="1" x="58"/>
        <item h="1" x="59"/>
        <item h="1" x="60"/>
        <item h="1" x="61"/>
        <item h="1" x="62"/>
        <item h="1" x="63"/>
        <item h="1" x="64"/>
        <item h="1" x="65"/>
        <item h="1" x="66"/>
        <item h="1" x="67"/>
        <item h="1" x="68"/>
        <item h="1" x="69"/>
        <item h="1" m="1" x="129"/>
        <item h="1" m="1" x="136"/>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t="default"/>
      </items>
    </pivotField>
    <pivotField showAll="0"/>
    <pivotField showAll="0"/>
    <pivotField showAll="0"/>
    <pivotField showAll="0" defaultSubtotal="0"/>
    <pivotField dataField="1" showAll="0"/>
    <pivotField showAll="0" defaultSubtotal="0"/>
  </pivotFields>
  <rowFields count="2">
    <field x="1"/>
    <field x="2"/>
  </rowFields>
  <rowItems count="3">
    <i>
      <x v="1"/>
    </i>
    <i r="1">
      <x/>
    </i>
    <i t="grand">
      <x/>
    </i>
  </rowItems>
  <colFields count="2">
    <field x="5"/>
    <field x="-2"/>
  </colFields>
  <colItems count="6">
    <i>
      <x v="43"/>
      <x/>
    </i>
    <i r="1" i="1">
      <x v="1"/>
    </i>
    <i r="1" i="2">
      <x v="2"/>
    </i>
    <i>
      <x v="45"/>
      <x/>
    </i>
    <i r="1" i="1">
      <x v="1"/>
    </i>
    <i r="1" i="2">
      <x v="2"/>
    </i>
  </colItems>
  <pageFields count="2">
    <pageField fld="3" hier="-1"/>
    <pageField fld="4" hier="-1"/>
  </pageFields>
  <dataFields count="3">
    <dataField name="Max" fld="10" subtotal="max" baseField="2" baseItem="0" numFmtId="171"/>
    <dataField name="Average" fld="10" subtotal="average" baseField="1" baseItem="1" numFmtId="171"/>
    <dataField name="StdDevp" fld="10" subtotal="stdDevp" baseField="2" baseItem="0" numFmtId="171"/>
  </dataFields>
  <formats count="4">
    <format dxfId="3">
      <pivotArea outline="0" collapsedLevelsAreSubtotals="1" fieldPosition="0">
        <references count="2">
          <reference field="4294967294" count="1" selected="0">
            <x v="0"/>
          </reference>
          <reference field="5" count="1" selected="0">
            <x v="96"/>
          </reference>
        </references>
      </pivotArea>
    </format>
    <format dxfId="4">
      <pivotArea type="topRight" dataOnly="0" labelOnly="1" outline="0" offset="B1" fieldPosition="0"/>
    </format>
    <format dxfId="5">
      <pivotArea dataOnly="0" labelOnly="1" offset="A256" fieldPosition="0">
        <references count="1">
          <reference field="5" count="1">
            <x v="96"/>
          </reference>
        </references>
      </pivotArea>
    </format>
    <format dxfId="6">
      <pivotArea dataOnly="0" labelOnly="1" outline="0" fieldPosition="0">
        <references count="2">
          <reference field="4294967294" count="1">
            <x v="0"/>
          </reference>
          <reference field="5" count="1" selected="0">
            <x v="96"/>
          </reference>
        </references>
      </pivotArea>
    </format>
  </formats>
  <chartFormats count="18">
    <chartFormat chart="1" format="0" series="1">
      <pivotArea type="data" outline="0" fieldPosition="0">
        <references count="2">
          <reference field="4294967294" count="1" selected="0">
            <x v="0"/>
          </reference>
          <reference field="5" count="1" selected="0">
            <x v="95"/>
          </reference>
        </references>
      </pivotArea>
    </chartFormat>
    <chartFormat chart="1" format="1" series="1">
      <pivotArea type="data" outline="0" fieldPosition="0">
        <references count="2">
          <reference field="4294967294" count="1" selected="0">
            <x v="1"/>
          </reference>
          <reference field="5" count="1" selected="0">
            <x v="95"/>
          </reference>
        </references>
      </pivotArea>
    </chartFormat>
    <chartFormat chart="1" format="2" series="1">
      <pivotArea type="data" outline="0" fieldPosition="0">
        <references count="2">
          <reference field="4294967294" count="1" selected="0">
            <x v="2"/>
          </reference>
          <reference field="5" count="1" selected="0">
            <x v="95"/>
          </reference>
        </references>
      </pivotArea>
    </chartFormat>
    <chartFormat chart="1" format="3" series="1">
      <pivotArea type="data" outline="0" fieldPosition="0">
        <references count="2">
          <reference field="4294967294" count="1" selected="0">
            <x v="0"/>
          </reference>
          <reference field="5" count="1" selected="0">
            <x v="96"/>
          </reference>
        </references>
      </pivotArea>
    </chartFormat>
    <chartFormat chart="1" format="4" series="1">
      <pivotArea type="data" outline="0" fieldPosition="0">
        <references count="2">
          <reference field="4294967294" count="1" selected="0">
            <x v="1"/>
          </reference>
          <reference field="5" count="1" selected="0">
            <x v="96"/>
          </reference>
        </references>
      </pivotArea>
    </chartFormat>
    <chartFormat chart="1" format="5" series="1">
      <pivotArea type="data" outline="0" fieldPosition="0">
        <references count="2">
          <reference field="4294967294" count="1" selected="0">
            <x v="2"/>
          </reference>
          <reference field="5" count="1" selected="0">
            <x v="96"/>
          </reference>
        </references>
      </pivotArea>
    </chartFormat>
    <chartFormat chart="2" format="6" series="1">
      <pivotArea type="data" outline="0" fieldPosition="0">
        <references count="2">
          <reference field="4294967294" count="1" selected="0">
            <x v="0"/>
          </reference>
          <reference field="5" count="1" selected="0">
            <x v="95"/>
          </reference>
        </references>
      </pivotArea>
    </chartFormat>
    <chartFormat chart="2" format="7" series="1">
      <pivotArea type="data" outline="0" fieldPosition="0">
        <references count="2">
          <reference field="4294967294" count="1" selected="0">
            <x v="0"/>
          </reference>
          <reference field="5" count="1" selected="0">
            <x v="96"/>
          </reference>
        </references>
      </pivotArea>
    </chartFormat>
    <chartFormat chart="2" format="8" series="1">
      <pivotArea type="data" outline="0" fieldPosition="0">
        <references count="2">
          <reference field="4294967294" count="1" selected="0">
            <x v="1"/>
          </reference>
          <reference field="5" count="1" selected="0">
            <x v="95"/>
          </reference>
        </references>
      </pivotArea>
    </chartFormat>
    <chartFormat chart="2" format="9" series="1">
      <pivotArea type="data" outline="0" fieldPosition="0">
        <references count="2">
          <reference field="4294967294" count="1" selected="0">
            <x v="1"/>
          </reference>
          <reference field="5" count="1" selected="0">
            <x v="96"/>
          </reference>
        </references>
      </pivotArea>
    </chartFormat>
    <chartFormat chart="2" format="10" series="1">
      <pivotArea type="data" outline="0" fieldPosition="0">
        <references count="2">
          <reference field="4294967294" count="1" selected="0">
            <x v="2"/>
          </reference>
          <reference field="5" count="1" selected="0">
            <x v="95"/>
          </reference>
        </references>
      </pivotArea>
    </chartFormat>
    <chartFormat chart="2" format="11" series="1">
      <pivotArea type="data" outline="0" fieldPosition="0">
        <references count="2">
          <reference field="4294967294" count="1" selected="0">
            <x v="2"/>
          </reference>
          <reference field="5" count="1" selected="0">
            <x v="96"/>
          </reference>
        </references>
      </pivotArea>
    </chartFormat>
    <chartFormat chart="2" format="12" series="1">
      <pivotArea type="data" outline="0" fieldPosition="0">
        <references count="2">
          <reference field="4294967294" count="1" selected="0">
            <x v="0"/>
          </reference>
          <reference field="5" count="1" selected="0">
            <x v="43"/>
          </reference>
        </references>
      </pivotArea>
    </chartFormat>
    <chartFormat chart="2" format="13" series="1">
      <pivotArea type="data" outline="0" fieldPosition="0">
        <references count="2">
          <reference field="4294967294" count="1" selected="0">
            <x v="1"/>
          </reference>
          <reference field="5" count="1" selected="0">
            <x v="43"/>
          </reference>
        </references>
      </pivotArea>
    </chartFormat>
    <chartFormat chart="2" format="14" series="1">
      <pivotArea type="data" outline="0" fieldPosition="0">
        <references count="2">
          <reference field="4294967294" count="1" selected="0">
            <x v="2"/>
          </reference>
          <reference field="5" count="1" selected="0">
            <x v="43"/>
          </reference>
        </references>
      </pivotArea>
    </chartFormat>
    <chartFormat chart="2" format="15" series="1">
      <pivotArea type="data" outline="0" fieldPosition="0">
        <references count="2">
          <reference field="4294967294" count="1" selected="0">
            <x v="0"/>
          </reference>
          <reference field="5" count="1" selected="0">
            <x v="45"/>
          </reference>
        </references>
      </pivotArea>
    </chartFormat>
    <chartFormat chart="2" format="16" series="1">
      <pivotArea type="data" outline="0" fieldPosition="0">
        <references count="2">
          <reference field="4294967294" count="1" selected="0">
            <x v="1"/>
          </reference>
          <reference field="5" count="1" selected="0">
            <x v="45"/>
          </reference>
        </references>
      </pivotArea>
    </chartFormat>
    <chartFormat chart="2" format="17" series="1">
      <pivotArea type="data" outline="0" fieldPosition="0">
        <references count="2">
          <reference field="4294967294" count="1" selected="0">
            <x v="2"/>
          </reference>
          <reference field="5" count="1" selected="0">
            <x v="4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69">
      <pivotArea collapsedLevelsAreSubtotals="1" fieldPosition="0">
        <references count="1">
          <reference field="4" count="1">
            <x v="1"/>
          </reference>
        </references>
      </pivotArea>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rowHeaderCaption="Node">
  <location ref="A4:D7" firstHeaderRow="0" firstDataRow="1" firstDataCol="1" rowPageCount="1" colPageCount="1"/>
  <pivotFields count="18">
    <pivotField showAll="0" defaultSubtotal="0">
      <items count="3">
        <item x="1"/>
        <item x="0"/>
        <item x="2"/>
      </items>
    </pivotField>
    <pivotField axis="axisRow"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2">
    <field x="1"/>
    <field x="2"/>
  </rowFields>
  <rowItems count="3">
    <i>
      <x/>
    </i>
    <i r="1">
      <x/>
    </i>
    <i t="grand">
      <x/>
    </i>
  </rowItems>
  <colFields count="1">
    <field x="-2"/>
  </colFields>
  <colItems count="3">
    <i>
      <x/>
    </i>
    <i i="1">
      <x v="1"/>
    </i>
    <i i="2">
      <x v="2"/>
    </i>
  </colItems>
  <pageFields count="1">
    <pageField fld="3" hier="-1"/>
  </pageFields>
  <dataFields count="3">
    <dataField name="Max IORate Accumulative (mb/sec)" fld="16" subtotal="max" baseField="2" baseItem="0" numFmtId="4"/>
    <dataField name="Average" fld="16" subtotal="average" baseField="2" baseItem="0" numFmtId="4"/>
    <dataField name="StdDev" fld="16" subtotal="stdDevp" baseField="2" baseItem="0" numFmtId="4"/>
  </dataFields>
  <chartFormats count="6">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60">
      <pivotArea dataOnly="0" labelOnly="1" outline="0" axis="axisValues" fieldPosition="0"/>
    </format>
    <format dxfId="359">
      <pivotArea dataOnly="0" outline="0" axis="axisValues" fieldPosition="0"/>
    </format>
    <format dxfId="3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62">
      <pivotArea dataOnly="0" labelOnly="1" outline="0" axis="axisValues" fieldPosition="0"/>
    </format>
    <format dxfId="36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64">
      <pivotArea dataOnly="0" labelOnly="1" outline="0" axis="axisValues" fieldPosition="0"/>
    </format>
    <format dxfId="36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67">
      <pivotArea dataOnly="0" labelOnly="1" outline="0" axis="axisValues" fieldPosition="0"/>
    </format>
    <format dxfId="366">
      <pivotArea dataOnly="0" outline="0" axis="axisValues" fieldPosition="0"/>
    </format>
    <format dxfId="3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39">
      <pivotArea dataOnly="0" labelOnly="1" outline="0" fieldPosition="0">
        <references count="1">
          <reference field="4294967294" count="3">
            <x v="3"/>
            <x v="4"/>
            <x v="5"/>
          </reference>
        </references>
      </pivotArea>
    </format>
    <format dxfId="338">
      <pivotArea dataOnly="0" labelOnly="1" outline="0" fieldPosition="0">
        <references count="1">
          <reference field="4294967294" count="3">
            <x v="9"/>
            <x v="10"/>
            <x v="11"/>
          </reference>
        </references>
      </pivotArea>
    </format>
    <format dxfId="337">
      <pivotArea dataOnly="0" labelOnly="1" outline="0" fieldPosition="0">
        <references count="1">
          <reference field="4294967294" count="3">
            <x v="15"/>
            <x v="16"/>
            <x v="17"/>
          </reference>
        </references>
      </pivotArea>
    </format>
    <format dxfId="336">
      <pivotArea field="4" type="button" dataOnly="0" labelOnly="1" outline="0" axis="axisPage" fieldPosition="2"/>
    </format>
    <format dxfId="335">
      <pivotArea dataOnly="0" labelOnly="1" fieldPosition="0">
        <references count="1">
          <reference field="4" count="1">
            <x v="0"/>
          </reference>
        </references>
      </pivotArea>
    </format>
    <format dxfId="334">
      <pivotArea dataOnly="0" labelOnly="1" outline="0" fieldPosition="0">
        <references count="1">
          <reference field="4294967294" count="1">
            <x v="0"/>
          </reference>
        </references>
      </pivotArea>
    </format>
    <format dxfId="333">
      <pivotArea field="4" type="button" dataOnly="0" labelOnly="1" outline="0" axis="axisPage" fieldPosition="2"/>
    </format>
    <format dxfId="332">
      <pivotArea field="2" type="button" dataOnly="0" labelOnly="1" outline="0" axis="axisRow" fieldPosition="0"/>
    </format>
    <format dxfId="331">
      <pivotArea dataOnly="0" labelOnly="1" fieldPosition="0">
        <references count="1">
          <reference field="2" count="1">
            <x v="0"/>
          </reference>
        </references>
      </pivotArea>
    </format>
    <format dxfId="330">
      <pivotArea dataOnly="0" labelOnly="1" grandRow="1" outline="0" fieldPosition="0"/>
    </format>
    <format dxfId="329">
      <pivotArea outline="0" collapsedLevelsAreSubtotals="1" fieldPosition="0">
        <references count="1">
          <reference field="4294967294" count="1" selected="0">
            <x v="3"/>
          </reference>
        </references>
      </pivotArea>
    </format>
    <format dxfId="328">
      <pivotArea dataOnly="0" labelOnly="1" outline="0" fieldPosition="0">
        <references count="1">
          <reference field="4294967294" count="1">
            <x v="3"/>
          </reference>
        </references>
      </pivotArea>
    </format>
    <format dxfId="327">
      <pivotArea outline="0" collapsedLevelsAreSubtotals="1" fieldPosition="0">
        <references count="1">
          <reference field="4294967294" count="1" selected="0">
            <x v="6"/>
          </reference>
        </references>
      </pivotArea>
    </format>
    <format dxfId="326">
      <pivotArea dataOnly="0" labelOnly="1" outline="0" fieldPosition="0">
        <references count="1">
          <reference field="4294967294" count="1">
            <x v="6"/>
          </reference>
        </references>
      </pivotArea>
    </format>
    <format dxfId="325">
      <pivotArea outline="0" collapsedLevelsAreSubtotals="1" fieldPosition="0">
        <references count="1">
          <reference field="4294967294" count="1" selected="0">
            <x v="9"/>
          </reference>
        </references>
      </pivotArea>
    </format>
    <format dxfId="324">
      <pivotArea dataOnly="0" labelOnly="1" outline="0" fieldPosition="0">
        <references count="1">
          <reference field="4294967294" count="1">
            <x v="9"/>
          </reference>
        </references>
      </pivotArea>
    </format>
    <format dxfId="323">
      <pivotArea outline="0" collapsedLevelsAreSubtotals="1" fieldPosition="0">
        <references count="1">
          <reference field="4294967294" count="1" selected="0">
            <x v="12"/>
          </reference>
        </references>
      </pivotArea>
    </format>
    <format dxfId="322">
      <pivotArea dataOnly="0" labelOnly="1" outline="0" fieldPosition="0">
        <references count="1">
          <reference field="4294967294" count="1">
            <x v="12"/>
          </reference>
        </references>
      </pivotArea>
    </format>
    <format dxfId="321">
      <pivotArea outline="0" collapsedLevelsAreSubtotals="1" fieldPosition="0">
        <references count="1">
          <reference field="4294967294" count="1" selected="0">
            <x v="15"/>
          </reference>
        </references>
      </pivotArea>
    </format>
    <format dxfId="320">
      <pivotArea dataOnly="0" labelOnly="1" outline="0" fieldPosition="0">
        <references count="1">
          <reference field="4294967294" count="1">
            <x v="15"/>
          </reference>
        </references>
      </pivotArea>
    </format>
    <format dxfId="319">
      <pivotArea outline="0" collapsedLevelsAreSubtotals="1" fieldPosition="0">
        <references count="1">
          <reference field="4294967294" count="1" selected="0">
            <x v="17"/>
          </reference>
        </references>
      </pivotArea>
    </format>
    <format dxfId="31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57">
      <pivotArea outline="0" collapsedLevelsAreSubtotals="1" fieldPosition="0">
        <references count="1">
          <reference field="4294967294" count="1" selected="0">
            <x v="3"/>
          </reference>
        </references>
      </pivotArea>
    </format>
    <format dxfId="356">
      <pivotArea dataOnly="0" labelOnly="1" outline="0" fieldPosition="0">
        <references count="1">
          <reference field="4294967294" count="1">
            <x v="3"/>
          </reference>
        </references>
      </pivotArea>
    </format>
    <format dxfId="355">
      <pivotArea outline="0" collapsedLevelsAreSubtotals="1" fieldPosition="0">
        <references count="1">
          <reference field="4294967294" count="1" selected="0">
            <x v="6"/>
          </reference>
        </references>
      </pivotArea>
    </format>
    <format dxfId="354">
      <pivotArea dataOnly="0" labelOnly="1" outline="0" fieldPosition="0">
        <references count="1">
          <reference field="4294967294" count="1">
            <x v="6"/>
          </reference>
        </references>
      </pivotArea>
    </format>
    <format dxfId="353">
      <pivotArea outline="0" collapsedLevelsAreSubtotals="1" fieldPosition="0">
        <references count="1">
          <reference field="4294967294" count="1" selected="0">
            <x v="9"/>
          </reference>
        </references>
      </pivotArea>
    </format>
    <format dxfId="352">
      <pivotArea dataOnly="0" labelOnly="1" outline="0" fieldPosition="0">
        <references count="1">
          <reference field="4294967294" count="1">
            <x v="9"/>
          </reference>
        </references>
      </pivotArea>
    </format>
    <format dxfId="351">
      <pivotArea outline="0" collapsedLevelsAreSubtotals="1" fieldPosition="0">
        <references count="1">
          <reference field="4294967294" count="1" selected="0">
            <x v="12"/>
          </reference>
        </references>
      </pivotArea>
    </format>
    <format dxfId="350">
      <pivotArea dataOnly="0" labelOnly="1" outline="0" fieldPosition="0">
        <references count="1">
          <reference field="4294967294" count="1">
            <x v="12"/>
          </reference>
        </references>
      </pivotArea>
    </format>
    <format dxfId="349">
      <pivotArea outline="0" collapsedLevelsAreSubtotals="1" fieldPosition="0">
        <references count="1">
          <reference field="4294967294" count="1" selected="0">
            <x v="15"/>
          </reference>
        </references>
      </pivotArea>
    </format>
    <format dxfId="348">
      <pivotArea dataOnly="0" labelOnly="1" outline="0" fieldPosition="0">
        <references count="1">
          <reference field="4294967294" count="1">
            <x v="15"/>
          </reference>
        </references>
      </pivotArea>
    </format>
    <format dxfId="347">
      <pivotArea dataOnly="0" labelOnly="1" outline="0" fieldPosition="0">
        <references count="1">
          <reference field="4294967294" count="3">
            <x v="3"/>
            <x v="4"/>
            <x v="5"/>
          </reference>
        </references>
      </pivotArea>
    </format>
    <format dxfId="346">
      <pivotArea dataOnly="0" labelOnly="1" outline="0" fieldPosition="0">
        <references count="1">
          <reference field="4294967294" count="3">
            <x v="9"/>
            <x v="10"/>
            <x v="11"/>
          </reference>
        </references>
      </pivotArea>
    </format>
    <format dxfId="345">
      <pivotArea dataOnly="0" labelOnly="1" outline="0" fieldPosition="0">
        <references count="1">
          <reference field="4294967294" count="3">
            <x v="15"/>
            <x v="16"/>
            <x v="17"/>
          </reference>
        </references>
      </pivotArea>
    </format>
    <format dxfId="344">
      <pivotArea field="4" type="button" dataOnly="0" labelOnly="1" outline="0" axis="axisRow" fieldPosition="1"/>
    </format>
    <format dxfId="343">
      <pivotArea dataOnly="0" labelOnly="1" fieldPosition="0">
        <references count="1">
          <reference field="4" count="1">
            <x v="0"/>
          </reference>
        </references>
      </pivotArea>
    </format>
    <format dxfId="342">
      <pivotArea dataOnly="0" labelOnly="1" grandRow="1" outline="0" fieldPosition="0"/>
    </format>
    <format dxfId="341">
      <pivotArea dataOnly="0" labelOnly="1" outline="0" fieldPosition="0">
        <references count="1">
          <reference field="4294967294" count="1">
            <x v="0"/>
          </reference>
        </references>
      </pivotArea>
    </format>
    <format dxfId="34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17">
      <pivotArea outline="0" collapsedLevelsAreSubtotals="1" fieldPosition="0">
        <references count="1">
          <reference field="4294967294" count="1" selected="0">
            <x v="3"/>
          </reference>
        </references>
      </pivotArea>
    </format>
    <format dxfId="316">
      <pivotArea dataOnly="0" labelOnly="1" outline="0" fieldPosition="0">
        <references count="1">
          <reference field="4294967294" count="1">
            <x v="3"/>
          </reference>
        </references>
      </pivotArea>
    </format>
    <format dxfId="315">
      <pivotArea outline="0" collapsedLevelsAreSubtotals="1" fieldPosition="0">
        <references count="1">
          <reference field="4294967294" count="1" selected="0">
            <x v="6"/>
          </reference>
        </references>
      </pivotArea>
    </format>
    <format dxfId="314">
      <pivotArea dataOnly="0" labelOnly="1" outline="0" fieldPosition="0">
        <references count="1">
          <reference field="4294967294" count="1">
            <x v="6"/>
          </reference>
        </references>
      </pivotArea>
    </format>
    <format dxfId="313">
      <pivotArea outline="0" collapsedLevelsAreSubtotals="1" fieldPosition="0">
        <references count="1">
          <reference field="4294967294" count="1" selected="0">
            <x v="9"/>
          </reference>
        </references>
      </pivotArea>
    </format>
    <format dxfId="312">
      <pivotArea dataOnly="0" labelOnly="1" outline="0" fieldPosition="0">
        <references count="1">
          <reference field="4294967294" count="1">
            <x v="9"/>
          </reference>
        </references>
      </pivotArea>
    </format>
    <format dxfId="311">
      <pivotArea outline="0" collapsedLevelsAreSubtotals="1" fieldPosition="0">
        <references count="1">
          <reference field="4294967294" count="1" selected="0">
            <x v="12"/>
          </reference>
        </references>
      </pivotArea>
    </format>
    <format dxfId="310">
      <pivotArea dataOnly="0" labelOnly="1" outline="0" fieldPosition="0">
        <references count="1">
          <reference field="4294967294" count="1">
            <x v="12"/>
          </reference>
        </references>
      </pivotArea>
    </format>
    <format dxfId="309">
      <pivotArea outline="0" collapsedLevelsAreSubtotals="1" fieldPosition="0">
        <references count="1">
          <reference field="4294967294" count="1" selected="0">
            <x v="15"/>
          </reference>
        </references>
      </pivotArea>
    </format>
    <format dxfId="308">
      <pivotArea dataOnly="0" labelOnly="1" outline="0" fieldPosition="0">
        <references count="1">
          <reference field="4294967294" count="1">
            <x v="15"/>
          </reference>
        </references>
      </pivotArea>
    </format>
    <format dxfId="307">
      <pivotArea dataOnly="0" labelOnly="1" outline="0" fieldPosition="0">
        <references count="1">
          <reference field="4294967294" count="3">
            <x v="3"/>
            <x v="4"/>
            <x v="5"/>
          </reference>
        </references>
      </pivotArea>
    </format>
    <format dxfId="306">
      <pivotArea dataOnly="0" labelOnly="1" outline="0" fieldPosition="0">
        <references count="1">
          <reference field="4294967294" count="3">
            <x v="9"/>
            <x v="10"/>
            <x v="11"/>
          </reference>
        </references>
      </pivotArea>
    </format>
    <format dxfId="305">
      <pivotArea dataOnly="0" labelOnly="1" outline="0" fieldPosition="0">
        <references count="1">
          <reference field="4294967294" count="3">
            <x v="15"/>
            <x v="16"/>
            <x v="17"/>
          </reference>
        </references>
      </pivotArea>
    </format>
    <format dxfId="304">
      <pivotArea field="4" type="button" dataOnly="0" labelOnly="1" outline="0" axis="axisRow" fieldPosition="1"/>
    </format>
    <format dxfId="303">
      <pivotArea dataOnly="0" labelOnly="1" fieldPosition="0">
        <references count="1">
          <reference field="4" count="1">
            <x v="0"/>
          </reference>
        </references>
      </pivotArea>
    </format>
    <format dxfId="302">
      <pivotArea dataOnly="0" labelOnly="1" grandRow="1" outline="0" fieldPosition="0"/>
    </format>
    <format dxfId="301">
      <pivotArea dataOnly="0" labelOnly="1" outline="0" fieldPosition="0">
        <references count="1">
          <reference field="4294967294" count="1">
            <x v="0"/>
          </reference>
        </references>
      </pivotArea>
    </format>
    <format dxfId="300">
      <pivotArea field="4" type="button" dataOnly="0" labelOnly="1" outline="0" axis="axisRow" fieldPosition="1"/>
    </format>
    <format dxfId="299">
      <pivotArea outline="0" fieldPosition="0">
        <references count="1">
          <reference field="4294967294" count="1">
            <x v="0"/>
          </reference>
        </references>
      </pivotArea>
    </format>
    <format dxfId="298">
      <pivotArea outline="0" fieldPosition="0">
        <references count="1">
          <reference field="4294967294" count="1">
            <x v="1"/>
          </reference>
        </references>
      </pivotArea>
    </format>
    <format dxfId="297">
      <pivotArea outline="0" fieldPosition="0">
        <references count="1">
          <reference field="4294967294" count="1">
            <x v="2"/>
          </reference>
        </references>
      </pivotArea>
    </format>
    <format dxfId="296">
      <pivotArea outline="0" fieldPosition="0">
        <references count="1">
          <reference field="4294967294" count="1">
            <x v="3"/>
          </reference>
        </references>
      </pivotArea>
    </format>
    <format dxfId="295">
      <pivotArea outline="0" fieldPosition="0">
        <references count="1">
          <reference field="4294967294" count="1">
            <x v="4"/>
          </reference>
        </references>
      </pivotArea>
    </format>
    <format dxfId="294">
      <pivotArea outline="0" fieldPosition="0">
        <references count="1">
          <reference field="4294967294" count="1">
            <x v="5"/>
          </reference>
        </references>
      </pivotArea>
    </format>
    <format dxfId="293">
      <pivotArea outline="0" fieldPosition="0">
        <references count="1">
          <reference field="4294967294" count="1">
            <x v="6"/>
          </reference>
        </references>
      </pivotArea>
    </format>
    <format dxfId="292">
      <pivotArea outline="0" fieldPosition="0">
        <references count="1">
          <reference field="4294967294" count="1">
            <x v="7"/>
          </reference>
        </references>
      </pivotArea>
    </format>
    <format dxfId="291">
      <pivotArea outline="0" fieldPosition="0">
        <references count="1">
          <reference field="4294967294" count="1">
            <x v="8"/>
          </reference>
        </references>
      </pivotArea>
    </format>
    <format dxfId="290">
      <pivotArea outline="0" fieldPosition="0">
        <references count="1">
          <reference field="4294967294" count="1">
            <x v="9"/>
          </reference>
        </references>
      </pivotArea>
    </format>
    <format dxfId="289">
      <pivotArea outline="0" fieldPosition="0">
        <references count="1">
          <reference field="4294967294" count="1">
            <x v="10"/>
          </reference>
        </references>
      </pivotArea>
    </format>
    <format dxfId="288">
      <pivotArea outline="0" fieldPosition="0">
        <references count="1">
          <reference field="4294967294" count="1">
            <x v="11"/>
          </reference>
        </references>
      </pivotArea>
    </format>
    <format dxfId="287">
      <pivotArea outline="0" fieldPosition="0">
        <references count="1">
          <reference field="4294967294" count="1">
            <x v="12"/>
          </reference>
        </references>
      </pivotArea>
    </format>
    <format dxfId="286">
      <pivotArea outline="0" fieldPosition="0">
        <references count="1">
          <reference field="4294967294" count="1">
            <x v="13"/>
          </reference>
        </references>
      </pivotArea>
    </format>
    <format dxfId="285">
      <pivotArea outline="0" fieldPosition="0">
        <references count="1">
          <reference field="4294967294" count="1">
            <x v="14"/>
          </reference>
        </references>
      </pivotArea>
    </format>
    <format dxfId="284">
      <pivotArea outline="0" fieldPosition="0">
        <references count="1">
          <reference field="4294967294" count="1">
            <x v="15"/>
          </reference>
        </references>
      </pivotArea>
    </format>
    <format dxfId="283">
      <pivotArea outline="0" fieldPosition="0">
        <references count="1">
          <reference field="4294967294" count="1">
            <x v="16"/>
          </reference>
        </references>
      </pivotArea>
    </format>
    <format dxfId="28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23">
      <pivotArea dataOnly="0" labelOnly="1" outline="0" fieldPosition="0">
        <references count="1">
          <reference field="4294967294" count="3">
            <x v="3"/>
            <x v="4"/>
            <x v="5"/>
          </reference>
        </references>
      </pivotArea>
    </format>
    <format dxfId="222">
      <pivotArea dataOnly="0" labelOnly="1" outline="0" fieldPosition="0">
        <references count="1">
          <reference field="4294967294" count="3">
            <x v="9"/>
            <x v="10"/>
            <x v="11"/>
          </reference>
        </references>
      </pivotArea>
    </format>
    <format dxfId="221">
      <pivotArea dataOnly="0" labelOnly="1" outline="0" fieldPosition="0">
        <references count="1">
          <reference field="4294967294" count="3">
            <x v="15"/>
            <x v="16"/>
            <x v="17"/>
          </reference>
        </references>
      </pivotArea>
    </format>
    <format dxfId="220">
      <pivotArea field="4" type="button" dataOnly="0" labelOnly="1" outline="0" axis="axisPage" fieldPosition="2"/>
    </format>
    <format dxfId="219">
      <pivotArea dataOnly="0" labelOnly="1" fieldPosition="0">
        <references count="1">
          <reference field="4" count="1">
            <x v="0"/>
          </reference>
        </references>
      </pivotArea>
    </format>
    <format dxfId="218">
      <pivotArea dataOnly="0" labelOnly="1" outline="0" fieldPosition="0">
        <references count="1">
          <reference field="4294967294" count="1">
            <x v="0"/>
          </reference>
        </references>
      </pivotArea>
    </format>
    <format dxfId="217">
      <pivotArea field="4" type="button" dataOnly="0" labelOnly="1" outline="0" axis="axisPage" fieldPosition="2"/>
    </format>
    <format dxfId="216">
      <pivotArea field="2" type="button" dataOnly="0" labelOnly="1" outline="0" axis="axisRow" fieldPosition="0"/>
    </format>
    <format dxfId="215">
      <pivotArea dataOnly="0" labelOnly="1" fieldPosition="0">
        <references count="1">
          <reference field="2" count="1">
            <x v="0"/>
          </reference>
        </references>
      </pivotArea>
    </format>
    <format dxfId="214">
      <pivotArea dataOnly="0" labelOnly="1" grandRow="1" outline="0" fieldPosition="0"/>
    </format>
    <format dxfId="213">
      <pivotArea outline="0" collapsedLevelsAreSubtotals="1" fieldPosition="0">
        <references count="1">
          <reference field="4294967294" count="1" selected="0">
            <x v="3"/>
          </reference>
        </references>
      </pivotArea>
    </format>
    <format dxfId="212">
      <pivotArea dataOnly="0" labelOnly="1" outline="0" fieldPosition="0">
        <references count="1">
          <reference field="4294967294" count="1">
            <x v="3"/>
          </reference>
        </references>
      </pivotArea>
    </format>
    <format dxfId="211">
      <pivotArea outline="0" collapsedLevelsAreSubtotals="1" fieldPosition="0">
        <references count="1">
          <reference field="4294967294" count="1" selected="0">
            <x v="6"/>
          </reference>
        </references>
      </pivotArea>
    </format>
    <format dxfId="210">
      <pivotArea dataOnly="0" labelOnly="1" outline="0" fieldPosition="0">
        <references count="1">
          <reference field="4294967294" count="1">
            <x v="6"/>
          </reference>
        </references>
      </pivotArea>
    </format>
    <format dxfId="209">
      <pivotArea outline="0" collapsedLevelsAreSubtotals="1" fieldPosition="0">
        <references count="1">
          <reference field="4294967294" count="1" selected="0">
            <x v="9"/>
          </reference>
        </references>
      </pivotArea>
    </format>
    <format dxfId="208">
      <pivotArea dataOnly="0" labelOnly="1" outline="0" fieldPosition="0">
        <references count="1">
          <reference field="4294967294" count="1">
            <x v="9"/>
          </reference>
        </references>
      </pivotArea>
    </format>
    <format dxfId="207">
      <pivotArea outline="0" collapsedLevelsAreSubtotals="1" fieldPosition="0">
        <references count="1">
          <reference field="4294967294" count="1" selected="0">
            <x v="12"/>
          </reference>
        </references>
      </pivotArea>
    </format>
    <format dxfId="206">
      <pivotArea dataOnly="0" labelOnly="1" outline="0" fieldPosition="0">
        <references count="1">
          <reference field="4294967294" count="1">
            <x v="12"/>
          </reference>
        </references>
      </pivotArea>
    </format>
    <format dxfId="205">
      <pivotArea outline="0" collapsedLevelsAreSubtotals="1" fieldPosition="0">
        <references count="1">
          <reference field="4294967294" count="1" selected="0">
            <x v="15"/>
          </reference>
        </references>
      </pivotArea>
    </format>
    <format dxfId="204">
      <pivotArea dataOnly="0" labelOnly="1" outline="0" fieldPosition="0">
        <references count="1">
          <reference field="4294967294" count="1">
            <x v="15"/>
          </reference>
        </references>
      </pivotArea>
    </format>
    <format dxfId="203">
      <pivotArea outline="0" collapsedLevelsAreSubtotals="1" fieldPosition="0">
        <references count="1">
          <reference field="4294967294" count="1" selected="0">
            <x v="17"/>
          </reference>
        </references>
      </pivotArea>
    </format>
    <format dxfId="202">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1"/>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01">
      <pivotArea outline="0" collapsedLevelsAreSubtotals="1" fieldPosition="0">
        <references count="1">
          <reference field="4294967294" count="1" selected="0">
            <x v="3"/>
          </reference>
        </references>
      </pivotArea>
    </format>
    <format dxfId="200">
      <pivotArea dataOnly="0" labelOnly="1" outline="0" fieldPosition="0">
        <references count="1">
          <reference field="4294967294" count="1">
            <x v="3"/>
          </reference>
        </references>
      </pivotArea>
    </format>
    <format dxfId="199">
      <pivotArea outline="0" collapsedLevelsAreSubtotals="1" fieldPosition="0">
        <references count="1">
          <reference field="4294967294" count="1" selected="0">
            <x v="6"/>
          </reference>
        </references>
      </pivotArea>
    </format>
    <format dxfId="198">
      <pivotArea dataOnly="0" labelOnly="1" outline="0" fieldPosition="0">
        <references count="1">
          <reference field="4294967294" count="1">
            <x v="6"/>
          </reference>
        </references>
      </pivotArea>
    </format>
    <format dxfId="197">
      <pivotArea outline="0" collapsedLevelsAreSubtotals="1" fieldPosition="0">
        <references count="1">
          <reference field="4294967294" count="1" selected="0">
            <x v="9"/>
          </reference>
        </references>
      </pivotArea>
    </format>
    <format dxfId="196">
      <pivotArea dataOnly="0" labelOnly="1" outline="0" fieldPosition="0">
        <references count="1">
          <reference field="4294967294" count="1">
            <x v="9"/>
          </reference>
        </references>
      </pivotArea>
    </format>
    <format dxfId="195">
      <pivotArea outline="0" collapsedLevelsAreSubtotals="1" fieldPosition="0">
        <references count="1">
          <reference field="4294967294" count="1" selected="0">
            <x v="12"/>
          </reference>
        </references>
      </pivotArea>
    </format>
    <format dxfId="194">
      <pivotArea dataOnly="0" labelOnly="1" outline="0" fieldPosition="0">
        <references count="1">
          <reference field="4294967294" count="1">
            <x v="12"/>
          </reference>
        </references>
      </pivotArea>
    </format>
    <format dxfId="193">
      <pivotArea outline="0" collapsedLevelsAreSubtotals="1" fieldPosition="0">
        <references count="1">
          <reference field="4294967294" count="1" selected="0">
            <x v="15"/>
          </reference>
        </references>
      </pivotArea>
    </format>
    <format dxfId="192">
      <pivotArea dataOnly="0" labelOnly="1" outline="0" fieldPosition="0">
        <references count="1">
          <reference field="4294967294" count="1">
            <x v="15"/>
          </reference>
        </references>
      </pivotArea>
    </format>
    <format dxfId="191">
      <pivotArea dataOnly="0" labelOnly="1" outline="0" fieldPosition="0">
        <references count="1">
          <reference field="4294967294" count="3">
            <x v="3"/>
            <x v="4"/>
            <x v="5"/>
          </reference>
        </references>
      </pivotArea>
    </format>
    <format dxfId="190">
      <pivotArea dataOnly="0" labelOnly="1" outline="0" fieldPosition="0">
        <references count="1">
          <reference field="4294967294" count="3">
            <x v="9"/>
            <x v="10"/>
            <x v="11"/>
          </reference>
        </references>
      </pivotArea>
    </format>
    <format dxfId="189">
      <pivotArea dataOnly="0" labelOnly="1" outline="0" fieldPosition="0">
        <references count="1">
          <reference field="4294967294" count="3">
            <x v="15"/>
            <x v="16"/>
            <x v="17"/>
          </reference>
        </references>
      </pivotArea>
    </format>
    <format dxfId="188">
      <pivotArea field="4" type="button" dataOnly="0" labelOnly="1" outline="0" axis="axisRow" fieldPosition="1"/>
    </format>
    <format dxfId="187">
      <pivotArea dataOnly="0" labelOnly="1" fieldPosition="0">
        <references count="1">
          <reference field="4" count="1">
            <x v="0"/>
          </reference>
        </references>
      </pivotArea>
    </format>
    <format dxfId="186">
      <pivotArea dataOnly="0" labelOnly="1" grandRow="1" outline="0" fieldPosition="0"/>
    </format>
    <format dxfId="185">
      <pivotArea dataOnly="0" labelOnly="1" outline="0" fieldPosition="0">
        <references count="1">
          <reference field="4294967294" count="1">
            <x v="0"/>
          </reference>
        </references>
      </pivotArea>
    </format>
    <format dxfId="184">
      <pivotArea field="4" type="button" dataOnly="0" labelOnly="1" outline="0" axis="axisRow" fieldPosition="1"/>
    </format>
    <format dxfId="183">
      <pivotArea outline="0" fieldPosition="0">
        <references count="1">
          <reference field="4294967294" count="1">
            <x v="0"/>
          </reference>
        </references>
      </pivotArea>
    </format>
    <format dxfId="182">
      <pivotArea outline="0" fieldPosition="0">
        <references count="1">
          <reference field="4294967294" count="1">
            <x v="1"/>
          </reference>
        </references>
      </pivotArea>
    </format>
    <format dxfId="181">
      <pivotArea outline="0" fieldPosition="0">
        <references count="1">
          <reference field="4294967294" count="1">
            <x v="2"/>
          </reference>
        </references>
      </pivotArea>
    </format>
    <format dxfId="180">
      <pivotArea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outline="0" fieldPosition="0">
        <references count="1">
          <reference field="4294967294" count="1">
            <x v="5"/>
          </reference>
        </references>
      </pivotArea>
    </format>
    <format dxfId="177">
      <pivotArea outline="0" fieldPosition="0">
        <references count="1">
          <reference field="4294967294" count="1">
            <x v="6"/>
          </reference>
        </references>
      </pivotArea>
    </format>
    <format dxfId="176">
      <pivotArea outline="0" fieldPosition="0">
        <references count="1">
          <reference field="4294967294" count="1">
            <x v="7"/>
          </reference>
        </references>
      </pivotArea>
    </format>
    <format dxfId="175">
      <pivotArea outline="0" fieldPosition="0">
        <references count="1">
          <reference field="4294967294" count="1">
            <x v="8"/>
          </reference>
        </references>
      </pivotArea>
    </format>
    <format dxfId="174">
      <pivotArea outline="0" fieldPosition="0">
        <references count="1">
          <reference field="4294967294" count="1">
            <x v="9"/>
          </reference>
        </references>
      </pivotArea>
    </format>
    <format dxfId="173">
      <pivotArea outline="0" fieldPosition="0">
        <references count="1">
          <reference field="4294967294" count="1">
            <x v="10"/>
          </reference>
        </references>
      </pivotArea>
    </format>
    <format dxfId="172">
      <pivotArea outline="0" fieldPosition="0">
        <references count="1">
          <reference field="4294967294" count="1">
            <x v="11"/>
          </reference>
        </references>
      </pivotArea>
    </format>
    <format dxfId="171">
      <pivotArea outline="0" fieldPosition="0">
        <references count="1">
          <reference field="4294967294" count="1">
            <x v="12"/>
          </reference>
        </references>
      </pivotArea>
    </format>
    <format dxfId="170">
      <pivotArea outline="0" fieldPosition="0">
        <references count="1">
          <reference field="4294967294" count="1">
            <x v="13"/>
          </reference>
        </references>
      </pivotArea>
    </format>
    <format dxfId="169">
      <pivotArea outline="0" fieldPosition="0">
        <references count="1">
          <reference field="4294967294" count="1">
            <x v="14"/>
          </reference>
        </references>
      </pivotArea>
    </format>
    <format dxfId="168">
      <pivotArea outline="0" fieldPosition="0">
        <references count="1">
          <reference field="4294967294" count="1">
            <x v="15"/>
          </reference>
        </references>
      </pivotArea>
    </format>
    <format dxfId="167">
      <pivotArea outline="0" fieldPosition="0">
        <references count="1">
          <reference field="4294967294" count="1">
            <x v="16"/>
          </reference>
        </references>
      </pivotArea>
    </format>
    <format dxfId="16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1"/>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1"/>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11">
        <item sd="0" x="0"/>
        <item sd="0" x="1"/>
        <item sd="0" x="5"/>
        <item sd="0" x="2"/>
        <item sd="0" x="3"/>
        <item sd="0" x="4"/>
        <item sd="0" x="10"/>
        <item x="6"/>
        <item x="7"/>
        <item x="8"/>
        <item x="9"/>
      </items>
    </pivotField>
    <pivotField axis="axisRow" showAll="0" defaultSubtotal="0">
      <items count="13">
        <item x="1"/>
        <item x="0"/>
        <item x="2"/>
        <item x="3"/>
        <item x="4"/>
        <item x="5"/>
        <item x="6"/>
        <item x="7"/>
        <item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33"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11">
        <item sd="0" x="0"/>
        <item sd="0" x="1"/>
        <item sd="0" x="5"/>
        <item sd="0" x="2"/>
        <item sd="0" x="3"/>
        <item sd="0" x="4"/>
        <item sd="0" x="10"/>
        <item x="6"/>
        <item x="7"/>
        <item x="8"/>
        <item x="9"/>
      </items>
    </pivotField>
    <pivotField axis="axisRow" showAll="0" defaultSubtotal="0">
      <items count="13">
        <item sd="0" x="1"/>
        <item sd="0" x="0"/>
        <item sd="0" x="2"/>
        <item sd="0" x="3"/>
        <item sd="0" x="4"/>
        <item sd="0" x="5"/>
        <item sd="0" x="6"/>
        <item sd="0" x="7"/>
        <item sd="0" x="8"/>
        <item sd="0" x="9"/>
        <item sd="0" x="10"/>
        <item x="11"/>
        <item x="12"/>
      </items>
    </pivotField>
    <pivotField axis="axisPage" showAll="0" defaultSubtotal="0">
      <items count="4">
        <item x="2"/>
        <item x="0"/>
        <item x="1"/>
        <item x="3"/>
      </items>
    </pivotField>
    <pivotField axis="axisRow" showAll="0" defaultSubtotal="0">
      <items count="19">
        <item sd="0" x="1"/>
        <item sd="0" x="0"/>
        <item sd="0" m="1" x="14"/>
        <item sd="0" m="1" x="15"/>
        <item sd="0" m="1" x="16"/>
        <item sd="0" m="1" x="17"/>
        <item sd="0" m="1" x="18"/>
        <item sd="0" x="2"/>
        <item sd="0" x="3"/>
        <item sd="0" x="4"/>
        <item sd="0" x="5"/>
        <item sd="0"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23">
    <i>
      <x/>
    </i>
    <i>
      <x v="1"/>
    </i>
    <i>
      <x v="7"/>
    </i>
    <i>
      <x v="8"/>
    </i>
    <i>
      <x v="9"/>
    </i>
    <i>
      <x v="10"/>
    </i>
    <i>
      <x v="11"/>
    </i>
    <i>
      <x v="12"/>
    </i>
    <i r="1">
      <x v="9"/>
    </i>
    <i>
      <x v="13"/>
    </i>
    <i r="1">
      <x v="10"/>
    </i>
    <i>
      <x v="14"/>
    </i>
    <i r="1">
      <x v="10"/>
    </i>
    <i>
      <x v="15"/>
    </i>
    <i r="1">
      <x v="10"/>
    </i>
    <i>
      <x v="16"/>
    </i>
    <i r="1">
      <x v="10"/>
    </i>
    <i>
      <x v="17"/>
    </i>
    <i r="1">
      <x v="10"/>
    </i>
    <i>
      <x v="18"/>
    </i>
    <i r="1">
      <x/>
    </i>
    <i r="1">
      <x v="10"/>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26"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11">
        <item sd="0" x="0"/>
        <item sd="0" x="1"/>
        <item sd="0" x="5"/>
        <item sd="0" x="2"/>
        <item sd="0" x="3"/>
        <item sd="0" x="4"/>
        <item sd="0" x="10"/>
        <item sd="0" x="6"/>
        <item sd="0" x="7"/>
        <item x="8"/>
        <item x="9"/>
      </items>
    </pivotField>
    <pivotField axis="axisRow" showAll="0" defaultSubtotal="0">
      <items count="13">
        <item sd="0" x="1"/>
        <item sd="0" x="0"/>
        <item sd="0" x="2"/>
        <item sd="0" x="3"/>
        <item sd="0" x="4"/>
        <item sd="0" x="5"/>
        <item sd="0" x="6"/>
        <item sd="0" x="7"/>
        <item sd="0"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17">
    <i>
      <x/>
    </i>
    <i>
      <x v="1"/>
    </i>
    <i>
      <x v="2"/>
    </i>
    <i>
      <x v="3"/>
    </i>
    <i>
      <x v="4"/>
    </i>
    <i>
      <x v="5"/>
    </i>
    <i>
      <x v="6"/>
    </i>
    <i>
      <x v="7"/>
    </i>
    <i>
      <x v="8"/>
    </i>
    <i>
      <x v="9"/>
    </i>
    <i r="1">
      <x v="11"/>
    </i>
    <i r="2">
      <x v="1"/>
    </i>
    <i r="1">
      <x v="12"/>
    </i>
    <i r="2">
      <x v="1"/>
    </i>
    <i>
      <x v="10"/>
    </i>
    <i r="1">
      <x/>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9"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sd="0" x="0"/>
        <item sd="0" x="1"/>
        <item t="default" sd="0"/>
      </items>
    </pivotField>
    <pivotField axis="axisRow" subtotalTop="0" showAll="0">
      <items count="3">
        <item x="0"/>
        <item h="1" x="1"/>
        <item t="default"/>
      </items>
    </pivotField>
    <pivotField subtotalTop="0" showAll="0"/>
    <pivotField axis="axisPage"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2">
    <i>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36">
      <pivotArea dataOnly="0" labelOnly="1" outline="0" axis="axisValues" fieldPosition="0"/>
    </format>
    <format dxfId="35">
      <pivotArea dataOnly="0" outline="0" axis="axisValues" fieldPosition="0"/>
    </format>
    <format dxfId="3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41">
      <pivotArea dataOnly="0" labelOnly="1" outline="0" axis="axisValues" fieldPosition="0"/>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0"/>
          </reference>
        </references>
      </pivotArea>
    </format>
    <format dxfId="3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44">
      <pivotArea dataOnly="0" labelOnly="1" outline="0" axis="axisValues" fieldPosition="0"/>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47">
      <pivotArea dataOnly="0" labelOnly="1" outline="0" axis="axisValues" fieldPosition="0"/>
    </format>
    <format dxfId="46">
      <pivotArea dataOnly="0" outline="0" axis="axisValues" fieldPosition="0"/>
    </format>
    <format dxfId="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4">
      <pivotArea dataOnly="0" labelOnly="1" outline="0" axis="axisValues" fieldPosition="0"/>
    </format>
    <format dxfId="23">
      <pivotArea dataOnly="0" outline="0" axis="axisValues" fieldPosition="0"/>
    </format>
    <format dxfId="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30">
      <pivotArea dataOnly="0" labelOnly="1" outline="0" axis="axisValues"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33">
      <pivotArea dataOnly="0" labelOnly="1" outline="0" axis="axisValues" fieldPosition="0"/>
    </format>
    <format dxfId="32">
      <pivotArea dataOnly="0" outline="0" axis="axisValues" fieldPosition="0"/>
    </format>
    <format dxfId="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10:O12" firstHeaderRow="0"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sd="0" x="1"/>
        <item sd="0" x="0"/>
        <item t="default" sd="0"/>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5">
    <pageField fld="0" hier="-1"/>
    <pageField fld="1" hier="-1"/>
    <pageField fld="3" hier="-1"/>
    <pageField fld="4" hier="-1"/>
    <pageField fld="5" item="135" hier="-1"/>
  </pageFields>
  <dataFields count="4">
    <dataField name="Max Index Size (MB)" fld="8" subtotal="max" baseField="2" baseItem="0" numFmtId="4"/>
    <dataField name="Average Size (MB)" fld="8" subtotal="average" baseField="2" baseItem="0" numFmtId="4"/>
    <dataField name="Min Size (MB)" fld="8" subtotal="min" baseField="2" baseItem="0" numFmtId="4"/>
    <dataField name="Total Size (MB)" fld="8" baseField="2" baseItem="0" numFmtId="4"/>
  </dataFields>
  <formats count="6">
    <format dxfId="21">
      <pivotArea dataOnly="0" labelOnly="1" outline="0" axis="axisValues" fieldPosition="0"/>
    </format>
    <format dxfId="20">
      <pivotArea dataOnly="0" outline="0" axis="axisValues" fieldPosition="0"/>
    </format>
    <format dxfId="19">
      <pivotArea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outline="0" fieldPosition="0">
        <references count="1">
          <reference field="4294967294" count="1">
            <x v="2"/>
          </reference>
        </references>
      </pivotArea>
    </format>
    <format dxfId="16">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F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5">
    <i>
      <x/>
    </i>
    <i i="1">
      <x v="1"/>
    </i>
    <i i="2">
      <x v="2"/>
    </i>
    <i i="3">
      <x v="3"/>
    </i>
    <i i="4">
      <x v="4"/>
    </i>
  </colItems>
  <pageFields count="3">
    <pageField fld="0" hier="-1"/>
    <pageField fld="1" hier="-1"/>
    <pageField fld="5" item="135" hier="-1"/>
  </pageFields>
  <dataFields count="5">
    <dataField name="Max Index Size (All Nodes)" fld="8" subtotal="max" baseField="3" baseItem="1" numFmtId="4"/>
    <dataField name="Average Size (MB)" fld="8" subtotal="average" baseField="3" baseItem="1" numFmtId="4"/>
    <dataField name="Min Size (MB)" fld="8" subtotal="min" baseField="3" baseItem="1" numFmtId="4"/>
    <dataField name="Occurrences" fld="8" subtotal="count" baseField="3" baseItem="1" numFmtId="3"/>
    <dataField name="Total Size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9.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J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2"/>
    <field x="3"/>
    <field x="4"/>
  </rowFields>
  <rowItems count="2">
    <i>
      <x/>
    </i>
    <i t="grand">
      <x/>
    </i>
  </rowItems>
  <colFields count="1">
    <field x="-2"/>
  </colFields>
  <colItems count="3">
    <i>
      <x/>
    </i>
    <i i="1">
      <x v="1"/>
    </i>
    <i i="2">
      <x v="2"/>
    </i>
  </colItems>
  <pageFields count="3">
    <pageField fld="0" hier="-1"/>
    <pageField fld="1" hier="-1"/>
    <pageField fld="5" item="136" hier="-1"/>
  </pageFields>
  <dataFields count="3">
    <dataField name="Max Ratio" fld="6" subtotal="max" baseField="2" baseItem="0" numFmtId="10"/>
    <dataField name="Average" fld="6" subtotal="average" baseField="2" baseItem="0" numFmtId="10"/>
    <dataField name="Min" fld="6" subtotal="min" baseField="2" baseItem="0" numFmtId="10"/>
  </dataFields>
  <formats count="5">
    <format dxfId="15">
      <pivotArea dataOnly="0" labelOnly="1" outline="0" axis="axisValues" fieldPosition="0"/>
    </format>
    <format dxfId="14">
      <pivotArea dataOnly="0" outline="0" axis="axisValues" fieldPosition="0"/>
    </format>
    <format dxfId="13">
      <pivotArea outline="0" fieldPosition="0">
        <references count="1">
          <reference field="4294967294" count="1">
            <x v="0"/>
          </reference>
        </references>
      </pivotArea>
    </format>
    <format dxfId="12">
      <pivotArea outline="0" fieldPosition="0">
        <references count="1">
          <reference field="4294967294" count="1">
            <x v="1"/>
          </reference>
        </references>
      </pivotArea>
    </format>
    <format dxfId="11">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36" hier="-1"/>
  </pageFields>
  <dataFields count="3">
    <dataField name="Max Ratio" fld="6" subtotal="max" baseField="3" baseItem="1" numFmtId="10"/>
    <dataField name="Average" fld="6" subtotal="average" baseField="3" baseItem="1" numFmtId="10"/>
    <dataField name="Min" fld="6" subtotal="min" baseField="3"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 tabId="72" name="PivotTable2"/>
    <pivotTable tabId="73" name="PivotTable2"/>
  </pivotTables>
  <data>
    <tabular pivotCacheId="5" showMissing="0">
      <items count="6">
        <i x="1" s="1"/>
        <i x="0" s="1"/>
        <i x="4" s="1"/>
        <i x="3" s="1"/>
        <i x="2"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 tabId="72" name="PivotTable2"/>
    <pivotTable tabId="73" name="PivotTable2"/>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 tabId="72" name="PivotTable2"/>
    <pivotTable tabId="73" name="PivotTable2"/>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 tabId="72" name="PivotTable2"/>
    <pivotTable tabId="73" name="PivotTable2"/>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 tabId="72" name="PivotTable2"/>
    <pivotTable tabId="73" name="PivotTable2"/>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 tabId="74" name="PivotTable4"/>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 tabId="74" name="PivotTable4"/>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 tabId="74" name="PivotTable4"/>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11">
        <i x="0" s="1"/>
        <i x="1" s="1"/>
        <i x="5" s="1"/>
        <i x="9" s="1"/>
        <i x="6" s="1"/>
        <i x="7" s="1"/>
        <i x="8" s="1"/>
        <i x="2" s="1"/>
        <i x="3" s="1"/>
        <i x="4" s="1"/>
        <i x="1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13">
        <i x="0" s="1"/>
        <i x="11" s="1"/>
        <i x="12" s="1"/>
        <i x="5" s="1"/>
        <i x="6" s="1"/>
        <i x="7" s="1"/>
        <i x="4" s="1"/>
        <i x="8" s="1"/>
        <i x="9" s="1"/>
        <i x="10"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4">
        <i x="3" s="1"/>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95">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93" s="1"/>
        <i x="92" s="1"/>
        <i x="91" s="1"/>
        <i x="90" s="1"/>
        <i x="89" s="1"/>
        <i x="88" s="1"/>
        <i x="87" s="1"/>
        <i x="86" s="1"/>
        <i x="85" s="1"/>
        <i x="84" s="1"/>
        <i x="83" s="1"/>
        <i x="82" s="1"/>
        <i x="81" s="1"/>
        <i x="9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9">
        <i x="3" s="1"/>
        <i x="4" s="1"/>
        <i x="5" s="1"/>
        <i x="2" s="1"/>
        <i x="6" s="1"/>
        <i x="7" s="1"/>
        <i x="10" s="1"/>
        <i x="13" s="1"/>
        <i x="11" s="1"/>
        <i x="12" s="1"/>
        <i x="9" s="1"/>
        <i x="8" s="1"/>
        <i x="0" s="1"/>
        <i x="1" s="1"/>
        <i x="15" s="1" nd="1"/>
        <i x="16" s="1" nd="1"/>
        <i x="17" s="1" nd="1"/>
        <i x="14" s="1" nd="1"/>
        <i x="1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2.xml"/><Relationship Id="rId2" Type="http://schemas.openxmlformats.org/officeDocument/2006/relationships/pivotTable" Target="../pivotTables/pivotTable91.xml"/><Relationship Id="rId1" Type="http://schemas.openxmlformats.org/officeDocument/2006/relationships/pivotTable" Target="../pivotTables/pivotTable90.xml"/><Relationship Id="rId5" Type="http://schemas.openxmlformats.org/officeDocument/2006/relationships/printerSettings" Target="../printerSettings/printerSettings24.bin"/><Relationship Id="rId4"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1.xml"/><Relationship Id="rId3" Type="http://schemas.openxmlformats.org/officeDocument/2006/relationships/pivotTable" Target="../pivotTables/pivotTable96.xml"/><Relationship Id="rId7" Type="http://schemas.openxmlformats.org/officeDocument/2006/relationships/pivotTable" Target="../pivotTables/pivotTable100.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ivotTable" Target="../pivotTables/pivotTable99.xml"/><Relationship Id="rId5" Type="http://schemas.openxmlformats.org/officeDocument/2006/relationships/pivotTable" Target="../pivotTables/pivotTable98.xml"/><Relationship Id="rId10" Type="http://schemas.openxmlformats.org/officeDocument/2006/relationships/printerSettings" Target="../printerSettings/printerSettings25.bin"/><Relationship Id="rId4" Type="http://schemas.openxmlformats.org/officeDocument/2006/relationships/pivotTable" Target="../pivotTables/pivotTable97.xml"/><Relationship Id="rId9" Type="http://schemas.openxmlformats.org/officeDocument/2006/relationships/pivotTable" Target="../pivotTables/pivotTable102.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0.xml"/><Relationship Id="rId13" Type="http://schemas.openxmlformats.org/officeDocument/2006/relationships/pivotTable" Target="../pivotTables/pivotTable115.xml"/><Relationship Id="rId3" Type="http://schemas.openxmlformats.org/officeDocument/2006/relationships/pivotTable" Target="../pivotTables/pivotTable105.xml"/><Relationship Id="rId7" Type="http://schemas.openxmlformats.org/officeDocument/2006/relationships/pivotTable" Target="../pivotTables/pivotTable109.xml"/><Relationship Id="rId12" Type="http://schemas.openxmlformats.org/officeDocument/2006/relationships/pivotTable" Target="../pivotTables/pivotTable114.xml"/><Relationship Id="rId2" Type="http://schemas.openxmlformats.org/officeDocument/2006/relationships/pivotTable" Target="../pivotTables/pivotTable104.xml"/><Relationship Id="rId1" Type="http://schemas.openxmlformats.org/officeDocument/2006/relationships/pivotTable" Target="../pivotTables/pivotTable103.xml"/><Relationship Id="rId6" Type="http://schemas.openxmlformats.org/officeDocument/2006/relationships/pivotTable" Target="../pivotTables/pivotTable108.xml"/><Relationship Id="rId11" Type="http://schemas.openxmlformats.org/officeDocument/2006/relationships/pivotTable" Target="../pivotTables/pivotTable113.xml"/><Relationship Id="rId5" Type="http://schemas.openxmlformats.org/officeDocument/2006/relationships/pivotTable" Target="../pivotTables/pivotTable107.xml"/><Relationship Id="rId10" Type="http://schemas.openxmlformats.org/officeDocument/2006/relationships/pivotTable" Target="../pivotTables/pivotTable112.xml"/><Relationship Id="rId4" Type="http://schemas.openxmlformats.org/officeDocument/2006/relationships/pivotTable" Target="../pivotTables/pivotTable106.xml"/><Relationship Id="rId9" Type="http://schemas.openxmlformats.org/officeDocument/2006/relationships/pivotTable" Target="../pivotTables/pivotTable111.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16.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19.xml"/><Relationship Id="rId7" Type="http://schemas.openxmlformats.org/officeDocument/2006/relationships/printerSettings" Target="../printerSettings/printerSettings27.bin"/><Relationship Id="rId2" Type="http://schemas.openxmlformats.org/officeDocument/2006/relationships/pivotTable" Target="../pivotTables/pivotTable118.xml"/><Relationship Id="rId1" Type="http://schemas.openxmlformats.org/officeDocument/2006/relationships/pivotTable" Target="../pivotTables/pivotTable117.xml"/><Relationship Id="rId6" Type="http://schemas.openxmlformats.org/officeDocument/2006/relationships/pivotTable" Target="../pivotTables/pivotTable122.xml"/><Relationship Id="rId5" Type="http://schemas.openxmlformats.org/officeDocument/2006/relationships/pivotTable" Target="../pivotTables/pivotTable121.xml"/><Relationship Id="rId4" Type="http://schemas.openxmlformats.org/officeDocument/2006/relationships/pivotTable" Target="../pivotTables/pivotTable120.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0.xml"/><Relationship Id="rId3" Type="http://schemas.openxmlformats.org/officeDocument/2006/relationships/pivotTable" Target="../pivotTables/pivotTable125.xml"/><Relationship Id="rId7" Type="http://schemas.openxmlformats.org/officeDocument/2006/relationships/pivotTable" Target="../pivotTables/pivotTable129.xml"/><Relationship Id="rId2" Type="http://schemas.openxmlformats.org/officeDocument/2006/relationships/pivotTable" Target="../pivotTables/pivotTable124.xml"/><Relationship Id="rId1" Type="http://schemas.openxmlformats.org/officeDocument/2006/relationships/pivotTable" Target="../pivotTables/pivotTable123.xml"/><Relationship Id="rId6" Type="http://schemas.openxmlformats.org/officeDocument/2006/relationships/pivotTable" Target="../pivotTables/pivotTable128.xml"/><Relationship Id="rId5" Type="http://schemas.openxmlformats.org/officeDocument/2006/relationships/pivotTable" Target="../pivotTables/pivotTable127.xml"/><Relationship Id="rId4" Type="http://schemas.openxmlformats.org/officeDocument/2006/relationships/pivotTable" Target="../pivotTables/pivotTable126.xml"/><Relationship Id="rId9"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31.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39.xml"/><Relationship Id="rId3" Type="http://schemas.openxmlformats.org/officeDocument/2006/relationships/pivotTable" Target="../pivotTables/pivotTable134.xml"/><Relationship Id="rId7" Type="http://schemas.openxmlformats.org/officeDocument/2006/relationships/pivotTable" Target="../pivotTables/pivotTable138.xml"/><Relationship Id="rId2" Type="http://schemas.openxmlformats.org/officeDocument/2006/relationships/pivotTable" Target="../pivotTables/pivotTable133.xml"/><Relationship Id="rId1" Type="http://schemas.openxmlformats.org/officeDocument/2006/relationships/pivotTable" Target="../pivotTables/pivotTable132.xml"/><Relationship Id="rId6" Type="http://schemas.openxmlformats.org/officeDocument/2006/relationships/pivotTable" Target="../pivotTables/pivotTable137.xml"/><Relationship Id="rId5" Type="http://schemas.openxmlformats.org/officeDocument/2006/relationships/pivotTable" Target="../pivotTables/pivotTable136.xml"/><Relationship Id="rId10" Type="http://schemas.openxmlformats.org/officeDocument/2006/relationships/printerSettings" Target="../printerSettings/printerSettings29.bin"/><Relationship Id="rId4" Type="http://schemas.openxmlformats.org/officeDocument/2006/relationships/pivotTable" Target="../pivotTables/pivotTable135.xml"/><Relationship Id="rId9" Type="http://schemas.openxmlformats.org/officeDocument/2006/relationships/pivotTable" Target="../pivotTables/pivotTable140.xml"/></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48.xml"/><Relationship Id="rId3" Type="http://schemas.openxmlformats.org/officeDocument/2006/relationships/pivotTable" Target="../pivotTables/pivotTable143.xml"/><Relationship Id="rId7" Type="http://schemas.openxmlformats.org/officeDocument/2006/relationships/pivotTable" Target="../pivotTables/pivotTable147.xml"/><Relationship Id="rId2" Type="http://schemas.openxmlformats.org/officeDocument/2006/relationships/pivotTable" Target="../pivotTables/pivotTable142.xml"/><Relationship Id="rId1" Type="http://schemas.openxmlformats.org/officeDocument/2006/relationships/pivotTable" Target="../pivotTables/pivotTable141.xml"/><Relationship Id="rId6" Type="http://schemas.openxmlformats.org/officeDocument/2006/relationships/pivotTable" Target="../pivotTables/pivotTable146.xml"/><Relationship Id="rId5" Type="http://schemas.openxmlformats.org/officeDocument/2006/relationships/pivotTable" Target="../pivotTables/pivotTable145.xml"/><Relationship Id="rId10" Type="http://schemas.openxmlformats.org/officeDocument/2006/relationships/printerSettings" Target="../printerSettings/printerSettings30.bin"/><Relationship Id="rId4" Type="http://schemas.openxmlformats.org/officeDocument/2006/relationships/pivotTable" Target="../pivotTables/pivotTable144.xml"/><Relationship Id="rId9" Type="http://schemas.openxmlformats.org/officeDocument/2006/relationships/pivotTable" Target="../pivotTables/pivotTable149.xml"/></Relationships>
</file>

<file path=xl/worksheets/_rels/sheet36.xml.rels><?xml version="1.0" encoding="UTF-8" standalone="yes"?>
<Relationships xmlns="http://schemas.openxmlformats.org/package/2006/relationships"><Relationship Id="rId8" Type="http://schemas.openxmlformats.org/officeDocument/2006/relationships/pivotTable" Target="../pivotTables/pivotTable157.xml"/><Relationship Id="rId3" Type="http://schemas.openxmlformats.org/officeDocument/2006/relationships/pivotTable" Target="../pivotTables/pivotTable152.xml"/><Relationship Id="rId7" Type="http://schemas.openxmlformats.org/officeDocument/2006/relationships/pivotTable" Target="../pivotTables/pivotTable156.xml"/><Relationship Id="rId2" Type="http://schemas.openxmlformats.org/officeDocument/2006/relationships/pivotTable" Target="../pivotTables/pivotTable151.xml"/><Relationship Id="rId1" Type="http://schemas.openxmlformats.org/officeDocument/2006/relationships/pivotTable" Target="../pivotTables/pivotTable150.xml"/><Relationship Id="rId6" Type="http://schemas.openxmlformats.org/officeDocument/2006/relationships/pivotTable" Target="../pivotTables/pivotTable155.xml"/><Relationship Id="rId5" Type="http://schemas.openxmlformats.org/officeDocument/2006/relationships/pivotTable" Target="../pivotTables/pivotTable154.xml"/><Relationship Id="rId4" Type="http://schemas.openxmlformats.org/officeDocument/2006/relationships/pivotTable" Target="../pivotTables/pivotTable153.xml"/><Relationship Id="rId9"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58.xml"/></Relationships>
</file>

<file path=xl/worksheets/_rels/sheet38.xml.rels><?xml version="1.0" encoding="UTF-8" standalone="yes"?>
<Relationships xmlns="http://schemas.openxmlformats.org/package/2006/relationships"><Relationship Id="rId8" Type="http://schemas.openxmlformats.org/officeDocument/2006/relationships/pivotTable" Target="../pivotTables/pivotTable166.xml"/><Relationship Id="rId3" Type="http://schemas.openxmlformats.org/officeDocument/2006/relationships/pivotTable" Target="../pivotTables/pivotTable161.xml"/><Relationship Id="rId7" Type="http://schemas.openxmlformats.org/officeDocument/2006/relationships/pivotTable" Target="../pivotTables/pivotTable165.xml"/><Relationship Id="rId2" Type="http://schemas.openxmlformats.org/officeDocument/2006/relationships/pivotTable" Target="../pivotTables/pivotTable160.xml"/><Relationship Id="rId1" Type="http://schemas.openxmlformats.org/officeDocument/2006/relationships/pivotTable" Target="../pivotTables/pivotTable159.xml"/><Relationship Id="rId6" Type="http://schemas.openxmlformats.org/officeDocument/2006/relationships/pivotTable" Target="../pivotTables/pivotTable164.xml"/><Relationship Id="rId5" Type="http://schemas.openxmlformats.org/officeDocument/2006/relationships/pivotTable" Target="../pivotTables/pivotTable163.xml"/><Relationship Id="rId4" Type="http://schemas.openxmlformats.org/officeDocument/2006/relationships/pivotTable" Target="../pivotTables/pivotTable162.xml"/><Relationship Id="rId9"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69.xml"/><Relationship Id="rId7" Type="http://schemas.openxmlformats.org/officeDocument/2006/relationships/printerSettings" Target="../printerSettings/printerSettings33.bin"/><Relationship Id="rId2" Type="http://schemas.openxmlformats.org/officeDocument/2006/relationships/pivotTable" Target="../pivotTables/pivotTable168.xml"/><Relationship Id="rId1" Type="http://schemas.openxmlformats.org/officeDocument/2006/relationships/pivotTable" Target="../pivotTables/pivotTable167.xml"/><Relationship Id="rId6" Type="http://schemas.openxmlformats.org/officeDocument/2006/relationships/pivotTable" Target="../pivotTables/pivotTable172.xml"/><Relationship Id="rId5" Type="http://schemas.openxmlformats.org/officeDocument/2006/relationships/pivotTable" Target="../pivotTables/pivotTable171.xml"/><Relationship Id="rId4" Type="http://schemas.openxmlformats.org/officeDocument/2006/relationships/pivotTable" Target="../pivotTables/pivotTable170.xml"/></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75.xml"/><Relationship Id="rId7" Type="http://schemas.openxmlformats.org/officeDocument/2006/relationships/printerSettings" Target="../printerSettings/printerSettings34.bin"/><Relationship Id="rId2" Type="http://schemas.openxmlformats.org/officeDocument/2006/relationships/pivotTable" Target="../pivotTables/pivotTable174.xml"/><Relationship Id="rId1" Type="http://schemas.openxmlformats.org/officeDocument/2006/relationships/pivotTable" Target="../pivotTables/pivotTable173.xml"/><Relationship Id="rId6" Type="http://schemas.openxmlformats.org/officeDocument/2006/relationships/pivotTable" Target="../pivotTables/pivotTable178.xml"/><Relationship Id="rId5" Type="http://schemas.openxmlformats.org/officeDocument/2006/relationships/pivotTable" Target="../pivotTables/pivotTable177.xml"/><Relationship Id="rId4" Type="http://schemas.openxmlformats.org/officeDocument/2006/relationships/pivotTable" Target="../pivotTables/pivotTable176.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80.xml"/><Relationship Id="rId1" Type="http://schemas.openxmlformats.org/officeDocument/2006/relationships/pivotTable" Target="../pivotTables/pivotTable179.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82.xml"/><Relationship Id="rId1" Type="http://schemas.openxmlformats.org/officeDocument/2006/relationships/pivotTable" Target="../pivotTables/pivotTable181.xml"/></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84.xml"/><Relationship Id="rId1" Type="http://schemas.openxmlformats.org/officeDocument/2006/relationships/pivotTable" Target="../pivotTables/pivotTable183.xm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6.xml"/><Relationship Id="rId1" Type="http://schemas.openxmlformats.org/officeDocument/2006/relationships/pivotTable" Target="../pivotTables/pivotTable185.xml"/></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8.xml"/><Relationship Id="rId1" Type="http://schemas.openxmlformats.org/officeDocument/2006/relationships/pivotTable" Target="../pivotTables/pivotTable187.xml"/></Relationships>
</file>

<file path=xl/worksheets/_rels/sheet46.xml.rels><?xml version="1.0" encoding="UTF-8" standalone="yes"?>
<Relationships xmlns="http://schemas.openxmlformats.org/package/2006/relationships"><Relationship Id="rId3" Type="http://schemas.openxmlformats.org/officeDocument/2006/relationships/pivotTable" Target="../pivotTables/pivotTable191.xml"/><Relationship Id="rId2" Type="http://schemas.openxmlformats.org/officeDocument/2006/relationships/pivotTable" Target="../pivotTables/pivotTable190.xml"/><Relationship Id="rId1" Type="http://schemas.openxmlformats.org/officeDocument/2006/relationships/pivotTable" Target="../pivotTables/pivotTable189.xml"/><Relationship Id="rId4"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92.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94.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197.xml"/><Relationship Id="rId7" Type="http://schemas.openxmlformats.org/officeDocument/2006/relationships/printerSettings" Target="../printerSettings/printerSettings42.bin"/><Relationship Id="rId2" Type="http://schemas.openxmlformats.org/officeDocument/2006/relationships/pivotTable" Target="../pivotTables/pivotTable196.xml"/><Relationship Id="rId1" Type="http://schemas.openxmlformats.org/officeDocument/2006/relationships/pivotTable" Target="../pivotTables/pivotTable195.xml"/><Relationship Id="rId6" Type="http://schemas.openxmlformats.org/officeDocument/2006/relationships/pivotTable" Target="../pivotTables/pivotTable200.xml"/><Relationship Id="rId5" Type="http://schemas.openxmlformats.org/officeDocument/2006/relationships/pivotTable" Target="../pivotTables/pivotTable199.xml"/><Relationship Id="rId4" Type="http://schemas.openxmlformats.org/officeDocument/2006/relationships/pivotTable" Target="../pivotTables/pivotTable198.xml"/></Relationships>
</file>

<file path=xl/worksheets/_rels/sheet52.xml.rels><?xml version="1.0" encoding="UTF-8" standalone="yes"?>
<Relationships xmlns="http://schemas.openxmlformats.org/package/2006/relationships"><Relationship Id="rId3" Type="http://schemas.openxmlformats.org/officeDocument/2006/relationships/pivotTable" Target="../pivotTables/pivotTable203.xml"/><Relationship Id="rId7" Type="http://schemas.openxmlformats.org/officeDocument/2006/relationships/printerSettings" Target="../printerSettings/printerSettings43.bin"/><Relationship Id="rId2" Type="http://schemas.openxmlformats.org/officeDocument/2006/relationships/pivotTable" Target="../pivotTables/pivotTable202.xml"/><Relationship Id="rId1" Type="http://schemas.openxmlformats.org/officeDocument/2006/relationships/pivotTable" Target="../pivotTables/pivotTable201.xml"/><Relationship Id="rId6" Type="http://schemas.openxmlformats.org/officeDocument/2006/relationships/pivotTable" Target="../pivotTables/pivotTable206.xml"/><Relationship Id="rId5" Type="http://schemas.openxmlformats.org/officeDocument/2006/relationships/pivotTable" Target="../pivotTables/pivotTable205.xml"/><Relationship Id="rId4" Type="http://schemas.openxmlformats.org/officeDocument/2006/relationships/pivotTable" Target="../pivotTables/pivotTable204.xml"/></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pivotTable" Target="../pivotTables/pivotTable208.xml"/><Relationship Id="rId1" Type="http://schemas.openxmlformats.org/officeDocument/2006/relationships/pivotTable" Target="../pivotTables/pivotTable207.xml"/></Relationships>
</file>

<file path=xl/worksheets/_rels/sheet54.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ivotTable" Target="../pivotTables/pivotTable210.xml"/><Relationship Id="rId1" Type="http://schemas.openxmlformats.org/officeDocument/2006/relationships/pivotTable" Target="../pivotTables/pivotTable209.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7.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cols>
    <col min="1" max="16384" width="8.88671875" style="211"/>
  </cols>
  <sheetData>
    <row r="5" spans="2:26" ht="18">
      <c r="B5" s="224" t="s">
        <v>505</v>
      </c>
      <c r="C5" s="224"/>
      <c r="D5" s="224"/>
      <c r="F5" s="224" t="s">
        <v>506</v>
      </c>
      <c r="G5" s="224"/>
      <c r="H5" s="224"/>
      <c r="J5" s="224" t="s">
        <v>354</v>
      </c>
      <c r="K5" s="224"/>
      <c r="L5" s="224"/>
      <c r="N5" s="224" t="s">
        <v>499</v>
      </c>
      <c r="O5" s="224"/>
      <c r="P5" s="224"/>
      <c r="Q5" s="225"/>
      <c r="R5" s="225"/>
      <c r="S5" s="225"/>
      <c r="T5" s="225"/>
      <c r="U5" s="225"/>
      <c r="V5" s="225"/>
      <c r="W5" s="225"/>
      <c r="X5" s="225"/>
      <c r="Y5" s="225"/>
      <c r="Z5" s="225"/>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30" t="s">
        <v>226</v>
      </c>
      <c r="K1" s="228" t="s">
        <v>226</v>
      </c>
      <c r="L1" s="228" t="s">
        <v>226</v>
      </c>
      <c r="M1" s="229" t="s">
        <v>226</v>
      </c>
      <c r="N1" s="226" t="s">
        <v>227</v>
      </c>
      <c r="O1" s="227" t="s">
        <v>227</v>
      </c>
      <c r="P1" s="227" t="s">
        <v>227</v>
      </c>
      <c r="Q1" s="227" t="s">
        <v>227</v>
      </c>
      <c r="R1" s="227" t="s">
        <v>227</v>
      </c>
      <c r="S1" s="231" t="s">
        <v>227</v>
      </c>
      <c r="T1" s="232" t="s">
        <v>228</v>
      </c>
      <c r="U1" s="233" t="s">
        <v>228</v>
      </c>
      <c r="V1" s="233" t="s">
        <v>228</v>
      </c>
      <c r="W1" s="233" t="s">
        <v>228</v>
      </c>
      <c r="X1" s="234" t="s">
        <v>228</v>
      </c>
      <c r="Y1" s="235" t="s">
        <v>229</v>
      </c>
      <c r="Z1" s="233" t="s">
        <v>229</v>
      </c>
      <c r="AA1" s="228" t="s">
        <v>229</v>
      </c>
      <c r="AB1" s="234" t="s">
        <v>229</v>
      </c>
      <c r="AC1" s="235" t="s">
        <v>230</v>
      </c>
      <c r="AD1" s="228" t="s">
        <v>230</v>
      </c>
      <c r="AE1" s="228" t="s">
        <v>230</v>
      </c>
      <c r="AF1" s="229" t="s">
        <v>230</v>
      </c>
      <c r="AG1" s="232" t="s">
        <v>231</v>
      </c>
      <c r="AH1" s="233" t="s">
        <v>231</v>
      </c>
      <c r="AI1" s="233" t="s">
        <v>231</v>
      </c>
      <c r="AJ1" s="233" t="s">
        <v>231</v>
      </c>
      <c r="AK1" s="236" t="s">
        <v>231</v>
      </c>
      <c r="AL1" s="226" t="s">
        <v>232</v>
      </c>
      <c r="AM1" s="227" t="s">
        <v>232</v>
      </c>
      <c r="AN1" s="227" t="s">
        <v>232</v>
      </c>
      <c r="AO1" s="227" t="s">
        <v>232</v>
      </c>
      <c r="AP1" s="227" t="s">
        <v>232</v>
      </c>
      <c r="AQ1" s="228" t="s">
        <v>232</v>
      </c>
      <c r="AR1" s="228" t="s">
        <v>232</v>
      </c>
      <c r="AS1" s="229"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1"/>
    <col min="12" max="12" width="12.44140625" style="157" customWidth="1"/>
    <col min="13" max="13" width="13.77734375" style="157" customWidth="1"/>
    <col min="14" max="14" width="12.77734375" style="157" customWidth="1"/>
    <col min="15" max="15" width="14" style="171" customWidth="1"/>
    <col min="16" max="16" width="13.21875" style="186" customWidth="1"/>
    <col min="17" max="17" width="13.5546875" style="186" customWidth="1"/>
    <col min="18" max="18" width="9.33203125" style="186" customWidth="1"/>
    <col min="19" max="19" width="13.44140625" style="186" customWidth="1"/>
    <col min="20" max="20" width="13.88671875" customWidth="1"/>
    <col min="23" max="23" width="10.44140625" customWidth="1"/>
    <col min="24" max="24" width="13.44140625" customWidth="1"/>
    <col min="28" max="29" width="10.77734375" customWidth="1"/>
    <col min="30" max="30" width="12.109375" customWidth="1"/>
  </cols>
  <sheetData>
    <row r="1" spans="1:30" s="185" customFormat="1" ht="43.2">
      <c r="A1" s="184" t="s">
        <v>87</v>
      </c>
      <c r="B1" s="184" t="s">
        <v>0</v>
      </c>
      <c r="C1" s="184" t="s">
        <v>113</v>
      </c>
      <c r="D1" s="184" t="s">
        <v>114</v>
      </c>
      <c r="E1" s="184" t="s">
        <v>115</v>
      </c>
      <c r="F1" s="184" t="s">
        <v>116</v>
      </c>
      <c r="G1" s="184" t="s">
        <v>117</v>
      </c>
      <c r="H1" s="191" t="s">
        <v>118</v>
      </c>
      <c r="I1" s="191" t="s">
        <v>540</v>
      </c>
      <c r="J1" s="192" t="s">
        <v>754</v>
      </c>
      <c r="K1" s="193" t="s">
        <v>755</v>
      </c>
      <c r="L1" s="193" t="s">
        <v>716</v>
      </c>
      <c r="M1" s="193" t="s">
        <v>717</v>
      </c>
      <c r="N1" s="193" t="s">
        <v>718</v>
      </c>
      <c r="O1" s="193" t="s">
        <v>756</v>
      </c>
      <c r="P1" s="193" t="s">
        <v>828</v>
      </c>
      <c r="Q1" s="193" t="s">
        <v>829</v>
      </c>
      <c r="R1" s="193" t="s">
        <v>830</v>
      </c>
      <c r="S1" s="193" t="s">
        <v>831</v>
      </c>
      <c r="T1" s="184" t="s">
        <v>120</v>
      </c>
      <c r="U1" s="184" t="s">
        <v>121</v>
      </c>
      <c r="V1" s="183" t="s">
        <v>122</v>
      </c>
      <c r="W1" s="183" t="s">
        <v>123</v>
      </c>
      <c r="X1" s="185" t="s">
        <v>124</v>
      </c>
      <c r="Y1" s="185" t="s">
        <v>125</v>
      </c>
      <c r="Z1" s="185" t="s">
        <v>126</v>
      </c>
      <c r="AA1" s="185" t="s">
        <v>127</v>
      </c>
      <c r="AB1" s="185" t="s">
        <v>128</v>
      </c>
      <c r="AC1" s="185" t="s">
        <v>129</v>
      </c>
      <c r="AD1" s="185"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59">
        <v>42705</v>
      </c>
      <c r="M2" s="159">
        <v>42706</v>
      </c>
      <c r="N2" s="160">
        <v>2.89</v>
      </c>
      <c r="O2" s="160">
        <v>2</v>
      </c>
      <c r="P2" s="159">
        <v>42705</v>
      </c>
      <c r="Q2" s="159">
        <v>42706</v>
      </c>
      <c r="R2" s="160">
        <v>2.89</v>
      </c>
      <c r="S2" s="160">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50"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B6" sqref="B6"/>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13" t="s">
        <v>0</v>
      </c>
      <c r="J3" s="214" t="s">
        <v>16</v>
      </c>
      <c r="L3" s="32"/>
      <c r="M3" s="32"/>
    </row>
    <row r="4" spans="1:13">
      <c r="A4" s="213" t="s">
        <v>0</v>
      </c>
      <c r="B4" s="214" t="s">
        <v>16</v>
      </c>
      <c r="D4" s="32"/>
      <c r="E4" s="32"/>
      <c r="F4" s="32"/>
      <c r="G4" s="147"/>
      <c r="H4" s="28"/>
      <c r="I4" s="213" t="s">
        <v>1</v>
      </c>
      <c r="J4" s="214" t="s">
        <v>16</v>
      </c>
      <c r="L4" s="32"/>
      <c r="M4" s="32"/>
    </row>
    <row r="5" spans="1:13">
      <c r="A5" s="213" t="s">
        <v>51</v>
      </c>
      <c r="B5" s="214" t="s">
        <v>16</v>
      </c>
      <c r="D5" s="32"/>
      <c r="E5" s="32"/>
      <c r="F5" s="32"/>
      <c r="G5" s="147"/>
      <c r="H5" s="28"/>
      <c r="I5" s="213" t="s">
        <v>3</v>
      </c>
      <c r="J5" s="214" t="s">
        <v>7</v>
      </c>
      <c r="L5" s="32"/>
      <c r="M5" s="32"/>
    </row>
    <row r="6" spans="1:13">
      <c r="A6" s="213" t="s">
        <v>3</v>
      </c>
      <c r="B6" s="214" t="s">
        <v>7</v>
      </c>
      <c r="D6" s="32"/>
      <c r="E6" s="32"/>
      <c r="F6" s="32"/>
      <c r="G6" s="147"/>
      <c r="H6" s="28"/>
      <c r="I6" s="213" t="s">
        <v>2</v>
      </c>
      <c r="J6" s="214" t="s">
        <v>16</v>
      </c>
      <c r="L6" s="32"/>
      <c r="M6" s="32"/>
    </row>
    <row r="7" spans="1:13">
      <c r="D7" s="32"/>
      <c r="E7" s="32"/>
      <c r="F7" s="32"/>
      <c r="G7" s="147"/>
      <c r="H7" s="28"/>
      <c r="L7" s="32"/>
      <c r="M7" s="32"/>
    </row>
    <row r="8" spans="1:13" ht="57.6">
      <c r="A8" s="213" t="s">
        <v>719</v>
      </c>
      <c r="B8" s="29" t="s">
        <v>20</v>
      </c>
      <c r="C8" s="29" t="s">
        <v>18</v>
      </c>
      <c r="E8" s="33" t="s">
        <v>145</v>
      </c>
      <c r="F8" s="33" t="s">
        <v>146</v>
      </c>
      <c r="G8" s="147"/>
      <c r="H8" s="22" t="s">
        <v>680</v>
      </c>
      <c r="I8" s="213"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4" t="s">
        <v>90</v>
      </c>
      <c r="B1" s="174" t="s">
        <v>415</v>
      </c>
      <c r="C1" s="174" t="s">
        <v>0</v>
      </c>
      <c r="D1" s="174" t="s">
        <v>416</v>
      </c>
      <c r="E1" s="174" t="s">
        <v>789</v>
      </c>
      <c r="F1" s="174" t="s">
        <v>789</v>
      </c>
      <c r="G1" s="174" t="s">
        <v>790</v>
      </c>
      <c r="H1" s="174" t="s">
        <v>816</v>
      </c>
      <c r="I1" s="174" t="s">
        <v>817</v>
      </c>
      <c r="J1" s="174" t="s">
        <v>818</v>
      </c>
      <c r="K1" s="174" t="s">
        <v>819</v>
      </c>
      <c r="L1" s="174" t="s">
        <v>820</v>
      </c>
      <c r="M1" s="174" t="s">
        <v>420</v>
      </c>
      <c r="N1" s="174" t="s">
        <v>51</v>
      </c>
      <c r="O1" s="174" t="s">
        <v>791</v>
      </c>
      <c r="P1" s="174" t="s">
        <v>792</v>
      </c>
      <c r="Q1" s="174" t="s">
        <v>793</v>
      </c>
      <c r="R1" s="174" t="s">
        <v>794</v>
      </c>
      <c r="S1" s="174" t="s">
        <v>795</v>
      </c>
      <c r="T1" s="174" t="s">
        <v>796</v>
      </c>
      <c r="U1" s="15" t="s">
        <v>99</v>
      </c>
    </row>
    <row r="2" spans="1:21" s="10" customFormat="1">
      <c r="A2" s="20" t="s">
        <v>47</v>
      </c>
      <c r="B2" s="10" t="s">
        <v>797</v>
      </c>
      <c r="C2" s="20" t="s">
        <v>50</v>
      </c>
      <c r="D2" s="175">
        <v>3</v>
      </c>
      <c r="E2" s="175">
        <v>60</v>
      </c>
      <c r="F2" s="175">
        <v>6</v>
      </c>
      <c r="G2" s="175">
        <v>5</v>
      </c>
      <c r="L2" s="175">
        <v>0</v>
      </c>
      <c r="M2" s="175">
        <v>26</v>
      </c>
      <c r="N2" s="175">
        <v>91</v>
      </c>
      <c r="O2" s="175">
        <v>57</v>
      </c>
      <c r="P2" s="175">
        <v>60</v>
      </c>
      <c r="U2" s="10" t="s">
        <v>798</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37" t="s">
        <v>88</v>
      </c>
      <c r="J1" s="238" t="s">
        <v>88</v>
      </c>
      <c r="K1" s="236" t="s">
        <v>88</v>
      </c>
      <c r="L1" s="14"/>
      <c r="M1" s="174"/>
      <c r="N1" s="239" t="s">
        <v>417</v>
      </c>
      <c r="O1" s="240" t="s">
        <v>417</v>
      </c>
      <c r="P1" s="240" t="s">
        <v>417</v>
      </c>
      <c r="Q1" s="240" t="s">
        <v>417</v>
      </c>
      <c r="R1" s="240" t="s">
        <v>417</v>
      </c>
      <c r="S1" s="240" t="s">
        <v>417</v>
      </c>
      <c r="T1" s="240" t="s">
        <v>417</v>
      </c>
      <c r="U1" s="241" t="s">
        <v>417</v>
      </c>
    </row>
    <row r="2" spans="1:25" s="15" customFormat="1">
      <c r="A2" s="13" t="s">
        <v>51</v>
      </c>
      <c r="B2" s="13" t="s">
        <v>89</v>
      </c>
      <c r="C2" s="13" t="s">
        <v>90</v>
      </c>
      <c r="D2" s="13" t="s">
        <v>413</v>
      </c>
      <c r="E2" s="13" t="s">
        <v>821</v>
      </c>
      <c r="F2" s="13" t="s">
        <v>91</v>
      </c>
      <c r="G2" s="13" t="s">
        <v>92</v>
      </c>
      <c r="H2" s="13" t="s">
        <v>822</v>
      </c>
      <c r="I2" s="187" t="s">
        <v>93</v>
      </c>
      <c r="J2" s="13" t="s">
        <v>94</v>
      </c>
      <c r="K2" s="16" t="s">
        <v>95</v>
      </c>
      <c r="L2" s="14" t="s">
        <v>96</v>
      </c>
      <c r="M2" s="174" t="s">
        <v>823</v>
      </c>
      <c r="N2" s="188" t="s">
        <v>97</v>
      </c>
      <c r="O2" s="174" t="s">
        <v>98</v>
      </c>
      <c r="P2" s="174" t="s">
        <v>419</v>
      </c>
      <c r="Q2" s="174" t="s">
        <v>541</v>
      </c>
      <c r="R2" s="174" t="s">
        <v>542</v>
      </c>
      <c r="S2" s="174" t="s">
        <v>824</v>
      </c>
      <c r="T2" s="174" t="s">
        <v>825</v>
      </c>
      <c r="U2" s="189" t="s">
        <v>420</v>
      </c>
      <c r="V2" s="15" t="s">
        <v>826</v>
      </c>
      <c r="W2" s="15" t="s">
        <v>827</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45"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42" t="s">
        <v>291</v>
      </c>
      <c r="B1" s="243"/>
      <c r="C1" s="243"/>
      <c r="D1" s="243"/>
      <c r="E1" s="243"/>
      <c r="F1" s="243"/>
      <c r="G1" s="243"/>
      <c r="H1" s="243"/>
      <c r="I1" s="243"/>
      <c r="J1" s="243"/>
      <c r="K1" s="243"/>
    </row>
    <row r="2" spans="1:11">
      <c r="A2" s="213" t="s">
        <v>0</v>
      </c>
      <c r="B2" s="214" t="s">
        <v>16</v>
      </c>
      <c r="C2" s="171"/>
      <c r="D2" s="213" t="s">
        <v>0</v>
      </c>
      <c r="E2" s="214" t="s">
        <v>16</v>
      </c>
      <c r="G2" s="213" t="s">
        <v>0</v>
      </c>
      <c r="H2" s="214" t="s">
        <v>16</v>
      </c>
    </row>
    <row r="3" spans="1:11">
      <c r="A3" s="213" t="s">
        <v>51</v>
      </c>
      <c r="B3" s="214" t="s">
        <v>16</v>
      </c>
      <c r="C3" s="171"/>
      <c r="D3" s="213" t="s">
        <v>51</v>
      </c>
      <c r="E3" s="214" t="s">
        <v>16</v>
      </c>
      <c r="G3" s="213" t="s">
        <v>51</v>
      </c>
      <c r="H3" s="214" t="s">
        <v>16</v>
      </c>
    </row>
    <row r="4" spans="1:11">
      <c r="A4" s="213" t="s">
        <v>3</v>
      </c>
      <c r="B4" s="214" t="s">
        <v>749</v>
      </c>
      <c r="C4" s="171"/>
      <c r="D4" s="213" t="s">
        <v>3</v>
      </c>
      <c r="E4" s="214" t="s">
        <v>751</v>
      </c>
      <c r="G4" s="213" t="s">
        <v>3</v>
      </c>
      <c r="H4" s="214" t="s">
        <v>750</v>
      </c>
    </row>
    <row r="5" spans="1:11">
      <c r="A5" s="171"/>
      <c r="B5" s="171"/>
      <c r="C5" s="171"/>
      <c r="D5" s="171"/>
      <c r="E5" s="171"/>
      <c r="G5" s="171"/>
      <c r="H5" s="171"/>
    </row>
    <row r="6" spans="1:11">
      <c r="A6" s="213" t="s">
        <v>719</v>
      </c>
      <c r="B6" t="s">
        <v>420</v>
      </c>
      <c r="D6" s="213" t="s">
        <v>719</v>
      </c>
      <c r="E6" t="s">
        <v>420</v>
      </c>
      <c r="G6" s="213" t="s">
        <v>719</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1" bestFit="1" customWidth="1"/>
    <col min="2" max="2" width="27.109375" style="171" customWidth="1"/>
    <col min="3" max="3" width="5.77734375" style="171" customWidth="1"/>
    <col min="4" max="4" width="10.77734375" style="171" bestFit="1" customWidth="1"/>
    <col min="5" max="5" width="27.77734375" style="171" customWidth="1"/>
    <col min="6" max="6" width="8.88671875" style="171"/>
    <col min="7" max="7" width="10.77734375" style="171" bestFit="1" customWidth="1"/>
    <col min="8" max="8" width="27.77734375" style="171" customWidth="1"/>
    <col min="9" max="9" width="8.88671875" style="171"/>
    <col min="10" max="10" width="10.77734375" style="171" bestFit="1" customWidth="1"/>
    <col min="11" max="11" width="26" style="171" bestFit="1" customWidth="1"/>
    <col min="12" max="12" width="4.44140625" style="171" customWidth="1"/>
    <col min="13" max="13" width="10.77734375" style="171" customWidth="1"/>
    <col min="14" max="14" width="36.33203125" style="171" bestFit="1" customWidth="1"/>
    <col min="15" max="16384" width="8.88671875" style="171"/>
  </cols>
  <sheetData>
    <row r="1" spans="1:14">
      <c r="A1" s="242" t="s">
        <v>291</v>
      </c>
      <c r="B1" s="243"/>
      <c r="C1" s="243"/>
      <c r="D1" s="243"/>
      <c r="E1" s="243"/>
      <c r="F1" s="243"/>
      <c r="G1" s="243"/>
      <c r="H1" s="243"/>
      <c r="I1" s="243"/>
      <c r="J1" s="243"/>
      <c r="K1" s="243"/>
      <c r="L1" s="242"/>
      <c r="M1" s="243"/>
      <c r="N1" s="243"/>
    </row>
    <row r="2" spans="1:14">
      <c r="A2" s="213" t="s">
        <v>0</v>
      </c>
      <c r="B2" s="214" t="s">
        <v>16</v>
      </c>
      <c r="D2" s="213" t="s">
        <v>0</v>
      </c>
      <c r="E2" s="214" t="s">
        <v>16</v>
      </c>
      <c r="G2" s="213" t="s">
        <v>0</v>
      </c>
      <c r="H2" s="214" t="s">
        <v>16</v>
      </c>
      <c r="J2" s="242"/>
      <c r="K2" s="243"/>
      <c r="L2" s="243"/>
      <c r="M2" s="242"/>
      <c r="N2" s="243"/>
    </row>
    <row r="3" spans="1:14">
      <c r="A3" s="213" t="s">
        <v>51</v>
      </c>
      <c r="B3" s="214" t="s">
        <v>16</v>
      </c>
      <c r="D3" s="213" t="s">
        <v>51</v>
      </c>
      <c r="E3" s="214" t="s">
        <v>16</v>
      </c>
      <c r="G3" s="213" t="s">
        <v>51</v>
      </c>
      <c r="H3" s="214" t="s">
        <v>16</v>
      </c>
      <c r="J3" s="213" t="s">
        <v>0</v>
      </c>
      <c r="K3" s="214" t="s">
        <v>16</v>
      </c>
      <c r="M3" s="213" t="s">
        <v>0</v>
      </c>
      <c r="N3" s="214" t="s">
        <v>16</v>
      </c>
    </row>
    <row r="4" spans="1:14">
      <c r="A4" s="213" t="s">
        <v>3</v>
      </c>
      <c r="B4" s="214" t="s">
        <v>749</v>
      </c>
      <c r="D4" s="213" t="s">
        <v>3</v>
      </c>
      <c r="E4" s="214" t="s">
        <v>751</v>
      </c>
      <c r="G4" s="213" t="s">
        <v>3</v>
      </c>
      <c r="H4" s="214" t="s">
        <v>750</v>
      </c>
      <c r="J4" s="213" t="s">
        <v>3</v>
      </c>
      <c r="K4" s="214" t="s">
        <v>747</v>
      </c>
      <c r="M4" s="213" t="s">
        <v>3</v>
      </c>
      <c r="N4" s="214" t="s">
        <v>748</v>
      </c>
    </row>
    <row r="5" spans="1:14">
      <c r="L5"/>
    </row>
    <row r="6" spans="1:14">
      <c r="A6" s="213" t="s">
        <v>286</v>
      </c>
      <c r="B6" t="s">
        <v>420</v>
      </c>
      <c r="D6" s="213" t="s">
        <v>286</v>
      </c>
      <c r="E6" t="s">
        <v>420</v>
      </c>
      <c r="G6" s="213" t="s">
        <v>286</v>
      </c>
      <c r="H6" t="s">
        <v>420</v>
      </c>
      <c r="J6" s="213" t="s">
        <v>286</v>
      </c>
      <c r="K6" t="s">
        <v>752</v>
      </c>
      <c r="L6"/>
      <c r="M6" s="213" t="s">
        <v>286</v>
      </c>
      <c r="N6" t="s">
        <v>753</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7" customWidth="1"/>
    <col min="6" max="6" width="23.109375" style="177"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44" t="s">
        <v>365</v>
      </c>
      <c r="C1" s="245"/>
      <c r="D1" s="245"/>
      <c r="E1" s="245"/>
      <c r="F1" s="245"/>
      <c r="G1" s="245"/>
      <c r="H1" s="245"/>
      <c r="I1" s="245"/>
      <c r="J1" s="245"/>
      <c r="K1" s="245"/>
      <c r="M1" s="58"/>
      <c r="N1" s="244"/>
      <c r="O1" s="245"/>
      <c r="P1" s="245"/>
      <c r="Q1" s="245"/>
    </row>
    <row r="2" spans="1:17">
      <c r="A2" s="28"/>
      <c r="D2" s="50"/>
      <c r="E2" s="166"/>
      <c r="F2" s="176"/>
      <c r="G2" s="50"/>
      <c r="J2" s="50"/>
      <c r="K2" s="58"/>
      <c r="L2" s="58"/>
      <c r="M2" s="58"/>
      <c r="N2" s="153"/>
      <c r="O2" s="148"/>
      <c r="P2" s="126"/>
    </row>
    <row r="3" spans="1:17">
      <c r="A3" s="27"/>
      <c r="B3" s="213" t="s">
        <v>0</v>
      </c>
      <c r="C3" s="214" t="s">
        <v>16</v>
      </c>
      <c r="H3" s="213" t="s">
        <v>0</v>
      </c>
      <c r="I3" s="214" t="s">
        <v>16</v>
      </c>
      <c r="N3" s="153"/>
      <c r="O3" s="148"/>
      <c r="P3" s="127"/>
    </row>
    <row r="4" spans="1:17">
      <c r="A4" s="27"/>
      <c r="B4" s="213" t="s">
        <v>51</v>
      </c>
      <c r="C4" s="214" t="s">
        <v>16</v>
      </c>
      <c r="H4" s="213" t="s">
        <v>51</v>
      </c>
      <c r="I4" s="214" t="s">
        <v>16</v>
      </c>
      <c r="N4" s="153"/>
      <c r="O4" s="148"/>
      <c r="P4" s="127"/>
    </row>
    <row r="5" spans="1:17">
      <c r="A5" s="27"/>
      <c r="B5" s="213" t="s">
        <v>3</v>
      </c>
      <c r="C5" s="214" t="s">
        <v>10</v>
      </c>
      <c r="H5" s="213" t="s">
        <v>3</v>
      </c>
      <c r="I5" s="214" t="s">
        <v>9</v>
      </c>
      <c r="N5" s="153"/>
      <c r="O5" s="148"/>
      <c r="P5" s="127"/>
    </row>
    <row r="6" spans="1:17">
      <c r="A6" s="27"/>
      <c r="N6" s="127"/>
      <c r="O6" s="127"/>
      <c r="P6" s="127"/>
    </row>
    <row r="7" spans="1:17">
      <c r="A7" s="22" t="s">
        <v>92</v>
      </c>
      <c r="B7" s="213" t="s">
        <v>719</v>
      </c>
      <c r="C7" s="214" t="s">
        <v>292</v>
      </c>
      <c r="D7" s="214" t="s">
        <v>801</v>
      </c>
      <c r="E7" s="214" t="s">
        <v>239</v>
      </c>
      <c r="F7" s="214" t="s">
        <v>403</v>
      </c>
      <c r="H7" s="213" t="s">
        <v>719</v>
      </c>
      <c r="I7" s="214" t="s">
        <v>368</v>
      </c>
      <c r="J7" s="214" t="s">
        <v>364</v>
      </c>
      <c r="K7" s="214"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14">
        <v>23</v>
      </c>
      <c r="L8" s="5"/>
      <c r="M8" s="5"/>
      <c r="N8" s="4"/>
      <c r="O8" s="5"/>
      <c r="P8" s="5"/>
      <c r="Q8" s="5"/>
    </row>
    <row r="9" spans="1:17">
      <c r="B9" s="4" t="s">
        <v>17</v>
      </c>
      <c r="C9" s="9">
        <v>2.5000000000000001E-2</v>
      </c>
      <c r="D9" s="9">
        <v>2.5000000000000001E-2</v>
      </c>
      <c r="E9" s="9">
        <v>2.5000000000000001E-2</v>
      </c>
      <c r="F9" s="9">
        <v>0</v>
      </c>
      <c r="H9" s="4" t="s">
        <v>17</v>
      </c>
      <c r="I9" s="5">
        <v>23</v>
      </c>
      <c r="J9" s="5">
        <v>23</v>
      </c>
      <c r="K9" s="214">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44" t="s">
        <v>365</v>
      </c>
      <c r="D1" s="245"/>
      <c r="E1" s="245"/>
      <c r="F1" s="245"/>
      <c r="G1" s="245"/>
      <c r="H1" s="245"/>
      <c r="I1" s="245"/>
      <c r="J1" s="245"/>
      <c r="K1" s="58"/>
      <c r="L1" s="246" t="s">
        <v>472</v>
      </c>
      <c r="M1" s="247"/>
      <c r="N1" s="245"/>
      <c r="O1" s="245"/>
      <c r="P1" s="245"/>
      <c r="Q1" s="245"/>
      <c r="R1" s="245"/>
      <c r="S1" s="245"/>
      <c r="T1" s="245"/>
      <c r="U1" s="245"/>
      <c r="V1" s="245"/>
      <c r="W1" s="245"/>
    </row>
    <row r="2" spans="1:23">
      <c r="A2" s="28"/>
      <c r="B2" s="28"/>
      <c r="C2" s="213" t="s">
        <v>0</v>
      </c>
      <c r="D2" s="214" t="s">
        <v>16</v>
      </c>
      <c r="E2" s="28"/>
      <c r="F2" s="28"/>
      <c r="G2" s="28"/>
      <c r="H2" s="28"/>
      <c r="I2" s="213" t="s">
        <v>0</v>
      </c>
      <c r="J2" s="214" t="s">
        <v>16</v>
      </c>
      <c r="L2" s="59"/>
      <c r="M2" s="59"/>
      <c r="N2" s="59"/>
      <c r="O2" s="59"/>
      <c r="P2" s="59"/>
      <c r="Q2" s="59"/>
      <c r="R2" s="59"/>
      <c r="S2" s="59"/>
      <c r="T2" s="59"/>
      <c r="U2" s="59"/>
      <c r="V2" s="59"/>
      <c r="W2" s="59"/>
    </row>
    <row r="3" spans="1:23">
      <c r="A3" s="28"/>
      <c r="B3" s="28"/>
      <c r="C3" s="213" t="s">
        <v>1</v>
      </c>
      <c r="D3" s="214" t="s">
        <v>16</v>
      </c>
      <c r="E3" s="28"/>
      <c r="F3" s="28"/>
      <c r="G3" s="28"/>
      <c r="H3" s="28"/>
      <c r="I3" s="213" t="s">
        <v>1</v>
      </c>
      <c r="J3" s="214" t="s">
        <v>16</v>
      </c>
      <c r="L3" s="59"/>
      <c r="M3" s="60"/>
      <c r="N3" s="60"/>
      <c r="O3" s="60"/>
      <c r="P3" s="60"/>
      <c r="Q3" s="60"/>
      <c r="R3" s="60"/>
      <c r="S3" s="60"/>
      <c r="T3" s="60"/>
      <c r="U3" s="60"/>
      <c r="V3" s="60"/>
      <c r="W3" s="60"/>
    </row>
    <row r="4" spans="1:23">
      <c r="A4" s="28"/>
      <c r="B4" s="28"/>
      <c r="C4" s="213" t="s">
        <v>2</v>
      </c>
      <c r="D4" s="214" t="s">
        <v>16</v>
      </c>
      <c r="I4" s="213" t="s">
        <v>2</v>
      </c>
      <c r="J4" s="214" t="s">
        <v>16</v>
      </c>
      <c r="L4" s="28"/>
      <c r="M4" s="28"/>
      <c r="R4" s="28"/>
      <c r="S4" s="28"/>
    </row>
    <row r="5" spans="1:23">
      <c r="A5" s="28"/>
      <c r="B5" s="28"/>
      <c r="C5" s="213" t="s">
        <v>51</v>
      </c>
      <c r="D5" s="214" t="s">
        <v>16</v>
      </c>
      <c r="I5" s="213" t="s">
        <v>51</v>
      </c>
      <c r="J5" s="214" t="s">
        <v>16</v>
      </c>
      <c r="L5" s="213" t="s">
        <v>0</v>
      </c>
      <c r="M5" s="214" t="s">
        <v>16</v>
      </c>
      <c r="R5" s="213" t="s">
        <v>0</v>
      </c>
      <c r="S5" s="214" t="s">
        <v>16</v>
      </c>
    </row>
    <row r="6" spans="1:23">
      <c r="A6" s="28"/>
      <c r="B6" s="28"/>
      <c r="C6" s="213" t="s">
        <v>3</v>
      </c>
      <c r="D6" s="214" t="s">
        <v>10</v>
      </c>
      <c r="I6" s="213" t="s">
        <v>3</v>
      </c>
      <c r="J6" s="214" t="s">
        <v>9</v>
      </c>
      <c r="L6" s="213" t="s">
        <v>3</v>
      </c>
      <c r="M6" s="214" t="s">
        <v>300</v>
      </c>
      <c r="R6" s="213" t="s">
        <v>3</v>
      </c>
      <c r="S6" s="214" t="s">
        <v>300</v>
      </c>
    </row>
    <row r="7" spans="1:23">
      <c r="A7" s="28"/>
      <c r="B7" s="28"/>
    </row>
    <row r="8" spans="1:23">
      <c r="A8" s="22" t="s">
        <v>680</v>
      </c>
      <c r="B8" s="22" t="s">
        <v>119</v>
      </c>
      <c r="C8" s="213" t="s">
        <v>286</v>
      </c>
      <c r="D8" s="214" t="s">
        <v>292</v>
      </c>
      <c r="E8" s="214" t="s">
        <v>346</v>
      </c>
      <c r="F8" s="214" t="s">
        <v>239</v>
      </c>
      <c r="G8" s="214" t="s">
        <v>403</v>
      </c>
      <c r="I8" s="213" t="s">
        <v>286</v>
      </c>
      <c r="J8" t="s">
        <v>370</v>
      </c>
      <c r="L8" s="213" t="s">
        <v>286</v>
      </c>
      <c r="M8" s="214" t="s">
        <v>302</v>
      </c>
      <c r="N8" s="214" t="s">
        <v>396</v>
      </c>
      <c r="O8" s="214" t="s">
        <v>301</v>
      </c>
      <c r="P8" s="214" t="s">
        <v>404</v>
      </c>
      <c r="R8" s="213" t="s">
        <v>286</v>
      </c>
      <c r="S8" s="214" t="s">
        <v>303</v>
      </c>
      <c r="T8" s="214" t="s">
        <v>304</v>
      </c>
      <c r="U8" s="214"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9"/>
  <sheetViews>
    <sheetView workbookViewId="0">
      <selection activeCell="A9" sqref="A9"/>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2" customWidth="1"/>
    <col min="11" max="11" width="11.21875" style="162" customWidth="1"/>
    <col min="12" max="12" width="10.77734375" style="162" customWidth="1"/>
    <col min="13" max="13" width="24.5546875" style="162" customWidth="1"/>
    <col min="14" max="14" width="19.44140625" style="162" customWidth="1"/>
    <col min="15" max="15" width="19" style="162" customWidth="1"/>
    <col min="16" max="16" width="6.5546875" customWidth="1"/>
    <col min="17" max="17" width="26.5546875" bestFit="1" customWidth="1"/>
    <col min="18" max="18" width="20.88671875" customWidth="1"/>
    <col min="19" max="19" width="10.77734375" bestFit="1" customWidth="1"/>
    <col min="20" max="20" width="18.44140625" bestFit="1" customWidth="1"/>
    <col min="21" max="21" width="17.21875" style="162" bestFit="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44" t="s">
        <v>606</v>
      </c>
      <c r="C1" s="245"/>
      <c r="D1" s="245"/>
      <c r="E1" s="245"/>
      <c r="F1" s="245"/>
      <c r="G1" s="245"/>
      <c r="H1" s="245"/>
      <c r="I1" s="245"/>
      <c r="J1" s="245"/>
      <c r="K1" s="245"/>
      <c r="L1" s="245"/>
      <c r="M1" s="245"/>
      <c r="N1" s="245"/>
      <c r="O1" s="245"/>
      <c r="P1" s="245"/>
      <c r="Q1" s="245"/>
      <c r="R1" s="245"/>
      <c r="S1" s="155"/>
      <c r="T1" s="155"/>
      <c r="U1" s="161"/>
    </row>
    <row r="2" spans="1:21">
      <c r="A2" s="28"/>
      <c r="D2" s="154"/>
      <c r="E2" s="153"/>
      <c r="I2" s="154"/>
      <c r="J2" s="161"/>
      <c r="K2" s="161"/>
      <c r="L2" s="213" t="s">
        <v>0</v>
      </c>
      <c r="M2" s="214" t="s">
        <v>16</v>
      </c>
      <c r="N2" s="127"/>
      <c r="O2" s="54"/>
      <c r="P2" s="153"/>
      <c r="S2" s="154"/>
    </row>
    <row r="3" spans="1:21">
      <c r="A3" s="27"/>
      <c r="B3" s="213" t="s">
        <v>0</v>
      </c>
      <c r="C3" s="214" t="s">
        <v>16</v>
      </c>
      <c r="D3" s="153"/>
      <c r="E3" s="153"/>
      <c r="G3" s="213" t="s">
        <v>0</v>
      </c>
      <c r="H3" s="214" t="s">
        <v>16</v>
      </c>
      <c r="I3" s="153"/>
      <c r="L3" s="213" t="s">
        <v>1</v>
      </c>
      <c r="M3" s="214" t="s">
        <v>16</v>
      </c>
      <c r="N3" s="126"/>
      <c r="O3" s="127"/>
      <c r="P3" s="153"/>
      <c r="Q3" s="213" t="s">
        <v>0</v>
      </c>
      <c r="R3" s="214" t="s">
        <v>16</v>
      </c>
      <c r="S3" s="153"/>
    </row>
    <row r="4" spans="1:21">
      <c r="A4" s="27"/>
      <c r="B4" s="213" t="s">
        <v>51</v>
      </c>
      <c r="C4" s="214" t="s">
        <v>16</v>
      </c>
      <c r="D4" s="153"/>
      <c r="E4" s="153"/>
      <c r="G4" s="213" t="s">
        <v>51</v>
      </c>
      <c r="H4" s="214" t="s">
        <v>16</v>
      </c>
      <c r="I4" s="153"/>
      <c r="L4" s="213" t="s">
        <v>2</v>
      </c>
      <c r="M4" s="214" t="s">
        <v>16</v>
      </c>
      <c r="N4" s="127"/>
      <c r="O4" s="127"/>
      <c r="P4" s="153"/>
      <c r="Q4" s="213" t="s">
        <v>51</v>
      </c>
      <c r="R4" s="214" t="s">
        <v>16</v>
      </c>
      <c r="S4" s="153"/>
    </row>
    <row r="5" spans="1:21">
      <c r="A5" s="27"/>
      <c r="B5" s="213" t="s">
        <v>3</v>
      </c>
      <c r="C5" s="214" t="s">
        <v>25</v>
      </c>
      <c r="D5" s="153"/>
      <c r="E5" s="153"/>
      <c r="G5" s="213" t="s">
        <v>3</v>
      </c>
      <c r="H5" s="214" t="s">
        <v>427</v>
      </c>
      <c r="I5" s="153"/>
      <c r="L5" s="213" t="s">
        <v>51</v>
      </c>
      <c r="M5" s="214" t="s">
        <v>16</v>
      </c>
      <c r="N5" s="127"/>
      <c r="O5" s="127"/>
      <c r="P5" s="153"/>
      <c r="Q5" s="213" t="s">
        <v>3</v>
      </c>
      <c r="R5" s="214" t="s">
        <v>703</v>
      </c>
      <c r="S5" s="153"/>
    </row>
    <row r="6" spans="1:21">
      <c r="A6" s="27"/>
      <c r="B6" s="153"/>
      <c r="C6" s="153"/>
      <c r="D6" s="153"/>
      <c r="E6" s="153"/>
      <c r="G6" s="153"/>
      <c r="H6" s="153"/>
      <c r="I6" s="153"/>
      <c r="L6" s="213" t="s">
        <v>3</v>
      </c>
      <c r="M6" s="214" t="s">
        <v>25</v>
      </c>
      <c r="N6" s="127"/>
      <c r="O6" s="127"/>
      <c r="P6" s="153"/>
      <c r="Q6" s="153"/>
      <c r="R6" s="153"/>
      <c r="S6" s="153"/>
    </row>
    <row r="7" spans="1:21">
      <c r="A7" s="22" t="s">
        <v>92</v>
      </c>
      <c r="B7" s="213" t="s">
        <v>719</v>
      </c>
      <c r="C7" s="214" t="s">
        <v>603</v>
      </c>
      <c r="D7" s="214" t="s">
        <v>604</v>
      </c>
      <c r="E7" s="214" t="s">
        <v>605</v>
      </c>
      <c r="G7" s="213" t="s">
        <v>719</v>
      </c>
      <c r="H7" s="214" t="s">
        <v>701</v>
      </c>
      <c r="I7" s="214" t="s">
        <v>702</v>
      </c>
      <c r="L7" s="127"/>
      <c r="M7" s="127"/>
      <c r="N7" s="127"/>
      <c r="O7" s="127"/>
      <c r="Q7" s="213" t="s">
        <v>869</v>
      </c>
      <c r="R7" s="213" t="s">
        <v>719</v>
      </c>
      <c r="U7"/>
    </row>
    <row r="8" spans="1:21">
      <c r="A8" s="21" t="e">
        <f>INDEX('DDL Tables'!$G:$G,MATCH(SUBSTITUTE(B8," (index)", ""),'DDL Tables'!$C:$C,0))</f>
        <v>#N/A</v>
      </c>
      <c r="B8" s="4" t="s">
        <v>47</v>
      </c>
      <c r="C8" s="5">
        <v>0</v>
      </c>
      <c r="D8" s="5">
        <v>0</v>
      </c>
      <c r="E8" s="5">
        <v>0</v>
      </c>
      <c r="G8" s="4" t="s">
        <v>47</v>
      </c>
      <c r="H8" s="5">
        <v>35</v>
      </c>
      <c r="I8" s="5">
        <v>35</v>
      </c>
      <c r="J8" s="99"/>
      <c r="K8" s="22" t="s">
        <v>680</v>
      </c>
      <c r="L8" s="213" t="s">
        <v>286</v>
      </c>
      <c r="M8" s="214" t="s">
        <v>607</v>
      </c>
      <c r="N8" s="214" t="s">
        <v>604</v>
      </c>
      <c r="O8" s="214" t="s">
        <v>605</v>
      </c>
      <c r="R8" s="214" t="s">
        <v>47</v>
      </c>
      <c r="S8" s="214" t="s">
        <v>17</v>
      </c>
      <c r="U8"/>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13" t="s">
        <v>2</v>
      </c>
      <c r="U9"/>
    </row>
    <row r="10" spans="1:21">
      <c r="L10" s="4" t="s">
        <v>17</v>
      </c>
      <c r="M10" s="5">
        <v>0</v>
      </c>
      <c r="N10" s="5">
        <v>0</v>
      </c>
      <c r="O10" s="5">
        <v>0</v>
      </c>
      <c r="Q10" s="4" t="s">
        <v>707</v>
      </c>
      <c r="R10" s="214">
        <v>1</v>
      </c>
      <c r="S10" s="214">
        <v>1</v>
      </c>
      <c r="U10"/>
    </row>
    <row r="11" spans="1:21">
      <c r="Q11" s="4" t="s">
        <v>709</v>
      </c>
      <c r="R11" s="214">
        <v>1</v>
      </c>
      <c r="S11" s="214">
        <v>1</v>
      </c>
      <c r="U11"/>
    </row>
    <row r="12" spans="1:21">
      <c r="Q12" s="4" t="s">
        <v>708</v>
      </c>
      <c r="R12" s="214">
        <v>1</v>
      </c>
      <c r="S12" s="214">
        <v>1</v>
      </c>
      <c r="U12"/>
    </row>
    <row r="13" spans="1:21">
      <c r="Q13" s="4" t="s">
        <v>706</v>
      </c>
      <c r="R13" s="214">
        <v>1</v>
      </c>
      <c r="S13" s="214">
        <v>1</v>
      </c>
      <c r="U13"/>
    </row>
    <row r="14" spans="1:21">
      <c r="Q14" s="4" t="s">
        <v>704</v>
      </c>
      <c r="R14" s="214">
        <v>3</v>
      </c>
      <c r="S14" s="214">
        <v>3</v>
      </c>
      <c r="U14"/>
    </row>
    <row r="15" spans="1:21">
      <c r="Q15" s="4" t="s">
        <v>705</v>
      </c>
      <c r="R15" s="214">
        <v>1</v>
      </c>
      <c r="S15" s="214">
        <v>1</v>
      </c>
      <c r="U15"/>
    </row>
    <row r="16" spans="1:21">
      <c r="Q16" s="4" t="s">
        <v>710</v>
      </c>
      <c r="R16" s="214">
        <v>1</v>
      </c>
      <c r="S16" s="214">
        <v>1</v>
      </c>
      <c r="U16"/>
    </row>
    <row r="17" spans="17:21">
      <c r="Q17" s="4" t="s">
        <v>17</v>
      </c>
      <c r="R17" s="214">
        <v>9</v>
      </c>
      <c r="S17" s="214">
        <v>9</v>
      </c>
      <c r="U17"/>
    </row>
    <row r="18" spans="17:21">
      <c r="U18"/>
    </row>
    <row r="19" spans="17:21">
      <c r="U19"/>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7 C10:C1048576">
    <cfRule type="colorScale" priority="2">
      <colorScale>
        <cfvo type="num" val="0"/>
        <cfvo type="num" val="15"/>
        <cfvo type="max"/>
        <color rgb="FF92D050"/>
        <color rgb="FFFFEB84"/>
        <color rgb="FFFF0000"/>
      </colorScale>
    </cfRule>
  </conditionalFormatting>
  <conditionalFormatting sqref="H1:H7 H10: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7" customWidth="1"/>
    <col min="6" max="6" width="23.109375" style="177"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44" t="s">
        <v>365</v>
      </c>
      <c r="C1" s="245"/>
      <c r="D1" s="245"/>
      <c r="E1" s="245"/>
      <c r="F1" s="245"/>
      <c r="G1" s="245"/>
      <c r="H1" s="245"/>
      <c r="I1" s="245"/>
      <c r="J1" s="245"/>
      <c r="K1" s="245"/>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6"/>
      <c r="F2" s="176"/>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13" t="s">
        <v>0</v>
      </c>
      <c r="C3" s="214" t="s">
        <v>16</v>
      </c>
      <c r="H3" s="213" t="s">
        <v>0</v>
      </c>
      <c r="I3" s="214" t="s">
        <v>16</v>
      </c>
    </row>
    <row r="4" spans="1:38">
      <c r="A4" s="27"/>
      <c r="B4" s="213" t="s">
        <v>51</v>
      </c>
      <c r="C4" s="214" t="s">
        <v>16</v>
      </c>
      <c r="H4" s="213" t="s">
        <v>51</v>
      </c>
      <c r="I4" s="214" t="s">
        <v>16</v>
      </c>
    </row>
    <row r="5" spans="1:38">
      <c r="A5" s="27"/>
      <c r="B5" s="213" t="s">
        <v>3</v>
      </c>
      <c r="C5" s="214" t="s">
        <v>12</v>
      </c>
      <c r="H5" s="213" t="s">
        <v>3</v>
      </c>
      <c r="I5" s="214" t="s">
        <v>11</v>
      </c>
    </row>
    <row r="6" spans="1:38">
      <c r="A6" s="27"/>
    </row>
    <row r="7" spans="1:38">
      <c r="A7" s="22" t="s">
        <v>92</v>
      </c>
      <c r="B7" s="213" t="s">
        <v>719</v>
      </c>
      <c r="C7" s="214" t="s">
        <v>292</v>
      </c>
      <c r="D7" s="214" t="s">
        <v>346</v>
      </c>
      <c r="E7" s="214" t="s">
        <v>239</v>
      </c>
      <c r="F7" s="214" t="s">
        <v>403</v>
      </c>
      <c r="H7" s="213" t="s">
        <v>719</v>
      </c>
      <c r="I7" s="214" t="s">
        <v>366</v>
      </c>
      <c r="J7" s="214" t="s">
        <v>367</v>
      </c>
      <c r="K7" s="214" t="s">
        <v>371</v>
      </c>
    </row>
    <row r="8" spans="1:38">
      <c r="A8" s="21" t="e">
        <f>INDEX('DDL Tables'!$G:$G,MATCH(SUBSTITUTE(B8," (index)", ""),'DDL Tables'!$C:$C,0))</f>
        <v>#N/A</v>
      </c>
      <c r="B8" s="4" t="s">
        <v>47</v>
      </c>
      <c r="C8" s="9">
        <v>0.03</v>
      </c>
      <c r="D8" s="9">
        <v>0.03</v>
      </c>
      <c r="E8" s="9">
        <v>0.03</v>
      </c>
      <c r="F8" s="9">
        <v>0</v>
      </c>
      <c r="H8" s="4" t="s">
        <v>47</v>
      </c>
      <c r="I8" s="5">
        <v>2</v>
      </c>
      <c r="J8" s="5">
        <v>2</v>
      </c>
      <c r="K8" s="214">
        <v>2</v>
      </c>
      <c r="L8" s="5"/>
      <c r="M8" s="5"/>
    </row>
    <row r="9" spans="1:38">
      <c r="B9" s="4" t="s">
        <v>17</v>
      </c>
      <c r="C9" s="9">
        <v>0.03</v>
      </c>
      <c r="D9" s="9">
        <v>0.03</v>
      </c>
      <c r="E9" s="9">
        <v>0.03</v>
      </c>
      <c r="F9" s="9">
        <v>0</v>
      </c>
      <c r="H9" s="4" t="s">
        <v>17</v>
      </c>
      <c r="I9" s="5">
        <v>2</v>
      </c>
      <c r="J9" s="5">
        <v>2</v>
      </c>
      <c r="K9" s="214">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8" sqref="A8:B9"/>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44" t="s">
        <v>365</v>
      </c>
      <c r="D1" s="245"/>
      <c r="E1" s="245"/>
      <c r="F1" s="245"/>
      <c r="G1" s="245"/>
      <c r="H1" s="245"/>
      <c r="I1" s="245"/>
      <c r="J1" s="245"/>
      <c r="K1" s="58"/>
      <c r="L1" s="246" t="s">
        <v>473</v>
      </c>
      <c r="M1" s="247"/>
      <c r="N1" s="245"/>
      <c r="O1" s="245"/>
      <c r="P1" s="245"/>
      <c r="Q1" s="245"/>
      <c r="R1" s="245"/>
      <c r="S1" s="245"/>
      <c r="T1" s="245"/>
      <c r="U1" s="245"/>
    </row>
    <row r="2" spans="1:21" s="28" customFormat="1">
      <c r="C2" s="213" t="s">
        <v>0</v>
      </c>
      <c r="D2" s="214" t="s">
        <v>16</v>
      </c>
      <c r="I2" s="213" t="s">
        <v>0</v>
      </c>
      <c r="J2" s="214" t="s">
        <v>16</v>
      </c>
      <c r="K2" s="54"/>
      <c r="L2" s="59"/>
      <c r="M2" s="59"/>
      <c r="N2" s="59"/>
      <c r="O2" s="59"/>
      <c r="P2" s="59"/>
      <c r="Q2" s="59"/>
      <c r="R2" s="59"/>
      <c r="S2" s="59"/>
      <c r="T2" s="59"/>
      <c r="U2" s="59"/>
    </row>
    <row r="3" spans="1:21" s="28" customFormat="1">
      <c r="C3" s="213" t="s">
        <v>1</v>
      </c>
      <c r="D3" s="214" t="s">
        <v>16</v>
      </c>
      <c r="I3" s="213" t="s">
        <v>1</v>
      </c>
      <c r="J3" s="214" t="s">
        <v>16</v>
      </c>
      <c r="K3" s="54"/>
      <c r="L3" s="59"/>
      <c r="M3" s="60"/>
      <c r="N3" s="60"/>
      <c r="O3" s="60"/>
      <c r="P3" s="60"/>
      <c r="Q3" s="60"/>
      <c r="R3" s="60"/>
      <c r="S3" s="60"/>
      <c r="T3" s="60"/>
      <c r="U3" s="60"/>
    </row>
    <row r="4" spans="1:21">
      <c r="A4" s="28"/>
      <c r="B4" s="28"/>
      <c r="C4" s="213" t="s">
        <v>2</v>
      </c>
      <c r="D4" s="214" t="s">
        <v>16</v>
      </c>
      <c r="I4" s="213" t="s">
        <v>2</v>
      </c>
      <c r="J4" s="214" t="s">
        <v>16</v>
      </c>
      <c r="L4" s="28"/>
      <c r="M4" s="28"/>
    </row>
    <row r="5" spans="1:21">
      <c r="A5" s="28"/>
      <c r="B5" s="28"/>
      <c r="C5" s="213" t="s">
        <v>51</v>
      </c>
      <c r="D5" s="214" t="s">
        <v>16</v>
      </c>
      <c r="I5" s="213" t="s">
        <v>51</v>
      </c>
      <c r="J5" s="214" t="s">
        <v>16</v>
      </c>
      <c r="L5" s="213" t="s">
        <v>0</v>
      </c>
      <c r="M5" s="214" t="s">
        <v>16</v>
      </c>
      <c r="R5" s="204" t="s">
        <v>0</v>
      </c>
      <c r="S5" s="205" t="s">
        <v>16</v>
      </c>
    </row>
    <row r="6" spans="1:21">
      <c r="A6" s="28"/>
      <c r="B6" s="28"/>
      <c r="C6" s="213" t="s">
        <v>3</v>
      </c>
      <c r="D6" s="214" t="s">
        <v>12</v>
      </c>
      <c r="I6" s="213" t="s">
        <v>3</v>
      </c>
      <c r="J6" s="214" t="s">
        <v>11</v>
      </c>
      <c r="L6" s="213" t="s">
        <v>3</v>
      </c>
      <c r="M6" s="214" t="s">
        <v>300</v>
      </c>
      <c r="R6" s="204" t="s">
        <v>3</v>
      </c>
      <c r="S6" s="205" t="s">
        <v>300</v>
      </c>
    </row>
    <row r="7" spans="1:21">
      <c r="A7" s="28"/>
      <c r="B7" s="28"/>
    </row>
    <row r="8" spans="1:21">
      <c r="A8" s="22" t="s">
        <v>680</v>
      </c>
      <c r="B8" s="22" t="s">
        <v>119</v>
      </c>
      <c r="C8" s="213" t="s">
        <v>286</v>
      </c>
      <c r="D8" s="214" t="s">
        <v>292</v>
      </c>
      <c r="E8" s="214" t="s">
        <v>346</v>
      </c>
      <c r="F8" s="214" t="s">
        <v>239</v>
      </c>
      <c r="G8" s="214" t="s">
        <v>403</v>
      </c>
      <c r="I8" s="213" t="s">
        <v>286</v>
      </c>
      <c r="J8" t="s">
        <v>372</v>
      </c>
      <c r="L8" s="213" t="s">
        <v>286</v>
      </c>
      <c r="M8" s="214" t="s">
        <v>302</v>
      </c>
      <c r="N8" s="214" t="s">
        <v>405</v>
      </c>
      <c r="O8" s="214" t="s">
        <v>301</v>
      </c>
      <c r="P8" s="214" t="s">
        <v>404</v>
      </c>
      <c r="R8" s="204" t="s">
        <v>286</v>
      </c>
      <c r="S8" s="205" t="s">
        <v>303</v>
      </c>
      <c r="T8" s="205" t="s">
        <v>304</v>
      </c>
      <c r="U8" s="205"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194" bestFit="1" customWidth="1"/>
    <col min="2" max="2" width="22.5546875" style="194" bestFit="1" customWidth="1"/>
    <col min="3" max="3" width="8.88671875" style="194"/>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48" t="s">
        <v>365</v>
      </c>
      <c r="B1" s="249"/>
      <c r="D1" s="247"/>
      <c r="E1" s="245"/>
      <c r="F1" s="245"/>
      <c r="G1" s="245"/>
      <c r="H1" s="245"/>
      <c r="I1" s="245"/>
      <c r="J1" s="245"/>
      <c r="K1" s="245"/>
      <c r="L1" s="245"/>
      <c r="M1" s="246"/>
      <c r="N1" s="247"/>
      <c r="O1" s="245"/>
      <c r="P1" s="245"/>
      <c r="Q1" s="245"/>
      <c r="R1" s="245"/>
      <c r="S1" s="245"/>
      <c r="T1" s="245"/>
      <c r="U1" s="245"/>
      <c r="V1" s="245"/>
      <c r="W1" s="246"/>
      <c r="X1" s="247"/>
      <c r="Y1" s="245"/>
      <c r="Z1" s="245"/>
      <c r="AA1" s="245"/>
      <c r="AB1" s="245"/>
      <c r="AC1" s="245"/>
      <c r="AD1" s="245"/>
      <c r="AE1" s="245"/>
      <c r="AF1" s="245"/>
      <c r="AG1" s="246"/>
      <c r="AH1" s="247"/>
      <c r="AI1" s="245"/>
    </row>
    <row r="2" spans="1:37">
      <c r="D2" s="173"/>
      <c r="E2" s="173"/>
      <c r="F2" s="172"/>
      <c r="G2" s="172"/>
      <c r="H2" s="172"/>
      <c r="I2" s="173"/>
      <c r="J2" s="173"/>
      <c r="K2" s="172"/>
      <c r="L2" s="172"/>
      <c r="N2" s="173"/>
      <c r="O2" s="173"/>
      <c r="P2" s="172"/>
      <c r="Q2" s="172"/>
      <c r="S2" s="173"/>
      <c r="T2" s="173"/>
      <c r="U2" s="172"/>
      <c r="V2" s="172"/>
      <c r="W2" s="172"/>
      <c r="X2" s="173"/>
      <c r="Y2" s="173"/>
      <c r="Z2" s="172"/>
      <c r="AA2" s="172"/>
      <c r="AB2" s="173"/>
      <c r="AC2" s="173"/>
      <c r="AD2" s="173"/>
      <c r="AE2" s="172"/>
      <c r="AF2" s="172"/>
      <c r="AH2" s="173"/>
      <c r="AI2" s="173"/>
      <c r="AJ2" s="172"/>
      <c r="AK2" s="172"/>
    </row>
    <row r="3" spans="1:37">
      <c r="A3" s="213" t="s">
        <v>0</v>
      </c>
      <c r="B3" s="214" t="s">
        <v>16</v>
      </c>
      <c r="D3" s="213" t="s">
        <v>0</v>
      </c>
      <c r="E3" s="214" t="s">
        <v>16</v>
      </c>
      <c r="F3" s="173"/>
      <c r="G3" s="173"/>
      <c r="H3" s="173"/>
      <c r="I3" s="213" t="s">
        <v>0</v>
      </c>
      <c r="J3" s="214" t="s">
        <v>16</v>
      </c>
      <c r="K3" s="173"/>
      <c r="L3" s="173"/>
      <c r="N3" s="213" t="s">
        <v>0</v>
      </c>
      <c r="O3" s="214" t="s">
        <v>16</v>
      </c>
      <c r="P3" s="173"/>
      <c r="Q3" s="173"/>
      <c r="S3" s="213" t="s">
        <v>0</v>
      </c>
      <c r="T3" s="214" t="s">
        <v>16</v>
      </c>
      <c r="U3" s="173"/>
      <c r="V3" s="173"/>
      <c r="W3" s="173"/>
      <c r="X3" s="213" t="s">
        <v>0</v>
      </c>
      <c r="Y3" s="214" t="s">
        <v>16</v>
      </c>
      <c r="Z3" s="173"/>
      <c r="AA3" s="173"/>
      <c r="AB3" s="173"/>
      <c r="AC3" s="213" t="s">
        <v>0</v>
      </c>
      <c r="AD3" s="214" t="s">
        <v>16</v>
      </c>
      <c r="AE3" s="173"/>
      <c r="AF3" s="173"/>
      <c r="AH3" s="213" t="s">
        <v>0</v>
      </c>
      <c r="AI3" s="214" t="s">
        <v>16</v>
      </c>
      <c r="AJ3" s="173"/>
      <c r="AK3" s="173"/>
    </row>
    <row r="4" spans="1:37">
      <c r="A4" s="213" t="s">
        <v>51</v>
      </c>
      <c r="B4" s="214" t="s">
        <v>16</v>
      </c>
      <c r="D4" s="213" t="s">
        <v>51</v>
      </c>
      <c r="E4" s="214" t="s">
        <v>16</v>
      </c>
      <c r="F4" s="173"/>
      <c r="G4" s="173"/>
      <c r="H4" s="173"/>
      <c r="I4" s="213" t="s">
        <v>51</v>
      </c>
      <c r="J4" s="214" t="s">
        <v>16</v>
      </c>
      <c r="K4" s="173"/>
      <c r="L4" s="173"/>
      <c r="N4" s="213" t="s">
        <v>51</v>
      </c>
      <c r="O4" s="214" t="s">
        <v>16</v>
      </c>
      <c r="P4" s="173"/>
      <c r="Q4" s="173"/>
      <c r="S4" s="213" t="s">
        <v>51</v>
      </c>
      <c r="T4" s="214" t="s">
        <v>16</v>
      </c>
      <c r="U4" s="173"/>
      <c r="V4" s="173"/>
      <c r="W4" s="173"/>
      <c r="X4" s="213" t="s">
        <v>51</v>
      </c>
      <c r="Y4" s="214" t="s">
        <v>16</v>
      </c>
      <c r="Z4" s="173"/>
      <c r="AA4" s="173"/>
      <c r="AB4" s="173"/>
      <c r="AC4" s="213" t="s">
        <v>51</v>
      </c>
      <c r="AD4" s="214" t="s">
        <v>16</v>
      </c>
      <c r="AE4" s="173"/>
      <c r="AF4" s="173"/>
      <c r="AH4" s="213" t="s">
        <v>51</v>
      </c>
      <c r="AI4" s="214" t="s">
        <v>16</v>
      </c>
      <c r="AJ4" s="173"/>
      <c r="AK4" s="173"/>
    </row>
    <row r="5" spans="1:37">
      <c r="A5" s="213" t="s">
        <v>3</v>
      </c>
      <c r="B5" s="214" t="s">
        <v>33</v>
      </c>
      <c r="D5" s="213" t="s">
        <v>3</v>
      </c>
      <c r="E5" s="214" t="s">
        <v>764</v>
      </c>
      <c r="F5" s="173"/>
      <c r="G5" s="173"/>
      <c r="H5" s="173"/>
      <c r="I5" s="213" t="s">
        <v>3</v>
      </c>
      <c r="J5" s="214" t="s">
        <v>765</v>
      </c>
      <c r="K5" s="173"/>
      <c r="L5" s="173"/>
      <c r="N5" s="213" t="s">
        <v>3</v>
      </c>
      <c r="O5" s="214" t="s">
        <v>766</v>
      </c>
      <c r="P5" s="173"/>
      <c r="Q5" s="173"/>
      <c r="S5" s="213" t="s">
        <v>3</v>
      </c>
      <c r="T5" s="214" t="s">
        <v>767</v>
      </c>
      <c r="U5" s="173"/>
      <c r="V5" s="173"/>
      <c r="W5" s="173"/>
      <c r="X5" s="213" t="s">
        <v>3</v>
      </c>
      <c r="Y5" s="214" t="s">
        <v>768</v>
      </c>
      <c r="Z5" s="173"/>
      <c r="AA5" s="173"/>
      <c r="AB5" s="173"/>
      <c r="AC5" s="213" t="s">
        <v>3</v>
      </c>
      <c r="AD5" s="214" t="s">
        <v>769</v>
      </c>
      <c r="AE5" s="173"/>
      <c r="AF5" s="173"/>
      <c r="AH5" s="213" t="s">
        <v>3</v>
      </c>
      <c r="AI5" s="214" t="s">
        <v>770</v>
      </c>
      <c r="AJ5" s="173"/>
      <c r="AK5" s="173"/>
    </row>
    <row r="6" spans="1:37">
      <c r="D6" s="173"/>
      <c r="E6" s="173"/>
      <c r="F6" s="173"/>
      <c r="G6" s="173"/>
      <c r="H6" s="173"/>
      <c r="I6" s="173"/>
      <c r="J6" s="173"/>
      <c r="K6" s="173"/>
      <c r="L6" s="173"/>
      <c r="N6" s="173"/>
      <c r="O6" s="173"/>
      <c r="P6" s="173"/>
      <c r="Q6" s="173"/>
      <c r="S6" s="173"/>
      <c r="T6" s="173"/>
      <c r="U6" s="173"/>
      <c r="V6" s="173"/>
      <c r="W6" s="173"/>
      <c r="X6" s="173"/>
      <c r="Y6" s="173"/>
      <c r="Z6" s="173"/>
      <c r="AA6" s="173"/>
      <c r="AB6" s="173"/>
      <c r="AC6" s="173"/>
      <c r="AD6" s="173"/>
      <c r="AE6" s="173"/>
      <c r="AF6" s="173"/>
      <c r="AH6" s="173"/>
      <c r="AI6" s="173"/>
      <c r="AJ6" s="173"/>
      <c r="AK6" s="173"/>
    </row>
    <row r="7" spans="1:37">
      <c r="A7" s="213" t="s">
        <v>719</v>
      </c>
      <c r="B7" t="s">
        <v>834</v>
      </c>
      <c r="D7" s="213" t="s">
        <v>719</v>
      </c>
      <c r="E7" s="214" t="s">
        <v>773</v>
      </c>
      <c r="F7" s="214" t="s">
        <v>774</v>
      </c>
      <c r="G7" s="214" t="s">
        <v>775</v>
      </c>
      <c r="H7" s="173"/>
      <c r="I7" s="213" t="s">
        <v>719</v>
      </c>
      <c r="J7" s="214" t="s">
        <v>778</v>
      </c>
      <c r="K7" s="214" t="s">
        <v>776</v>
      </c>
      <c r="L7" s="214" t="s">
        <v>777</v>
      </c>
      <c r="N7" s="213" t="s">
        <v>719</v>
      </c>
      <c r="O7" s="214" t="s">
        <v>779</v>
      </c>
      <c r="P7" s="214" t="s">
        <v>239</v>
      </c>
      <c r="Q7" s="214" t="s">
        <v>780</v>
      </c>
      <c r="S7" s="213" t="s">
        <v>719</v>
      </c>
      <c r="T7" s="214" t="s">
        <v>781</v>
      </c>
      <c r="U7" s="214" t="s">
        <v>775</v>
      </c>
      <c r="V7" s="214" t="s">
        <v>782</v>
      </c>
      <c r="W7" s="173"/>
      <c r="X7" s="213" t="s">
        <v>719</v>
      </c>
      <c r="Y7" s="214" t="s">
        <v>783</v>
      </c>
      <c r="Z7" s="214" t="s">
        <v>777</v>
      </c>
      <c r="AA7" s="214" t="s">
        <v>784</v>
      </c>
      <c r="AB7" s="173"/>
      <c r="AC7" s="213" t="s">
        <v>719</v>
      </c>
      <c r="AD7" s="214" t="s">
        <v>785</v>
      </c>
      <c r="AE7" s="214" t="s">
        <v>780</v>
      </c>
      <c r="AF7" s="214" t="s">
        <v>786</v>
      </c>
      <c r="AH7" s="213" t="s">
        <v>719</v>
      </c>
      <c r="AI7" t="s">
        <v>787</v>
      </c>
    </row>
    <row r="8" spans="1:37">
      <c r="A8" s="4" t="s">
        <v>47</v>
      </c>
      <c r="B8" s="5">
        <v>0</v>
      </c>
      <c r="D8" s="4" t="s">
        <v>47</v>
      </c>
      <c r="E8" s="5">
        <v>10149889</v>
      </c>
      <c r="F8" s="5">
        <v>10149889</v>
      </c>
      <c r="G8" s="5">
        <v>10149889</v>
      </c>
      <c r="H8" s="173"/>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3"/>
      <c r="X8" s="4" t="s">
        <v>47</v>
      </c>
      <c r="Y8" s="6">
        <v>7.90240478515625</v>
      </c>
      <c r="Z8" s="6">
        <v>7.90240478515625</v>
      </c>
      <c r="AA8" s="6">
        <v>7.90240478515625</v>
      </c>
      <c r="AB8" s="173"/>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3"/>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3"/>
      <c r="X9" s="4" t="s">
        <v>17</v>
      </c>
      <c r="Y9" s="6">
        <v>7.90240478515625</v>
      </c>
      <c r="Z9" s="6">
        <v>7.90240478515625</v>
      </c>
      <c r="AA9" s="6">
        <v>7.90240478515625</v>
      </c>
      <c r="AB9" s="173"/>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L21"/>
  <sheetViews>
    <sheetView workbookViewId="0"/>
  </sheetViews>
  <sheetFormatPr defaultRowHeight="14.4"/>
  <cols>
    <col min="1" max="1" width="12.33203125" style="205" customWidth="1"/>
    <col min="2" max="2" width="8.88671875" style="205"/>
    <col min="3" max="3" width="10.77734375" style="194" bestFit="1" customWidth="1"/>
    <col min="4" max="4" width="22.5546875" style="194" bestFit="1" customWidth="1"/>
    <col min="5" max="5" width="8.88671875" style="194"/>
    <col min="6" max="6" width="10.77734375" bestFit="1" customWidth="1"/>
    <col min="7" max="7" width="34.33203125" bestFit="1" customWidth="1"/>
    <col min="8" max="8" width="12" bestFit="1" customWidth="1"/>
    <col min="9" max="9" width="10.109375" bestFit="1" customWidth="1"/>
    <col min="11" max="11" width="10.77734375" bestFit="1" customWidth="1"/>
    <col min="12" max="12" width="33.88671875" bestFit="1" customWidth="1"/>
    <col min="13" max="13" width="11.6640625" bestFit="1" customWidth="1"/>
    <col min="14" max="14" width="8.33203125" customWidth="1"/>
    <col min="16" max="16" width="10.77734375" bestFit="1" customWidth="1"/>
    <col min="17" max="17" width="30.77734375" bestFit="1" customWidth="1"/>
    <col min="18" max="18" width="9.109375" bestFit="1" customWidth="1"/>
    <col min="19" max="19" width="9.88671875" bestFit="1" customWidth="1"/>
    <col min="21" max="21" width="10.77734375" bestFit="1" customWidth="1"/>
    <col min="22" max="22" width="34.21875" bestFit="1" customWidth="1"/>
    <col min="23" max="23" width="8.6640625" customWidth="1"/>
    <col min="24" max="24" width="12.21875" bestFit="1" customWidth="1"/>
    <col min="26" max="26" width="10.77734375" bestFit="1" customWidth="1"/>
    <col min="27" max="27" width="33.77734375" bestFit="1" customWidth="1"/>
    <col min="28" max="28" width="8.33203125" customWidth="1"/>
    <col min="29" max="29" width="11.88671875" bestFit="1" customWidth="1"/>
    <col min="31" max="31" width="16.44140625" bestFit="1" customWidth="1"/>
    <col min="32" max="32" width="30.6640625" bestFit="1" customWidth="1"/>
    <col min="33" max="33" width="9.88671875" bestFit="1" customWidth="1"/>
    <col min="34" max="34" width="13.5546875" bestFit="1" customWidth="1"/>
    <col min="36" max="36" width="16.44140625" bestFit="1" customWidth="1"/>
    <col min="37" max="37" width="30.33203125" bestFit="1" customWidth="1"/>
  </cols>
  <sheetData>
    <row r="1" spans="1:38" s="173" customFormat="1">
      <c r="A1" s="28"/>
      <c r="B1" s="28"/>
      <c r="C1" s="213" t="s">
        <v>0</v>
      </c>
      <c r="D1" s="214" t="s">
        <v>16</v>
      </c>
      <c r="E1" s="194"/>
      <c r="F1" s="246" t="s">
        <v>772</v>
      </c>
      <c r="G1" s="247"/>
      <c r="H1" s="245"/>
      <c r="I1" s="245"/>
      <c r="J1" s="245"/>
      <c r="K1" s="245"/>
      <c r="L1" s="245"/>
      <c r="M1" s="245"/>
      <c r="N1" s="245"/>
      <c r="O1" s="245"/>
      <c r="P1" s="246"/>
      <c r="Q1" s="247"/>
      <c r="R1" s="245"/>
      <c r="S1" s="245"/>
      <c r="T1" s="245"/>
      <c r="U1" s="245"/>
      <c r="V1" s="245"/>
      <c r="W1" s="245"/>
      <c r="X1" s="245"/>
      <c r="Y1" s="245"/>
      <c r="Z1" s="246"/>
      <c r="AA1" s="247"/>
      <c r="AB1" s="245"/>
      <c r="AC1" s="245"/>
      <c r="AD1" s="245"/>
      <c r="AE1" s="245"/>
      <c r="AF1" s="245"/>
      <c r="AG1" s="245"/>
      <c r="AH1" s="245"/>
      <c r="AI1" s="245"/>
      <c r="AJ1" s="246"/>
      <c r="AK1" s="247"/>
      <c r="AL1" s="245"/>
    </row>
    <row r="2" spans="1:38">
      <c r="A2" s="28"/>
      <c r="B2" s="28"/>
      <c r="C2" s="213" t="s">
        <v>1</v>
      </c>
      <c r="D2" s="214" t="s">
        <v>16</v>
      </c>
      <c r="F2" s="173"/>
      <c r="G2" s="173"/>
      <c r="H2" s="172"/>
      <c r="I2" s="172"/>
      <c r="J2" s="172"/>
      <c r="K2" s="173"/>
      <c r="L2" s="173"/>
      <c r="M2" s="172"/>
      <c r="N2" s="172"/>
      <c r="O2" s="173"/>
      <c r="P2" s="173"/>
      <c r="Q2" s="173"/>
      <c r="R2" s="172"/>
      <c r="S2" s="172"/>
      <c r="T2" s="173"/>
      <c r="U2" s="173"/>
      <c r="V2" s="173"/>
      <c r="W2" s="172"/>
      <c r="X2" s="172"/>
      <c r="Y2" s="172"/>
      <c r="Z2" s="173"/>
      <c r="AA2" s="173"/>
      <c r="AB2" s="172"/>
      <c r="AC2" s="172"/>
      <c r="AD2" s="173"/>
      <c r="AE2" s="173"/>
      <c r="AF2" s="173"/>
      <c r="AG2" s="172"/>
      <c r="AH2" s="172"/>
      <c r="AI2" s="173"/>
      <c r="AJ2" s="173"/>
      <c r="AK2" s="173"/>
    </row>
    <row r="3" spans="1:38">
      <c r="A3" s="28"/>
      <c r="B3" s="28"/>
      <c r="C3" s="213" t="s">
        <v>2</v>
      </c>
      <c r="D3" s="214" t="s">
        <v>16</v>
      </c>
      <c r="E3" s="28"/>
      <c r="F3" s="213" t="s">
        <v>0</v>
      </c>
      <c r="G3" s="214" t="s">
        <v>16</v>
      </c>
      <c r="H3" s="173"/>
      <c r="I3" s="173"/>
      <c r="J3" s="173"/>
      <c r="K3" s="213" t="s">
        <v>0</v>
      </c>
      <c r="L3" s="214" t="s">
        <v>16</v>
      </c>
      <c r="M3" s="173"/>
      <c r="N3" s="173"/>
      <c r="O3" s="173"/>
      <c r="P3" s="213" t="s">
        <v>0</v>
      </c>
      <c r="Q3" s="214" t="s">
        <v>16</v>
      </c>
      <c r="R3" s="173"/>
      <c r="S3" s="173"/>
      <c r="T3" s="173"/>
      <c r="U3" s="213" t="s">
        <v>0</v>
      </c>
      <c r="V3" s="214" t="s">
        <v>16</v>
      </c>
      <c r="W3" s="173"/>
      <c r="X3" s="173"/>
      <c r="Y3" s="173"/>
      <c r="Z3" s="213" t="s">
        <v>0</v>
      </c>
      <c r="AA3" s="214" t="s">
        <v>16</v>
      </c>
      <c r="AB3" s="173"/>
      <c r="AC3" s="173"/>
      <c r="AD3" s="173"/>
      <c r="AE3" s="213" t="s">
        <v>0</v>
      </c>
      <c r="AF3" s="214" t="s">
        <v>16</v>
      </c>
      <c r="AG3" s="173"/>
      <c r="AH3" s="173"/>
      <c r="AI3" s="173"/>
      <c r="AJ3" s="213" t="s">
        <v>0</v>
      </c>
      <c r="AK3" s="214" t="s">
        <v>16</v>
      </c>
    </row>
    <row r="4" spans="1:38">
      <c r="A4" s="28"/>
      <c r="B4" s="28"/>
      <c r="C4" s="213" t="s">
        <v>51</v>
      </c>
      <c r="D4" s="214" t="s">
        <v>16</v>
      </c>
      <c r="E4" s="28"/>
      <c r="F4" s="213" t="s">
        <v>51</v>
      </c>
      <c r="G4" s="214" t="s">
        <v>16</v>
      </c>
      <c r="H4" s="173"/>
      <c r="I4" s="173"/>
      <c r="J4" s="173"/>
      <c r="K4" s="213" t="s">
        <v>51</v>
      </c>
      <c r="L4" s="214" t="s">
        <v>16</v>
      </c>
      <c r="M4" s="173"/>
      <c r="N4" s="173"/>
      <c r="O4" s="173"/>
      <c r="P4" s="213" t="s">
        <v>51</v>
      </c>
      <c r="Q4" s="214" t="s">
        <v>16</v>
      </c>
      <c r="R4" s="173"/>
      <c r="S4" s="173"/>
      <c r="T4" s="173"/>
      <c r="U4" s="213" t="s">
        <v>51</v>
      </c>
      <c r="V4" s="214" t="s">
        <v>16</v>
      </c>
      <c r="W4" s="173"/>
      <c r="X4" s="173"/>
      <c r="Y4" s="173"/>
      <c r="Z4" s="213" t="s">
        <v>51</v>
      </c>
      <c r="AA4" s="214" t="s">
        <v>16</v>
      </c>
      <c r="AB4" s="173"/>
      <c r="AC4" s="173"/>
      <c r="AD4" s="173"/>
      <c r="AE4" s="213" t="s">
        <v>51</v>
      </c>
      <c r="AF4" s="214" t="s">
        <v>16</v>
      </c>
      <c r="AG4" s="173"/>
      <c r="AH4" s="173"/>
      <c r="AI4" s="173"/>
      <c r="AJ4" s="213" t="s">
        <v>51</v>
      </c>
      <c r="AK4" s="214" t="s">
        <v>16</v>
      </c>
    </row>
    <row r="5" spans="1:38">
      <c r="A5" s="28"/>
      <c r="B5" s="28"/>
      <c r="C5" s="213" t="s">
        <v>3</v>
      </c>
      <c r="D5" s="214" t="s">
        <v>33</v>
      </c>
      <c r="F5" s="213" t="s">
        <v>3</v>
      </c>
      <c r="G5" s="214" t="s">
        <v>764</v>
      </c>
      <c r="H5" s="173"/>
      <c r="I5" s="173"/>
      <c r="J5" s="173"/>
      <c r="K5" s="213" t="s">
        <v>3</v>
      </c>
      <c r="L5" s="214" t="s">
        <v>765</v>
      </c>
      <c r="M5" s="173"/>
      <c r="N5" s="173"/>
      <c r="O5" s="173"/>
      <c r="P5" s="213" t="s">
        <v>3</v>
      </c>
      <c r="Q5" s="214" t="s">
        <v>766</v>
      </c>
      <c r="R5" s="173"/>
      <c r="S5" s="173"/>
      <c r="T5" s="173"/>
      <c r="U5" s="213" t="s">
        <v>3</v>
      </c>
      <c r="V5" s="214" t="s">
        <v>767</v>
      </c>
      <c r="W5" s="173"/>
      <c r="X5" s="173"/>
      <c r="Y5" s="173"/>
      <c r="Z5" s="213" t="s">
        <v>3</v>
      </c>
      <c r="AA5" s="214" t="s">
        <v>768</v>
      </c>
      <c r="AB5" s="173"/>
      <c r="AC5" s="173"/>
      <c r="AD5" s="173"/>
      <c r="AE5" s="213" t="s">
        <v>3</v>
      </c>
      <c r="AF5" s="214" t="s">
        <v>769</v>
      </c>
      <c r="AG5" s="173"/>
      <c r="AH5" s="173"/>
      <c r="AI5" s="173"/>
      <c r="AJ5" s="213" t="s">
        <v>3</v>
      </c>
      <c r="AK5" s="214" t="s">
        <v>770</v>
      </c>
    </row>
    <row r="6" spans="1:38">
      <c r="A6" s="28"/>
      <c r="B6" s="28"/>
      <c r="F6" s="173"/>
      <c r="G6" s="173"/>
      <c r="H6" s="173"/>
      <c r="I6" s="173"/>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row>
    <row r="7" spans="1:38">
      <c r="A7" s="22" t="s">
        <v>680</v>
      </c>
      <c r="B7" s="22" t="s">
        <v>119</v>
      </c>
      <c r="C7" s="213" t="s">
        <v>286</v>
      </c>
      <c r="D7" t="s">
        <v>835</v>
      </c>
      <c r="F7" s="213" t="s">
        <v>286</v>
      </c>
      <c r="G7" s="214" t="s">
        <v>773</v>
      </c>
      <c r="H7" s="214" t="s">
        <v>774</v>
      </c>
      <c r="I7" s="214" t="s">
        <v>775</v>
      </c>
      <c r="J7" s="173"/>
      <c r="K7" s="213" t="s">
        <v>286</v>
      </c>
      <c r="L7" s="214" t="s">
        <v>778</v>
      </c>
      <c r="M7" s="214" t="s">
        <v>776</v>
      </c>
      <c r="N7" s="214" t="s">
        <v>777</v>
      </c>
      <c r="O7" s="173"/>
      <c r="P7" s="213" t="s">
        <v>286</v>
      </c>
      <c r="Q7" s="214" t="s">
        <v>779</v>
      </c>
      <c r="R7" s="214" t="s">
        <v>239</v>
      </c>
      <c r="S7" s="214" t="s">
        <v>780</v>
      </c>
      <c r="T7" s="173"/>
      <c r="U7" s="213" t="s">
        <v>286</v>
      </c>
      <c r="V7" s="214" t="s">
        <v>781</v>
      </c>
      <c r="W7" s="214" t="s">
        <v>775</v>
      </c>
      <c r="X7" s="214" t="s">
        <v>782</v>
      </c>
      <c r="Y7" s="173"/>
      <c r="Z7" s="213" t="s">
        <v>286</v>
      </c>
      <c r="AA7" s="214" t="s">
        <v>783</v>
      </c>
      <c r="AB7" s="214" t="s">
        <v>777</v>
      </c>
      <c r="AC7" s="214" t="s">
        <v>784</v>
      </c>
      <c r="AD7" s="173"/>
      <c r="AE7" s="213" t="s">
        <v>719</v>
      </c>
      <c r="AF7" s="214" t="s">
        <v>785</v>
      </c>
      <c r="AG7" s="214" t="s">
        <v>780</v>
      </c>
      <c r="AH7" s="214" t="s">
        <v>786</v>
      </c>
      <c r="AI7" s="173"/>
      <c r="AJ7" s="213" t="s">
        <v>719</v>
      </c>
      <c r="AK7" t="s">
        <v>787</v>
      </c>
    </row>
    <row r="8" spans="1:38">
      <c r="A8" s="26" t="str">
        <f>INDEX('OS-Machine Info'!$B:$B,MATCH(C8,'OS-Machine Info'!$A:$A,0))</f>
        <v>TestDC</v>
      </c>
      <c r="B8" s="26">
        <f>INDEX('Node Information'!J:$J,MATCH(C8,'Node Information'!$A:$A,0))</f>
        <v>6.5428240740740704E-2</v>
      </c>
      <c r="C8" s="4" t="s">
        <v>48</v>
      </c>
      <c r="D8" s="5">
        <v>0</v>
      </c>
      <c r="F8" s="4" t="s">
        <v>48</v>
      </c>
      <c r="G8" s="5">
        <v>10149889</v>
      </c>
      <c r="H8" s="5">
        <v>10149889</v>
      </c>
      <c r="I8" s="5">
        <v>10149889</v>
      </c>
      <c r="J8" s="173"/>
      <c r="K8" s="4" t="s">
        <v>48</v>
      </c>
      <c r="L8" s="5">
        <v>216159</v>
      </c>
      <c r="M8" s="5">
        <v>216159</v>
      </c>
      <c r="N8" s="5">
        <v>216159</v>
      </c>
      <c r="O8" s="173"/>
      <c r="P8" s="4" t="s">
        <v>48</v>
      </c>
      <c r="Q8" s="5">
        <v>5706858</v>
      </c>
      <c r="R8" s="5">
        <v>5706858</v>
      </c>
      <c r="S8" s="5">
        <v>5706858</v>
      </c>
      <c r="T8" s="173"/>
      <c r="U8" s="4" t="s">
        <v>48</v>
      </c>
      <c r="V8" s="6">
        <v>240.49652033003522</v>
      </c>
      <c r="W8" s="6">
        <v>240.49652033003522</v>
      </c>
      <c r="X8" s="6">
        <v>240.49652033003522</v>
      </c>
      <c r="Y8" s="173"/>
      <c r="Z8" s="4" t="s">
        <v>48</v>
      </c>
      <c r="AA8" s="6">
        <v>7.90240478515625</v>
      </c>
      <c r="AB8" s="6">
        <v>7.90240478515625</v>
      </c>
      <c r="AC8" s="6">
        <v>7.90240478515625</v>
      </c>
      <c r="AD8" s="173"/>
      <c r="AE8" s="4" t="s">
        <v>48</v>
      </c>
      <c r="AF8" s="6">
        <v>240.49652033003522</v>
      </c>
      <c r="AG8" s="6">
        <v>240.49652033003522</v>
      </c>
      <c r="AH8" s="6">
        <v>240.49652033003522</v>
      </c>
      <c r="AI8" s="173"/>
      <c r="AJ8" s="4" t="s">
        <v>48</v>
      </c>
      <c r="AK8" s="6">
        <v>15151.280780792236</v>
      </c>
    </row>
    <row r="9" spans="1:38">
      <c r="C9" s="4" t="s">
        <v>17</v>
      </c>
      <c r="D9" s="5">
        <v>0</v>
      </c>
      <c r="E9"/>
      <c r="F9" s="4" t="s">
        <v>17</v>
      </c>
      <c r="G9" s="5">
        <v>10149889</v>
      </c>
      <c r="H9" s="5">
        <v>10149889</v>
      </c>
      <c r="I9" s="5">
        <v>10149889</v>
      </c>
      <c r="J9" s="173"/>
      <c r="K9" s="4" t="s">
        <v>17</v>
      </c>
      <c r="L9" s="5">
        <v>216159</v>
      </c>
      <c r="M9" s="5">
        <v>216159</v>
      </c>
      <c r="N9" s="5">
        <v>216159</v>
      </c>
      <c r="O9" s="173"/>
      <c r="P9" s="4" t="s">
        <v>17</v>
      </c>
      <c r="Q9" s="5">
        <v>5706858</v>
      </c>
      <c r="R9" s="5">
        <v>5706858</v>
      </c>
      <c r="S9" s="5">
        <v>5706858</v>
      </c>
      <c r="T9" s="173"/>
      <c r="U9" s="4" t="s">
        <v>17</v>
      </c>
      <c r="V9" s="6">
        <v>240.49652033003522</v>
      </c>
      <c r="W9" s="6">
        <v>240.49652033003522</v>
      </c>
      <c r="X9" s="6">
        <v>240.49652033003522</v>
      </c>
      <c r="Y9" s="173"/>
      <c r="Z9" s="4" t="s">
        <v>17</v>
      </c>
      <c r="AA9" s="6">
        <v>7.90240478515625</v>
      </c>
      <c r="AB9" s="6">
        <v>7.90240478515625</v>
      </c>
      <c r="AC9" s="6">
        <v>7.90240478515625</v>
      </c>
      <c r="AD9" s="173"/>
      <c r="AE9" s="4" t="s">
        <v>17</v>
      </c>
      <c r="AF9" s="6">
        <v>240.49652033003522</v>
      </c>
      <c r="AG9" s="6">
        <v>240.49652033003522</v>
      </c>
      <c r="AH9" s="6">
        <v>240.49652033003522</v>
      </c>
      <c r="AI9" s="173"/>
      <c r="AJ9" s="4" t="s">
        <v>17</v>
      </c>
      <c r="AK9" s="6">
        <v>15151.280780792236</v>
      </c>
    </row>
    <row r="10" spans="1:38">
      <c r="C10" s="4"/>
      <c r="D10" s="5"/>
      <c r="E10"/>
    </row>
    <row r="11" spans="1:38">
      <c r="C11" s="4"/>
      <c r="D11" s="5"/>
      <c r="E11"/>
    </row>
    <row r="13" spans="1:38">
      <c r="G13" s="194"/>
      <c r="H13" s="194"/>
    </row>
    <row r="14" spans="1:38">
      <c r="G14" s="194"/>
      <c r="H14" s="194"/>
    </row>
    <row r="15" spans="1:38">
      <c r="G15" s="194"/>
      <c r="H15" s="194"/>
    </row>
    <row r="16" spans="1:38">
      <c r="G16" s="194"/>
      <c r="H16" s="194"/>
    </row>
    <row r="17" spans="7:8">
      <c r="G17" s="194"/>
      <c r="H17" s="194"/>
    </row>
    <row r="18" spans="7:8">
      <c r="G18" s="194"/>
      <c r="H18" s="194"/>
    </row>
    <row r="19" spans="7:8">
      <c r="G19" s="194"/>
      <c r="H19" s="194"/>
    </row>
    <row r="20" spans="7:8">
      <c r="G20" s="4"/>
      <c r="H20" s="5"/>
    </row>
    <row r="21" spans="7:8">
      <c r="G21" s="4"/>
      <c r="H21" s="5"/>
    </row>
  </sheetData>
  <mergeCells count="4">
    <mergeCell ref="F1:O1"/>
    <mergeCell ref="P1:Y1"/>
    <mergeCell ref="Z1:AI1"/>
    <mergeCell ref="AJ1:AL1"/>
  </mergeCells>
  <conditionalFormatting sqref="H13:H19">
    <cfRule type="colorScale" priority="2">
      <colorScale>
        <cfvo type="num" val="0"/>
        <cfvo type="num" val="1"/>
        <cfvo type="max"/>
        <color rgb="FF00B050"/>
        <color rgb="FF92D050"/>
        <color rgb="FFFF0000"/>
      </colorScale>
    </cfRule>
  </conditionalFormatting>
  <conditionalFormatting sqref="D1:D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42" t="s">
        <v>143</v>
      </c>
      <c r="B2" s="243"/>
      <c r="C2" s="243"/>
      <c r="D2" s="243"/>
      <c r="E2" s="243"/>
      <c r="F2" s="243"/>
      <c r="G2" s="243"/>
      <c r="H2" s="243"/>
      <c r="I2" s="243"/>
      <c r="J2" s="243"/>
      <c r="K2" s="243"/>
      <c r="L2" s="244" t="s">
        <v>365</v>
      </c>
      <c r="M2" s="245"/>
      <c r="N2" s="245"/>
      <c r="O2" s="245"/>
      <c r="P2" s="245"/>
      <c r="Q2" s="245"/>
      <c r="R2" s="245"/>
    </row>
    <row r="3" spans="1:18">
      <c r="A3" s="51"/>
      <c r="B3" s="52"/>
      <c r="C3" s="52"/>
      <c r="D3" s="168"/>
      <c r="E3" s="52"/>
      <c r="F3" s="52"/>
      <c r="G3" s="52"/>
      <c r="H3" s="52"/>
      <c r="I3" s="52"/>
      <c r="J3" s="52"/>
      <c r="K3" s="52"/>
      <c r="N3" s="50"/>
      <c r="O3" s="46"/>
      <c r="R3" s="152"/>
    </row>
    <row r="4" spans="1:18">
      <c r="C4" s="30"/>
      <c r="D4" s="30"/>
      <c r="E4" s="30"/>
      <c r="K4" s="30"/>
      <c r="L4" s="213" t="s">
        <v>0</v>
      </c>
      <c r="M4" s="214" t="s">
        <v>16</v>
      </c>
      <c r="P4" s="213" t="s">
        <v>0</v>
      </c>
      <c r="Q4" s="214" t="s">
        <v>16</v>
      </c>
      <c r="R4" s="153"/>
    </row>
    <row r="5" spans="1:18">
      <c r="A5" s="213" t="s">
        <v>0</v>
      </c>
      <c r="B5" s="214" t="s">
        <v>16</v>
      </c>
      <c r="C5" s="30"/>
      <c r="D5" s="30"/>
      <c r="E5" s="30"/>
      <c r="F5" s="213" t="s">
        <v>0</v>
      </c>
      <c r="G5" s="214" t="s">
        <v>16</v>
      </c>
      <c r="I5" s="213" t="s">
        <v>0</v>
      </c>
      <c r="J5" s="214" t="s">
        <v>16</v>
      </c>
      <c r="K5" s="30"/>
      <c r="L5" s="213" t="s">
        <v>51</v>
      </c>
      <c r="M5" s="214" t="s">
        <v>16</v>
      </c>
      <c r="P5" s="213" t="s">
        <v>51</v>
      </c>
      <c r="Q5" s="214" t="s">
        <v>16</v>
      </c>
      <c r="R5" s="153"/>
    </row>
    <row r="6" spans="1:18">
      <c r="A6" s="213" t="s">
        <v>3</v>
      </c>
      <c r="B6" s="214" t="s">
        <v>110</v>
      </c>
      <c r="C6" s="30"/>
      <c r="D6" s="30"/>
      <c r="E6" s="30"/>
      <c r="F6" s="213" t="s">
        <v>3</v>
      </c>
      <c r="G6" s="214" t="s">
        <v>112</v>
      </c>
      <c r="I6" s="213" t="s">
        <v>3</v>
      </c>
      <c r="J6" s="214" t="s">
        <v>141</v>
      </c>
      <c r="K6" s="30"/>
      <c r="L6" s="213" t="s">
        <v>3</v>
      </c>
      <c r="M6" s="214" t="s">
        <v>15</v>
      </c>
      <c r="P6" s="213" t="s">
        <v>3</v>
      </c>
      <c r="Q6" s="214" t="s">
        <v>45</v>
      </c>
      <c r="R6" s="153"/>
    </row>
    <row r="7" spans="1:18">
      <c r="P7" s="153"/>
      <c r="Q7" s="153"/>
      <c r="R7" s="153"/>
    </row>
    <row r="8" spans="1:18">
      <c r="A8" s="213" t="s">
        <v>719</v>
      </c>
      <c r="B8" s="214" t="s">
        <v>289</v>
      </c>
      <c r="C8" s="214" t="s">
        <v>239</v>
      </c>
      <c r="D8" s="214" t="s">
        <v>406</v>
      </c>
      <c r="F8" s="213" t="s">
        <v>719</v>
      </c>
      <c r="G8" t="s">
        <v>288</v>
      </c>
      <c r="I8" s="213" t="s">
        <v>719</v>
      </c>
      <c r="J8" t="s">
        <v>287</v>
      </c>
      <c r="L8" s="213" t="s">
        <v>719</v>
      </c>
      <c r="M8" s="214" t="s">
        <v>290</v>
      </c>
      <c r="N8" s="214" t="s">
        <v>403</v>
      </c>
      <c r="O8" s="164" t="s">
        <v>732</v>
      </c>
      <c r="P8" s="213" t="s">
        <v>719</v>
      </c>
      <c r="Q8" s="214" t="s">
        <v>700</v>
      </c>
      <c r="R8" s="214"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5"/>
    </row>
  </sheetData>
  <mergeCells count="2">
    <mergeCell ref="A2:K2"/>
    <mergeCell ref="L2:R2"/>
  </mergeCells>
  <conditionalFormatting sqref="O9">
    <cfRule type="cellIs" dxfId="442" priority="1" operator="lessThan">
      <formula>0.25</formula>
    </cfRule>
    <cfRule type="cellIs" dxfId="441"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02"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42" t="s">
        <v>143</v>
      </c>
      <c r="D1" s="243"/>
      <c r="E1" s="243"/>
      <c r="F1" s="243"/>
      <c r="G1" s="243"/>
      <c r="H1" s="243"/>
      <c r="I1" s="243"/>
      <c r="J1" s="243"/>
      <c r="K1" s="243"/>
      <c r="L1" s="243"/>
      <c r="M1" s="243"/>
      <c r="N1" s="200"/>
      <c r="O1" s="244" t="s">
        <v>365</v>
      </c>
      <c r="P1" s="245"/>
      <c r="Q1" s="245"/>
      <c r="R1" s="245"/>
      <c r="S1" s="245"/>
      <c r="T1" s="245"/>
      <c r="U1" s="245"/>
    </row>
    <row r="2" spans="1:21">
      <c r="A2" s="28"/>
      <c r="B2" s="28"/>
      <c r="C2" s="51"/>
      <c r="D2" s="52"/>
      <c r="E2" s="52"/>
      <c r="F2" s="168"/>
      <c r="G2" s="52"/>
      <c r="H2" s="52"/>
      <c r="I2" s="52"/>
      <c r="J2" s="52"/>
      <c r="K2" s="52"/>
      <c r="L2" s="52"/>
      <c r="M2" s="52"/>
      <c r="N2" s="200"/>
      <c r="O2" s="213" t="s">
        <v>0</v>
      </c>
      <c r="P2" s="214" t="s">
        <v>16</v>
      </c>
      <c r="Q2" s="50"/>
      <c r="S2" s="213" t="s">
        <v>0</v>
      </c>
      <c r="T2" s="214" t="s">
        <v>16</v>
      </c>
      <c r="U2" s="152"/>
    </row>
    <row r="3" spans="1:21">
      <c r="A3" s="28"/>
      <c r="B3" s="28"/>
      <c r="C3" s="213" t="s">
        <v>0</v>
      </c>
      <c r="D3" s="214" t="s">
        <v>16</v>
      </c>
      <c r="H3" s="213" t="s">
        <v>0</v>
      </c>
      <c r="I3" s="214" t="s">
        <v>16</v>
      </c>
      <c r="K3" s="213" t="s">
        <v>0</v>
      </c>
      <c r="L3" s="214" t="s">
        <v>16</v>
      </c>
      <c r="O3" s="213" t="s">
        <v>1</v>
      </c>
      <c r="P3" s="214" t="s">
        <v>16</v>
      </c>
      <c r="S3" s="213" t="s">
        <v>1</v>
      </c>
      <c r="T3" s="214" t="s">
        <v>16</v>
      </c>
      <c r="U3" s="153"/>
    </row>
    <row r="4" spans="1:21">
      <c r="A4" s="28"/>
      <c r="B4" s="28"/>
      <c r="C4" s="213" t="s">
        <v>1</v>
      </c>
      <c r="D4" s="214" t="s">
        <v>16</v>
      </c>
      <c r="E4" s="30"/>
      <c r="F4" s="30"/>
      <c r="G4" s="30"/>
      <c r="H4" s="213" t="s">
        <v>1</v>
      </c>
      <c r="I4" s="214" t="s">
        <v>16</v>
      </c>
      <c r="K4" s="213" t="s">
        <v>1</v>
      </c>
      <c r="L4" s="214" t="s">
        <v>16</v>
      </c>
      <c r="M4" s="30"/>
      <c r="N4" s="30"/>
      <c r="O4" s="213" t="s">
        <v>2</v>
      </c>
      <c r="P4" s="214" t="s">
        <v>16</v>
      </c>
      <c r="S4" s="213" t="s">
        <v>2</v>
      </c>
      <c r="T4" s="214" t="s">
        <v>16</v>
      </c>
      <c r="U4" s="153"/>
    </row>
    <row r="5" spans="1:21">
      <c r="A5" s="28"/>
      <c r="B5" s="28"/>
      <c r="C5" s="213" t="s">
        <v>2</v>
      </c>
      <c r="D5" s="214" t="s">
        <v>16</v>
      </c>
      <c r="E5" s="30"/>
      <c r="F5" s="30"/>
      <c r="G5" s="30"/>
      <c r="H5" s="213" t="s">
        <v>2</v>
      </c>
      <c r="I5" s="214" t="s">
        <v>16</v>
      </c>
      <c r="K5" s="213" t="s">
        <v>2</v>
      </c>
      <c r="L5" s="214" t="s">
        <v>16</v>
      </c>
      <c r="M5" s="30"/>
      <c r="N5" s="30"/>
      <c r="O5" s="213" t="s">
        <v>51</v>
      </c>
      <c r="P5" s="214" t="s">
        <v>16</v>
      </c>
      <c r="S5" s="213" t="s">
        <v>51</v>
      </c>
      <c r="T5" s="214" t="s">
        <v>16</v>
      </c>
      <c r="U5" s="153"/>
    </row>
    <row r="6" spans="1:21">
      <c r="A6" s="28"/>
      <c r="B6" s="28"/>
      <c r="C6" s="213" t="s">
        <v>3</v>
      </c>
      <c r="D6" s="214" t="s">
        <v>110</v>
      </c>
      <c r="E6" s="30"/>
      <c r="F6" s="30"/>
      <c r="G6" s="30"/>
      <c r="H6" s="213" t="s">
        <v>3</v>
      </c>
      <c r="I6" s="214" t="s">
        <v>112</v>
      </c>
      <c r="K6" s="213" t="s">
        <v>3</v>
      </c>
      <c r="L6" s="214" t="s">
        <v>141</v>
      </c>
      <c r="M6" s="30"/>
      <c r="N6" s="30"/>
      <c r="O6" s="213" t="s">
        <v>3</v>
      </c>
      <c r="P6" s="214" t="s">
        <v>15</v>
      </c>
      <c r="S6" s="213" t="s">
        <v>3</v>
      </c>
      <c r="T6" s="214" t="s">
        <v>45</v>
      </c>
      <c r="U6" s="153"/>
    </row>
    <row r="7" spans="1:21">
      <c r="A7" s="28"/>
      <c r="B7" s="28"/>
      <c r="S7" s="153"/>
      <c r="T7" s="153"/>
      <c r="U7" s="153"/>
    </row>
    <row r="8" spans="1:21" ht="28.8">
      <c r="A8" s="22" t="s">
        <v>680</v>
      </c>
      <c r="B8" s="22" t="s">
        <v>718</v>
      </c>
      <c r="C8" s="213" t="s">
        <v>286</v>
      </c>
      <c r="D8" s="214" t="s">
        <v>289</v>
      </c>
      <c r="E8" s="214" t="s">
        <v>239</v>
      </c>
      <c r="F8" s="214" t="s">
        <v>403</v>
      </c>
      <c r="H8" s="213" t="s">
        <v>286</v>
      </c>
      <c r="I8" t="s">
        <v>288</v>
      </c>
      <c r="K8" s="213" t="s">
        <v>286</v>
      </c>
      <c r="L8" t="s">
        <v>287</v>
      </c>
      <c r="N8" s="22" t="s">
        <v>119</v>
      </c>
      <c r="O8" s="213" t="s">
        <v>286</v>
      </c>
      <c r="P8" s="214" t="s">
        <v>290</v>
      </c>
      <c r="Q8" s="214" t="s">
        <v>403</v>
      </c>
      <c r="R8" s="164" t="s">
        <v>732</v>
      </c>
      <c r="S8" s="213" t="s">
        <v>286</v>
      </c>
      <c r="T8" s="214" t="s">
        <v>700</v>
      </c>
      <c r="U8" s="214"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440" priority="1" operator="lessThan">
      <formula>0.25</formula>
    </cfRule>
    <cfRule type="cellIs" dxfId="439"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topLeftCell="U1"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8" bestFit="1" customWidth="1"/>
    <col min="24" max="24" width="7.88671875" bestFit="1" customWidth="1"/>
    <col min="25" max="25" width="23.5546875" bestFit="1" customWidth="1"/>
    <col min="27" max="27" width="16.44140625" bestFit="1" customWidth="1"/>
    <col min="28" max="28" width="33.77734375" bestFit="1" customWidth="1"/>
    <col min="30" max="30" width="16.44140625" bestFit="1" customWidth="1"/>
    <col min="31" max="31" width="29.88671875" bestFit="1" customWidth="1"/>
  </cols>
  <sheetData>
    <row r="1" spans="1:31" s="28" customFormat="1">
      <c r="C1" s="246" t="s">
        <v>298</v>
      </c>
      <c r="D1" s="250"/>
      <c r="E1" s="250"/>
      <c r="F1" s="250"/>
      <c r="G1" s="250"/>
      <c r="H1" s="250"/>
      <c r="I1" s="250"/>
      <c r="J1" s="250"/>
      <c r="K1" s="250"/>
      <c r="L1" s="250"/>
      <c r="M1" s="250"/>
      <c r="O1" s="251" t="s">
        <v>843</v>
      </c>
      <c r="P1" s="252"/>
      <c r="Q1" s="252"/>
      <c r="R1" s="252"/>
      <c r="S1" s="252"/>
      <c r="T1" s="252"/>
      <c r="U1" s="198"/>
      <c r="V1" s="251" t="s">
        <v>844</v>
      </c>
      <c r="W1" s="252"/>
      <c r="X1" s="252"/>
      <c r="Y1" s="252"/>
      <c r="Z1" s="252"/>
      <c r="AA1" s="252"/>
      <c r="AB1" s="252"/>
      <c r="AC1" s="252"/>
      <c r="AD1" s="252"/>
      <c r="AE1" s="252"/>
    </row>
    <row r="2" spans="1:31">
      <c r="A2" s="28"/>
      <c r="B2" s="28"/>
      <c r="C2" s="246"/>
      <c r="D2" s="250"/>
      <c r="E2" s="250"/>
      <c r="F2" s="250"/>
      <c r="G2" s="250"/>
      <c r="H2" s="250"/>
      <c r="I2" s="250"/>
      <c r="J2" s="250"/>
      <c r="K2" s="250"/>
      <c r="L2" s="250"/>
      <c r="M2" s="250"/>
      <c r="O2" s="251"/>
      <c r="P2" s="252"/>
      <c r="Q2" s="252"/>
      <c r="R2" s="252"/>
      <c r="S2" s="252"/>
      <c r="T2" s="252"/>
      <c r="U2" s="10"/>
      <c r="V2" s="251"/>
      <c r="W2" s="252"/>
      <c r="X2" s="252"/>
      <c r="Y2" s="252"/>
      <c r="Z2" s="252"/>
      <c r="AA2" s="252"/>
      <c r="AB2" s="252"/>
      <c r="AC2" s="252"/>
      <c r="AD2" s="252"/>
      <c r="AE2" s="252"/>
    </row>
    <row r="3" spans="1:31">
      <c r="A3" s="28"/>
      <c r="B3" s="28"/>
      <c r="C3" s="213" t="s">
        <v>0</v>
      </c>
      <c r="D3" s="214" t="s">
        <v>16</v>
      </c>
      <c r="F3" s="213" t="s">
        <v>0</v>
      </c>
      <c r="G3" s="214" t="s">
        <v>16</v>
      </c>
      <c r="K3" s="213" t="s">
        <v>0</v>
      </c>
      <c r="L3" s="214" t="s">
        <v>16</v>
      </c>
      <c r="M3" s="49"/>
      <c r="O3" s="213" t="s">
        <v>0</v>
      </c>
      <c r="P3" s="214" t="s">
        <v>16</v>
      </c>
      <c r="Q3" s="10"/>
      <c r="R3" s="213" t="s">
        <v>0</v>
      </c>
      <c r="S3" s="214" t="s">
        <v>16</v>
      </c>
      <c r="T3" s="10"/>
      <c r="U3" s="10"/>
      <c r="V3" s="213" t="s">
        <v>0</v>
      </c>
      <c r="W3" s="214" t="s">
        <v>16</v>
      </c>
      <c r="X3" s="10"/>
      <c r="Y3" s="10"/>
      <c r="Z3" s="10"/>
      <c r="AA3" s="213" t="s">
        <v>0</v>
      </c>
      <c r="AB3" s="214" t="s">
        <v>16</v>
      </c>
      <c r="AC3" s="10"/>
      <c r="AD3" s="213" t="s">
        <v>0</v>
      </c>
      <c r="AE3" s="214" t="s">
        <v>16</v>
      </c>
    </row>
    <row r="4" spans="1:31">
      <c r="A4" s="28"/>
      <c r="B4" s="28"/>
      <c r="C4" s="213" t="s">
        <v>3</v>
      </c>
      <c r="D4" s="214" t="s">
        <v>284</v>
      </c>
      <c r="F4" s="213" t="s">
        <v>3</v>
      </c>
      <c r="G4" s="214" t="s">
        <v>323</v>
      </c>
      <c r="K4" s="213" t="s">
        <v>3</v>
      </c>
      <c r="L4" s="214" t="s">
        <v>324</v>
      </c>
      <c r="M4" s="49"/>
      <c r="O4" s="213" t="s">
        <v>3</v>
      </c>
      <c r="P4" s="214" t="s">
        <v>451</v>
      </c>
      <c r="Q4" s="10"/>
      <c r="R4" s="213" t="s">
        <v>3</v>
      </c>
      <c r="S4" s="214" t="s">
        <v>453</v>
      </c>
      <c r="T4" s="10"/>
      <c r="U4" s="10"/>
      <c r="V4" s="213" t="s">
        <v>3</v>
      </c>
      <c r="W4" s="214" t="s">
        <v>845</v>
      </c>
      <c r="X4" s="10"/>
      <c r="Y4" s="10"/>
      <c r="Z4" s="10"/>
      <c r="AA4" s="213" t="s">
        <v>3</v>
      </c>
      <c r="AB4" s="214" t="s">
        <v>846</v>
      </c>
      <c r="AC4" s="10"/>
      <c r="AD4" s="213" t="s">
        <v>3</v>
      </c>
      <c r="AE4" s="214" t="s">
        <v>847</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718</v>
      </c>
      <c r="C6" s="213" t="s">
        <v>286</v>
      </c>
      <c r="D6" t="s">
        <v>299</v>
      </c>
      <c r="F6" s="213" t="s">
        <v>286</v>
      </c>
      <c r="G6" s="214" t="s">
        <v>335</v>
      </c>
      <c r="H6" s="214" t="s">
        <v>239</v>
      </c>
      <c r="I6" s="214" t="s">
        <v>403</v>
      </c>
      <c r="K6" s="213" t="s">
        <v>286</v>
      </c>
      <c r="L6" s="214" t="s">
        <v>336</v>
      </c>
      <c r="M6" s="214" t="s">
        <v>407</v>
      </c>
      <c r="O6" s="213" t="s">
        <v>719</v>
      </c>
      <c r="P6" t="s">
        <v>457</v>
      </c>
      <c r="Q6" s="10"/>
      <c r="R6" s="213" t="s">
        <v>719</v>
      </c>
      <c r="S6" s="214" t="s">
        <v>458</v>
      </c>
      <c r="T6" s="214" t="s">
        <v>459</v>
      </c>
      <c r="U6" s="10"/>
      <c r="V6" s="213" t="s">
        <v>719</v>
      </c>
      <c r="W6" s="214" t="s">
        <v>850</v>
      </c>
      <c r="X6" s="214" t="s">
        <v>239</v>
      </c>
      <c r="Y6" s="214" t="s">
        <v>406</v>
      </c>
      <c r="Z6" s="10"/>
      <c r="AA6" s="213" t="s">
        <v>719</v>
      </c>
      <c r="AB6" t="s">
        <v>851</v>
      </c>
      <c r="AC6" s="10"/>
      <c r="AD6" s="213" t="s">
        <v>719</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214">
        <v>0</v>
      </c>
      <c r="K7" s="4" t="s">
        <v>48</v>
      </c>
      <c r="L7" s="5">
        <v>240</v>
      </c>
      <c r="M7" s="5">
        <v>0</v>
      </c>
      <c r="O7" s="4" t="s">
        <v>47</v>
      </c>
      <c r="P7" s="5">
        <v>7</v>
      </c>
      <c r="Q7" s="10"/>
      <c r="R7" s="4" t="s">
        <v>47</v>
      </c>
      <c r="S7" s="5">
        <v>2</v>
      </c>
      <c r="T7" s="5">
        <v>0</v>
      </c>
      <c r="U7" s="10"/>
      <c r="V7" s="4" t="s">
        <v>47</v>
      </c>
      <c r="W7" s="5">
        <v>20405</v>
      </c>
      <c r="X7" s="5">
        <v>20405</v>
      </c>
      <c r="Y7" s="5">
        <v>0</v>
      </c>
      <c r="Z7" s="199"/>
      <c r="AA7" s="4" t="s">
        <v>47</v>
      </c>
      <c r="AB7" s="5">
        <v>15527</v>
      </c>
      <c r="AC7" s="199"/>
      <c r="AD7" s="4" t="s">
        <v>47</v>
      </c>
      <c r="AE7" s="5">
        <v>4</v>
      </c>
    </row>
    <row r="8" spans="1:31">
      <c r="C8" s="4" t="s">
        <v>17</v>
      </c>
      <c r="D8" s="5">
        <v>368</v>
      </c>
      <c r="F8" s="4" t="s">
        <v>17</v>
      </c>
      <c r="G8" s="214">
        <v>396</v>
      </c>
      <c r="H8" s="5">
        <v>396</v>
      </c>
      <c r="I8" s="214">
        <v>0</v>
      </c>
      <c r="K8" s="4" t="s">
        <v>17</v>
      </c>
      <c r="L8" s="214">
        <v>240</v>
      </c>
      <c r="M8" s="5">
        <v>0</v>
      </c>
      <c r="O8" s="4" t="s">
        <v>17</v>
      </c>
      <c r="P8" s="5">
        <v>7</v>
      </c>
      <c r="Q8" s="10"/>
      <c r="R8" s="4" t="s">
        <v>17</v>
      </c>
      <c r="S8" s="5">
        <v>2</v>
      </c>
      <c r="T8" s="5">
        <v>0</v>
      </c>
      <c r="U8" s="10"/>
      <c r="V8" s="4" t="s">
        <v>17</v>
      </c>
      <c r="W8" s="5">
        <v>20405</v>
      </c>
      <c r="X8" s="5">
        <v>20405</v>
      </c>
      <c r="Y8" s="5">
        <v>0</v>
      </c>
      <c r="Z8" s="199"/>
      <c r="AA8" s="4" t="s">
        <v>17</v>
      </c>
      <c r="AB8" s="5">
        <v>15527</v>
      </c>
      <c r="AC8" s="199"/>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53" t="s">
        <v>291</v>
      </c>
      <c r="C4" s="245"/>
      <c r="D4" s="245"/>
      <c r="E4" s="245"/>
      <c r="F4" s="245"/>
      <c r="G4" s="245"/>
      <c r="H4" s="245"/>
      <c r="I4" s="245"/>
      <c r="J4" s="245"/>
      <c r="K4" s="245"/>
      <c r="L4" s="245"/>
      <c r="M4" s="245"/>
      <c r="N4" s="245"/>
      <c r="O4" s="245"/>
      <c r="P4" s="245"/>
      <c r="Q4" s="253"/>
      <c r="R4" s="245"/>
    </row>
    <row r="5" spans="1:18">
      <c r="A5" s="42"/>
      <c r="B5" s="204" t="s">
        <v>558</v>
      </c>
      <c r="C5" s="205" t="s">
        <v>16</v>
      </c>
      <c r="D5" s="42"/>
      <c r="E5" s="42"/>
      <c r="F5" s="42"/>
      <c r="G5" s="42"/>
      <c r="H5" s="42"/>
      <c r="I5" s="42"/>
      <c r="J5" s="42"/>
      <c r="K5" s="42"/>
      <c r="L5" s="42"/>
      <c r="M5" s="42"/>
      <c r="N5" s="42"/>
      <c r="O5" s="42"/>
      <c r="P5" s="42"/>
      <c r="Q5" s="42"/>
      <c r="R5" s="42"/>
    </row>
    <row r="6" spans="1:18">
      <c r="A6" s="42"/>
      <c r="B6" s="204" t="s">
        <v>0</v>
      </c>
      <c r="C6" s="205" t="s">
        <v>16</v>
      </c>
      <c r="D6" s="133"/>
      <c r="E6" s="133"/>
      <c r="F6" s="133"/>
      <c r="G6" s="133"/>
      <c r="H6" s="135"/>
      <c r="I6" s="133"/>
      <c r="J6" s="133"/>
      <c r="K6" s="133"/>
      <c r="L6" s="133"/>
      <c r="M6" s="135"/>
    </row>
    <row r="7" spans="1:18">
      <c r="A7" s="42"/>
    </row>
    <row r="8" spans="1:18">
      <c r="A8" s="22"/>
      <c r="B8" s="123" t="s">
        <v>788</v>
      </c>
      <c r="C8" s="124" t="s">
        <v>581</v>
      </c>
      <c r="D8" s="124" t="s">
        <v>579</v>
      </c>
      <c r="E8" s="124" t="s">
        <v>580</v>
      </c>
      <c r="F8" s="205" t="s">
        <v>602</v>
      </c>
      <c r="G8" s="124" t="s">
        <v>582</v>
      </c>
      <c r="H8" s="205" t="s">
        <v>746</v>
      </c>
      <c r="I8" s="124" t="s">
        <v>583</v>
      </c>
      <c r="J8" s="124" t="s">
        <v>588</v>
      </c>
      <c r="K8" s="205" t="s">
        <v>629</v>
      </c>
      <c r="L8" s="205" t="s">
        <v>630</v>
      </c>
      <c r="M8" s="205" t="s">
        <v>631</v>
      </c>
      <c r="N8" s="124" t="s">
        <v>584</v>
      </c>
      <c r="O8" s="205" t="s">
        <v>745</v>
      </c>
      <c r="P8" s="205"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53" t="s">
        <v>512</v>
      </c>
      <c r="D4" s="254"/>
      <c r="E4" s="254"/>
      <c r="F4" s="254"/>
      <c r="G4" s="254"/>
      <c r="H4" s="254"/>
      <c r="I4" s="254"/>
      <c r="J4" s="254"/>
      <c r="K4" s="254"/>
      <c r="L4" s="254"/>
      <c r="N4" s="253" t="s">
        <v>513</v>
      </c>
      <c r="O4" s="254"/>
      <c r="P4" s="254"/>
      <c r="Q4" s="254"/>
      <c r="R4" s="254"/>
      <c r="S4" s="254"/>
      <c r="T4" s="254"/>
      <c r="U4" s="254"/>
      <c r="V4" s="254"/>
      <c r="W4" s="254"/>
      <c r="Y4" s="253" t="s">
        <v>291</v>
      </c>
      <c r="Z4" s="254"/>
      <c r="AA4" s="254"/>
      <c r="AB4" s="254"/>
      <c r="AC4" s="254"/>
      <c r="AD4" s="254"/>
      <c r="AE4" s="254"/>
      <c r="AF4" s="254"/>
      <c r="AG4" s="254"/>
      <c r="AH4" s="254"/>
      <c r="AI4" s="250"/>
      <c r="AJ4" s="250"/>
      <c r="AK4" s="250"/>
      <c r="AL4" s="253"/>
      <c r="AM4" s="254"/>
      <c r="AN4" s="254"/>
    </row>
    <row r="5" spans="1:40">
      <c r="A5" s="28"/>
      <c r="B5" s="42"/>
      <c r="C5" s="213" t="s">
        <v>0</v>
      </c>
      <c r="D5" s="214" t="s">
        <v>16</v>
      </c>
      <c r="E5" s="30"/>
      <c r="H5" s="30"/>
      <c r="I5" s="213" t="s">
        <v>0</v>
      </c>
      <c r="J5" s="214" t="s">
        <v>16</v>
      </c>
      <c r="N5" s="213" t="s">
        <v>0</v>
      </c>
      <c r="O5" s="214" t="s">
        <v>16</v>
      </c>
      <c r="P5" s="30"/>
      <c r="S5" s="30"/>
      <c r="T5" s="213" t="s">
        <v>0</v>
      </c>
      <c r="U5" s="214" t="s">
        <v>16</v>
      </c>
      <c r="Y5" s="204" t="s">
        <v>558</v>
      </c>
      <c r="Z5" s="205" t="s">
        <v>16</v>
      </c>
      <c r="AA5" s="42"/>
      <c r="AB5" s="42"/>
      <c r="AC5" s="42"/>
      <c r="AD5" s="42"/>
      <c r="AE5" s="42"/>
      <c r="AF5" s="42"/>
      <c r="AG5" s="42"/>
      <c r="AH5" s="42"/>
      <c r="AI5" s="42"/>
      <c r="AJ5" s="42"/>
      <c r="AK5" s="42"/>
      <c r="AL5" s="42"/>
      <c r="AM5" s="42"/>
      <c r="AN5" s="42"/>
    </row>
    <row r="6" spans="1:40">
      <c r="A6" s="28"/>
      <c r="B6" s="42"/>
      <c r="C6" s="213" t="s">
        <v>3</v>
      </c>
      <c r="D6" s="214" t="s">
        <v>300</v>
      </c>
      <c r="E6" s="30"/>
      <c r="H6" s="30"/>
      <c r="I6" s="213" t="s">
        <v>3</v>
      </c>
      <c r="J6" s="214" t="s">
        <v>300</v>
      </c>
      <c r="N6" s="213" t="s">
        <v>3</v>
      </c>
      <c r="O6" s="214" t="s">
        <v>300</v>
      </c>
      <c r="P6" s="30"/>
      <c r="S6" s="30"/>
      <c r="T6" s="213" t="s">
        <v>3</v>
      </c>
      <c r="U6" s="214" t="s">
        <v>300</v>
      </c>
      <c r="Y6" s="204" t="s">
        <v>0</v>
      </c>
      <c r="Z6" s="205"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718</v>
      </c>
      <c r="C8" s="213" t="s">
        <v>286</v>
      </c>
      <c r="D8" s="214" t="s">
        <v>302</v>
      </c>
      <c r="E8" s="214" t="s">
        <v>405</v>
      </c>
      <c r="F8" s="214" t="s">
        <v>301</v>
      </c>
      <c r="G8" s="214" t="s">
        <v>404</v>
      </c>
      <c r="I8" s="213" t="s">
        <v>286</v>
      </c>
      <c r="J8" s="214" t="s">
        <v>306</v>
      </c>
      <c r="K8" s="214" t="s">
        <v>307</v>
      </c>
      <c r="L8" s="214" t="s">
        <v>308</v>
      </c>
      <c r="N8" s="213" t="s">
        <v>286</v>
      </c>
      <c r="O8" s="214" t="s">
        <v>302</v>
      </c>
      <c r="P8" s="214" t="s">
        <v>405</v>
      </c>
      <c r="Q8" s="214" t="s">
        <v>301</v>
      </c>
      <c r="R8" s="214" t="s">
        <v>404</v>
      </c>
      <c r="T8" s="213" t="s">
        <v>286</v>
      </c>
      <c r="U8" s="214" t="s">
        <v>306</v>
      </c>
      <c r="V8" s="214" t="s">
        <v>307</v>
      </c>
      <c r="W8" s="214" t="s">
        <v>308</v>
      </c>
      <c r="Y8" s="123" t="s">
        <v>286</v>
      </c>
      <c r="Z8" s="124" t="s">
        <v>581</v>
      </c>
      <c r="AA8" s="124" t="s">
        <v>579</v>
      </c>
      <c r="AB8" s="124" t="s">
        <v>580</v>
      </c>
      <c r="AC8" s="205" t="s">
        <v>602</v>
      </c>
      <c r="AD8" s="124" t="s">
        <v>582</v>
      </c>
      <c r="AE8" s="124" t="s">
        <v>587</v>
      </c>
      <c r="AF8" s="124" t="s">
        <v>583</v>
      </c>
      <c r="AG8" s="124" t="s">
        <v>588</v>
      </c>
      <c r="AH8" s="205" t="s">
        <v>746</v>
      </c>
      <c r="AI8" s="205" t="s">
        <v>676</v>
      </c>
      <c r="AJ8" s="124" t="s">
        <v>584</v>
      </c>
      <c r="AK8" s="205" t="s">
        <v>745</v>
      </c>
      <c r="AL8" s="205"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44140625" style="81" bestFit="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55" t="s">
        <v>144</v>
      </c>
      <c r="B2" s="243"/>
      <c r="C2" s="243"/>
      <c r="D2" s="243"/>
      <c r="E2" s="243"/>
      <c r="F2" s="243"/>
      <c r="G2" s="243"/>
      <c r="H2" s="243"/>
      <c r="I2" s="256"/>
      <c r="J2" s="81"/>
      <c r="K2" s="244" t="s">
        <v>354</v>
      </c>
      <c r="L2" s="250"/>
      <c r="M2" s="54"/>
      <c r="N2" s="244" t="s">
        <v>365</v>
      </c>
      <c r="O2" s="250"/>
      <c r="P2" s="250"/>
      <c r="Q2" s="250"/>
      <c r="R2" s="250"/>
      <c r="S2" s="250"/>
      <c r="T2" s="250"/>
      <c r="U2" s="250"/>
      <c r="V2" s="250"/>
      <c r="W2" s="250"/>
      <c r="X2" s="250"/>
      <c r="Y2" s="250"/>
    </row>
    <row r="3" spans="1:26" s="28" customFormat="1">
      <c r="A3"/>
      <c r="B3"/>
      <c r="C3" s="167"/>
      <c r="D3" s="52"/>
      <c r="E3"/>
      <c r="F3"/>
      <c r="G3" s="52"/>
      <c r="H3"/>
      <c r="I3"/>
      <c r="J3" s="81"/>
      <c r="K3"/>
      <c r="L3"/>
      <c r="M3" s="54"/>
      <c r="N3"/>
      <c r="O3"/>
      <c r="R3"/>
      <c r="S3"/>
      <c r="T3" s="31"/>
      <c r="V3"/>
      <c r="W3"/>
    </row>
    <row r="4" spans="1:26">
      <c r="A4" s="213" t="s">
        <v>147</v>
      </c>
      <c r="B4" s="214" t="s">
        <v>16</v>
      </c>
      <c r="D4" s="30"/>
      <c r="E4" s="213" t="s">
        <v>147</v>
      </c>
      <c r="F4" s="214" t="s">
        <v>16</v>
      </c>
      <c r="G4" s="30"/>
      <c r="H4" s="213" t="s">
        <v>147</v>
      </c>
      <c r="I4" s="214" t="s">
        <v>16</v>
      </c>
      <c r="K4" s="204" t="s">
        <v>147</v>
      </c>
      <c r="L4" s="205" t="s">
        <v>354</v>
      </c>
      <c r="N4" s="213" t="s">
        <v>0</v>
      </c>
      <c r="O4" s="214" t="s">
        <v>16</v>
      </c>
      <c r="Q4" s="8"/>
      <c r="R4" s="213" t="s">
        <v>0</v>
      </c>
      <c r="S4" s="214" t="s">
        <v>16</v>
      </c>
      <c r="T4"/>
      <c r="V4" s="213" t="s">
        <v>0</v>
      </c>
      <c r="W4" s="214" t="s">
        <v>16</v>
      </c>
      <c r="Z4" s="8"/>
    </row>
    <row r="5" spans="1:26">
      <c r="A5" s="213" t="s">
        <v>0</v>
      </c>
      <c r="B5" s="214" t="s">
        <v>16</v>
      </c>
      <c r="D5" s="30"/>
      <c r="E5" s="213" t="s">
        <v>0</v>
      </c>
      <c r="F5" s="214" t="s">
        <v>16</v>
      </c>
      <c r="G5" s="30"/>
      <c r="H5" s="213" t="s">
        <v>0</v>
      </c>
      <c r="I5" s="214" t="s">
        <v>16</v>
      </c>
      <c r="K5" s="204" t="s">
        <v>0</v>
      </c>
      <c r="L5" s="205" t="s">
        <v>16</v>
      </c>
      <c r="N5" s="213" t="s">
        <v>51</v>
      </c>
      <c r="O5" s="214" t="s">
        <v>16</v>
      </c>
      <c r="Q5" s="8"/>
      <c r="R5" s="213" t="s">
        <v>51</v>
      </c>
      <c r="S5" s="214" t="s">
        <v>16</v>
      </c>
      <c r="T5"/>
      <c r="V5" s="213" t="s">
        <v>51</v>
      </c>
      <c r="W5" s="214" t="s">
        <v>16</v>
      </c>
      <c r="Z5" s="8"/>
    </row>
    <row r="6" spans="1:26">
      <c r="A6" s="213" t="s">
        <v>3</v>
      </c>
      <c r="B6" s="214" t="s">
        <v>106</v>
      </c>
      <c r="D6" s="30"/>
      <c r="E6" s="213" t="s">
        <v>3</v>
      </c>
      <c r="F6" s="214" t="s">
        <v>140</v>
      </c>
      <c r="G6" s="30"/>
      <c r="H6" s="213" t="s">
        <v>3</v>
      </c>
      <c r="I6" s="214" t="s">
        <v>109</v>
      </c>
      <c r="K6" s="204" t="s">
        <v>3</v>
      </c>
      <c r="L6" s="205" t="s">
        <v>106</v>
      </c>
      <c r="N6" s="213" t="s">
        <v>3</v>
      </c>
      <c r="O6" s="214" t="s">
        <v>13</v>
      </c>
      <c r="Q6" s="8"/>
      <c r="R6" s="213" t="s">
        <v>3</v>
      </c>
      <c r="S6" s="214" t="s">
        <v>14</v>
      </c>
      <c r="T6"/>
      <c r="V6" s="213" t="s">
        <v>3</v>
      </c>
      <c r="W6" s="214" t="s">
        <v>8</v>
      </c>
      <c r="Z6" s="8"/>
    </row>
    <row r="7" spans="1:26">
      <c r="Q7" s="8"/>
      <c r="T7"/>
      <c r="Z7" s="8"/>
    </row>
    <row r="8" spans="1:26" ht="28.8">
      <c r="A8" s="213" t="s">
        <v>719</v>
      </c>
      <c r="B8" s="29" t="s">
        <v>425</v>
      </c>
      <c r="C8" s="214" t="s">
        <v>239</v>
      </c>
      <c r="E8" s="213" t="s">
        <v>719</v>
      </c>
      <c r="F8" s="29" t="s">
        <v>376</v>
      </c>
      <c r="H8" s="213" t="s">
        <v>719</v>
      </c>
      <c r="I8" s="29" t="s">
        <v>426</v>
      </c>
      <c r="J8" s="29"/>
      <c r="K8" s="204" t="s">
        <v>719</v>
      </c>
      <c r="L8" t="s">
        <v>425</v>
      </c>
      <c r="N8" s="213" t="s">
        <v>719</v>
      </c>
      <c r="O8" s="29" t="s">
        <v>373</v>
      </c>
      <c r="P8" s="29" t="s">
        <v>403</v>
      </c>
      <c r="Q8" s="8"/>
      <c r="R8" s="213" t="s">
        <v>719</v>
      </c>
      <c r="S8" s="29" t="s">
        <v>374</v>
      </c>
      <c r="T8" s="29" t="s">
        <v>407</v>
      </c>
      <c r="V8" s="213" t="s">
        <v>719</v>
      </c>
      <c r="W8" s="214"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205">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205">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8 L1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55" t="s">
        <v>375</v>
      </c>
      <c r="C1" s="243"/>
      <c r="D1" s="243"/>
      <c r="E1" s="243"/>
      <c r="F1" s="243"/>
      <c r="G1" s="243"/>
      <c r="H1" s="243"/>
      <c r="I1" s="243"/>
      <c r="J1" s="256"/>
      <c r="K1" s="81"/>
      <c r="L1" s="244" t="s">
        <v>354</v>
      </c>
      <c r="M1" s="245"/>
      <c r="N1" s="81"/>
      <c r="O1" s="257" t="s">
        <v>365</v>
      </c>
      <c r="P1" s="245"/>
      <c r="Q1" s="245"/>
      <c r="R1" s="245"/>
      <c r="S1" s="245"/>
      <c r="T1" s="245"/>
      <c r="U1" s="245"/>
      <c r="V1" s="245"/>
      <c r="W1" s="245"/>
      <c r="X1" s="245"/>
      <c r="Y1" s="245"/>
      <c r="Z1" s="245"/>
    </row>
    <row r="2" spans="1:37">
      <c r="A2" s="28"/>
      <c r="B2" s="213" t="s">
        <v>147</v>
      </c>
      <c r="C2" s="214" t="s">
        <v>16</v>
      </c>
      <c r="E2" s="52"/>
      <c r="F2" s="213" t="s">
        <v>147</v>
      </c>
      <c r="G2" s="214" t="s">
        <v>16</v>
      </c>
      <c r="H2" s="52"/>
      <c r="I2" s="213" t="s">
        <v>147</v>
      </c>
      <c r="J2" s="214" t="s">
        <v>16</v>
      </c>
      <c r="L2" s="204" t="s">
        <v>147</v>
      </c>
      <c r="M2" s="205" t="s">
        <v>354</v>
      </c>
      <c r="N2" s="81"/>
      <c r="O2" s="213" t="s">
        <v>0</v>
      </c>
      <c r="P2" s="214" t="s">
        <v>16</v>
      </c>
      <c r="Q2" s="28"/>
      <c r="R2" s="28"/>
      <c r="S2" s="213" t="s">
        <v>0</v>
      </c>
      <c r="T2" s="214" t="s">
        <v>16</v>
      </c>
      <c r="U2" s="28"/>
      <c r="V2" s="28"/>
      <c r="W2" s="213" t="s">
        <v>0</v>
      </c>
      <c r="X2" s="214" t="s">
        <v>16</v>
      </c>
      <c r="Y2" s="81"/>
      <c r="Z2" s="81"/>
      <c r="AA2" s="81"/>
      <c r="AB2" s="81"/>
      <c r="AC2" s="81"/>
      <c r="AD2" s="81"/>
      <c r="AE2" s="81"/>
      <c r="AF2" s="81"/>
      <c r="AG2" s="81"/>
      <c r="AH2" s="81"/>
      <c r="AI2" s="81"/>
      <c r="AJ2" s="81"/>
      <c r="AK2" s="81"/>
    </row>
    <row r="3" spans="1:37" s="28" customFormat="1">
      <c r="B3" s="213" t="s">
        <v>0</v>
      </c>
      <c r="C3" s="214" t="s">
        <v>16</v>
      </c>
      <c r="D3" s="167"/>
      <c r="F3" s="213" t="s">
        <v>0</v>
      </c>
      <c r="G3" s="214" t="s">
        <v>16</v>
      </c>
      <c r="I3" s="213" t="s">
        <v>0</v>
      </c>
      <c r="J3" s="214" t="s">
        <v>16</v>
      </c>
      <c r="K3" s="81"/>
      <c r="L3" s="204" t="s">
        <v>0</v>
      </c>
      <c r="M3" s="205" t="s">
        <v>16</v>
      </c>
      <c r="N3" s="81"/>
      <c r="O3" s="213" t="s">
        <v>1</v>
      </c>
      <c r="P3" s="214" t="s">
        <v>16</v>
      </c>
      <c r="S3" s="213" t="s">
        <v>1</v>
      </c>
      <c r="T3" s="214" t="s">
        <v>16</v>
      </c>
      <c r="U3" s="31"/>
      <c r="W3" s="213" t="s">
        <v>1</v>
      </c>
      <c r="X3" s="214" t="s">
        <v>16</v>
      </c>
      <c r="Y3" s="81"/>
      <c r="Z3" s="81"/>
      <c r="AA3" s="81"/>
      <c r="AB3" s="81"/>
      <c r="AC3" s="81"/>
      <c r="AD3" s="81"/>
      <c r="AE3" s="81"/>
      <c r="AF3" s="81"/>
      <c r="AG3" s="81"/>
      <c r="AH3" s="81"/>
      <c r="AI3" s="81"/>
      <c r="AJ3" s="81"/>
      <c r="AK3" s="81"/>
    </row>
    <row r="4" spans="1:37">
      <c r="A4" s="28"/>
      <c r="B4" s="213" t="s">
        <v>1</v>
      </c>
      <c r="C4" s="214" t="s">
        <v>16</v>
      </c>
      <c r="E4" s="30"/>
      <c r="F4" s="213" t="s">
        <v>1</v>
      </c>
      <c r="G4" s="214" t="s">
        <v>16</v>
      </c>
      <c r="H4" s="30"/>
      <c r="I4" s="213" t="s">
        <v>1</v>
      </c>
      <c r="J4" s="214" t="s">
        <v>16</v>
      </c>
      <c r="L4" s="204" t="s">
        <v>1</v>
      </c>
      <c r="M4" s="205" t="s">
        <v>16</v>
      </c>
      <c r="O4" s="213" t="s">
        <v>2</v>
      </c>
      <c r="P4" s="214" t="s">
        <v>16</v>
      </c>
      <c r="R4" s="8"/>
      <c r="S4" s="213" t="s">
        <v>2</v>
      </c>
      <c r="T4" s="214" t="s">
        <v>16</v>
      </c>
      <c r="U4"/>
      <c r="W4" s="213" t="s">
        <v>2</v>
      </c>
      <c r="X4" s="214" t="s">
        <v>16</v>
      </c>
      <c r="Y4" s="81"/>
      <c r="AA4" s="81"/>
      <c r="AB4" s="81"/>
      <c r="AC4" s="81"/>
      <c r="AD4" s="81"/>
      <c r="AE4" s="81"/>
      <c r="AF4" s="81"/>
      <c r="AG4" s="81"/>
      <c r="AH4" s="81"/>
      <c r="AI4" s="81"/>
      <c r="AJ4" s="81"/>
      <c r="AK4" s="81"/>
    </row>
    <row r="5" spans="1:37">
      <c r="A5" s="28"/>
      <c r="B5" s="213" t="s">
        <v>2</v>
      </c>
      <c r="C5" s="214" t="s">
        <v>16</v>
      </c>
      <c r="E5" s="30"/>
      <c r="F5" s="213" t="s">
        <v>2</v>
      </c>
      <c r="G5" s="214" t="s">
        <v>16</v>
      </c>
      <c r="H5" s="30"/>
      <c r="I5" s="213" t="s">
        <v>2</v>
      </c>
      <c r="J5" s="214" t="s">
        <v>16</v>
      </c>
      <c r="L5" s="204" t="s">
        <v>2</v>
      </c>
      <c r="M5" s="205" t="s">
        <v>16</v>
      </c>
      <c r="O5" s="213" t="s">
        <v>51</v>
      </c>
      <c r="P5" s="214" t="s">
        <v>16</v>
      </c>
      <c r="R5" s="8"/>
      <c r="S5" s="213" t="s">
        <v>51</v>
      </c>
      <c r="T5" s="214" t="s">
        <v>16</v>
      </c>
      <c r="U5"/>
      <c r="W5" s="213" t="s">
        <v>51</v>
      </c>
      <c r="X5" s="214" t="s">
        <v>16</v>
      </c>
      <c r="AA5" s="8"/>
    </row>
    <row r="6" spans="1:37">
      <c r="A6" s="28"/>
      <c r="B6" s="213" t="s">
        <v>3</v>
      </c>
      <c r="C6" s="214" t="s">
        <v>106</v>
      </c>
      <c r="E6" s="30"/>
      <c r="F6" s="213" t="s">
        <v>3</v>
      </c>
      <c r="G6" s="214" t="s">
        <v>140</v>
      </c>
      <c r="H6" s="30"/>
      <c r="I6" s="213" t="s">
        <v>3</v>
      </c>
      <c r="J6" s="214" t="s">
        <v>109</v>
      </c>
      <c r="L6" s="204" t="s">
        <v>3</v>
      </c>
      <c r="M6" s="205" t="s">
        <v>106</v>
      </c>
      <c r="O6" s="213" t="s">
        <v>3</v>
      </c>
      <c r="P6" s="214" t="s">
        <v>13</v>
      </c>
      <c r="R6" s="8"/>
      <c r="S6" s="213" t="s">
        <v>3</v>
      </c>
      <c r="T6" s="214" t="s">
        <v>14</v>
      </c>
      <c r="U6"/>
      <c r="W6" s="213" t="s">
        <v>3</v>
      </c>
      <c r="X6" s="214" t="s">
        <v>8</v>
      </c>
      <c r="AA6" s="8"/>
    </row>
    <row r="7" spans="1:37">
      <c r="A7" s="28"/>
      <c r="R7" s="8"/>
      <c r="U7"/>
      <c r="AA7" s="8"/>
    </row>
    <row r="8" spans="1:37" ht="28.8">
      <c r="A8" s="22" t="s">
        <v>680</v>
      </c>
      <c r="B8" s="213" t="s">
        <v>286</v>
      </c>
      <c r="C8" s="29" t="s">
        <v>373</v>
      </c>
      <c r="D8" s="214" t="s">
        <v>239</v>
      </c>
      <c r="F8" s="213" t="s">
        <v>286</v>
      </c>
      <c r="G8" s="29" t="s">
        <v>376</v>
      </c>
      <c r="I8" s="213" t="s">
        <v>286</v>
      </c>
      <c r="J8" s="29" t="s">
        <v>374</v>
      </c>
      <c r="K8" s="29"/>
      <c r="L8" s="204" t="s">
        <v>286</v>
      </c>
      <c r="M8" t="s">
        <v>373</v>
      </c>
      <c r="O8" s="213" t="s">
        <v>286</v>
      </c>
      <c r="P8" s="29" t="s">
        <v>373</v>
      </c>
      <c r="Q8" s="29" t="s">
        <v>374</v>
      </c>
      <c r="R8" s="8"/>
      <c r="S8" s="213" t="s">
        <v>286</v>
      </c>
      <c r="T8" s="29" t="s">
        <v>374</v>
      </c>
      <c r="U8" s="29" t="s">
        <v>407</v>
      </c>
      <c r="W8" s="213" t="s">
        <v>286</v>
      </c>
      <c r="X8" s="214"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02" customWidth="1"/>
    <col min="4" max="4" width="10.77734375" customWidth="1"/>
    <col min="5" max="5" width="35.5546875" customWidth="1"/>
    <col min="6" max="6" width="7.88671875" style="167"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42" t="s">
        <v>474</v>
      </c>
      <c r="E4" s="245"/>
      <c r="F4" s="245"/>
      <c r="G4" s="245"/>
      <c r="H4" s="245"/>
      <c r="I4" s="245"/>
      <c r="J4" s="245"/>
      <c r="K4" s="245"/>
      <c r="L4" s="245"/>
      <c r="M4" s="245"/>
      <c r="N4" s="245"/>
      <c r="O4" s="245"/>
      <c r="P4" s="245"/>
      <c r="Q4" s="245"/>
      <c r="R4" s="245"/>
      <c r="S4" s="245"/>
      <c r="T4" s="245"/>
      <c r="U4" s="245"/>
      <c r="V4" s="245"/>
      <c r="W4" s="245"/>
      <c r="X4" s="245"/>
      <c r="Y4" s="245"/>
      <c r="Z4" s="245"/>
      <c r="AA4" s="245"/>
      <c r="AB4" s="245"/>
      <c r="AC4" s="245"/>
      <c r="AD4" s="34"/>
      <c r="AE4" s="34"/>
    </row>
    <row r="5" spans="1:31">
      <c r="A5" s="28"/>
      <c r="B5" s="42"/>
      <c r="C5" s="42"/>
      <c r="D5" s="213" t="s">
        <v>0</v>
      </c>
      <c r="E5" s="214" t="s">
        <v>16</v>
      </c>
      <c r="G5" s="30"/>
      <c r="H5" s="213" t="s">
        <v>0</v>
      </c>
      <c r="I5" s="214" t="s">
        <v>16</v>
      </c>
      <c r="J5" s="30"/>
      <c r="K5" s="213" t="s">
        <v>0</v>
      </c>
      <c r="L5" s="214" t="s">
        <v>16</v>
      </c>
      <c r="N5" s="213" t="s">
        <v>0</v>
      </c>
      <c r="O5" s="214" t="s">
        <v>16</v>
      </c>
      <c r="P5" s="258" t="s">
        <v>536</v>
      </c>
      <c r="Q5" s="250"/>
      <c r="V5" s="213" t="s">
        <v>0</v>
      </c>
      <c r="W5" s="214" t="s">
        <v>16</v>
      </c>
      <c r="X5" s="258" t="s">
        <v>537</v>
      </c>
      <c r="Y5" s="250"/>
      <c r="Z5" s="250"/>
      <c r="AA5" s="104"/>
      <c r="AB5" s="104"/>
    </row>
    <row r="6" spans="1:31">
      <c r="A6" s="28"/>
      <c r="B6" s="42"/>
      <c r="C6" s="42"/>
      <c r="D6" s="213" t="s">
        <v>3</v>
      </c>
      <c r="E6" s="214" t="s">
        <v>399</v>
      </c>
      <c r="G6" s="30"/>
      <c r="H6" s="213" t="s">
        <v>3</v>
      </c>
      <c r="I6" s="214" t="s">
        <v>142</v>
      </c>
      <c r="J6" s="30"/>
      <c r="K6" s="213" t="s">
        <v>3</v>
      </c>
      <c r="L6" s="214" t="s">
        <v>400</v>
      </c>
      <c r="N6" s="213" t="s">
        <v>3</v>
      </c>
      <c r="O6" s="214" t="s">
        <v>300</v>
      </c>
      <c r="V6" s="213" t="s">
        <v>3</v>
      </c>
      <c r="W6" s="214"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718</v>
      </c>
      <c r="D8" s="213" t="s">
        <v>286</v>
      </c>
      <c r="E8" s="214" t="s">
        <v>327</v>
      </c>
      <c r="F8" s="214" t="s">
        <v>239</v>
      </c>
      <c r="H8" s="213" t="s">
        <v>286</v>
      </c>
      <c r="I8" t="s">
        <v>334</v>
      </c>
      <c r="K8" s="213" t="s">
        <v>286</v>
      </c>
      <c r="L8" t="s">
        <v>293</v>
      </c>
      <c r="N8" s="213" t="s">
        <v>286</v>
      </c>
      <c r="O8" s="214" t="s">
        <v>533</v>
      </c>
      <c r="P8" s="214" t="s">
        <v>534</v>
      </c>
      <c r="Q8" s="214" t="s">
        <v>535</v>
      </c>
      <c r="R8" s="214" t="s">
        <v>346</v>
      </c>
      <c r="S8" s="214" t="s">
        <v>239</v>
      </c>
      <c r="T8" s="214" t="s">
        <v>521</v>
      </c>
      <c r="V8" s="213" t="s">
        <v>286</v>
      </c>
      <c r="W8" s="214" t="s">
        <v>538</v>
      </c>
      <c r="X8" s="214" t="s">
        <v>534</v>
      </c>
      <c r="Y8" s="214" t="s">
        <v>539</v>
      </c>
      <c r="Z8" s="214" t="s">
        <v>535</v>
      </c>
      <c r="AA8" s="214" t="s">
        <v>346</v>
      </c>
      <c r="AB8" s="214" t="s">
        <v>239</v>
      </c>
      <c r="AC8" s="214"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8 E1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02"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42" t="s">
        <v>291</v>
      </c>
      <c r="E4" s="245"/>
      <c r="F4" s="245"/>
      <c r="G4" s="245"/>
      <c r="H4" s="245"/>
      <c r="I4" s="245"/>
      <c r="J4" s="245"/>
      <c r="K4" s="245"/>
      <c r="L4" s="245"/>
      <c r="M4" s="245"/>
      <c r="N4" s="245"/>
    </row>
    <row r="5" spans="1:14">
      <c r="A5" s="28"/>
      <c r="B5" s="42"/>
      <c r="C5" s="42"/>
      <c r="D5" s="213" t="s">
        <v>0</v>
      </c>
      <c r="E5" s="214" t="s">
        <v>16</v>
      </c>
      <c r="F5" s="30"/>
      <c r="G5" s="213" t="s">
        <v>0</v>
      </c>
      <c r="H5" s="214" t="s">
        <v>16</v>
      </c>
      <c r="I5" s="30"/>
      <c r="J5" s="213" t="s">
        <v>0</v>
      </c>
      <c r="K5" s="214" t="s">
        <v>16</v>
      </c>
      <c r="M5" s="213" t="s">
        <v>0</v>
      </c>
      <c r="N5" s="214" t="s">
        <v>16</v>
      </c>
    </row>
    <row r="6" spans="1:14">
      <c r="A6" s="28"/>
      <c r="B6" s="42"/>
      <c r="C6" s="42"/>
      <c r="D6" s="213" t="s">
        <v>3</v>
      </c>
      <c r="E6" s="214" t="s">
        <v>340</v>
      </c>
      <c r="F6" s="30"/>
      <c r="G6" s="213" t="s">
        <v>3</v>
      </c>
      <c r="H6" s="214" t="s">
        <v>421</v>
      </c>
      <c r="I6" s="30"/>
      <c r="J6" s="213" t="s">
        <v>3</v>
      </c>
      <c r="K6" s="214" t="s">
        <v>449</v>
      </c>
      <c r="M6" s="213" t="s">
        <v>3</v>
      </c>
      <c r="N6" s="214" t="s">
        <v>424</v>
      </c>
    </row>
    <row r="7" spans="1:14">
      <c r="A7" s="28"/>
      <c r="B7" s="42"/>
      <c r="C7" s="42"/>
      <c r="D7" s="54"/>
      <c r="E7" s="54"/>
      <c r="G7" s="79"/>
      <c r="H7" s="79"/>
      <c r="J7" s="80"/>
      <c r="K7" s="80"/>
      <c r="M7" s="85"/>
      <c r="N7" s="85"/>
    </row>
    <row r="8" spans="1:14">
      <c r="A8" s="22" t="s">
        <v>680</v>
      </c>
      <c r="B8" s="43" t="s">
        <v>294</v>
      </c>
      <c r="C8" s="22" t="s">
        <v>718</v>
      </c>
      <c r="D8" s="213" t="s">
        <v>286</v>
      </c>
      <c r="E8" t="s">
        <v>465</v>
      </c>
      <c r="G8" s="213" t="s">
        <v>286</v>
      </c>
      <c r="H8" t="s">
        <v>466</v>
      </c>
      <c r="J8" s="213" t="s">
        <v>286</v>
      </c>
      <c r="K8" t="s">
        <v>468</v>
      </c>
      <c r="M8" s="213"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214">
        <v>2</v>
      </c>
      <c r="F9" s="5"/>
      <c r="G9" s="4" t="s">
        <v>48</v>
      </c>
      <c r="H9" s="214">
        <v>1</v>
      </c>
      <c r="I9" s="5"/>
      <c r="J9" s="4" t="s">
        <v>48</v>
      </c>
      <c r="K9" s="214">
        <v>3</v>
      </c>
      <c r="M9" s="4" t="s">
        <v>48</v>
      </c>
      <c r="N9" s="214">
        <v>1</v>
      </c>
    </row>
    <row r="10" spans="1:14">
      <c r="D10" s="4" t="s">
        <v>17</v>
      </c>
      <c r="E10" s="214">
        <v>2</v>
      </c>
      <c r="F10" s="5"/>
      <c r="G10" s="4" t="s">
        <v>17</v>
      </c>
      <c r="H10" s="214">
        <v>1</v>
      </c>
      <c r="I10" s="5"/>
      <c r="J10" s="4" t="s">
        <v>17</v>
      </c>
      <c r="K10" s="214">
        <v>3</v>
      </c>
      <c r="M10" s="4" t="s">
        <v>17</v>
      </c>
      <c r="N10" s="214">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7"/>
  <sheetViews>
    <sheetView workbookViewId="0">
      <selection activeCell="L2" sqref="L2"/>
    </sheetView>
  </sheetViews>
  <sheetFormatPr defaultColWidth="9.109375" defaultRowHeight="14.4"/>
  <cols>
    <col min="1" max="1" width="14.109375" style="181" customWidth="1"/>
    <col min="2" max="2" width="10.77734375" style="181" customWidth="1"/>
    <col min="3" max="3" width="33.21875" style="181" bestFit="1" customWidth="1"/>
    <col min="4" max="4" width="9.109375" style="181"/>
    <col min="5" max="5" width="10.77734375" style="181" customWidth="1"/>
    <col min="6" max="6" width="36.21875" style="181" bestFit="1" customWidth="1"/>
    <col min="7" max="7" width="9.109375" style="181"/>
    <col min="8" max="8" width="12.5546875" style="181" bestFit="1" customWidth="1"/>
    <col min="9" max="9" width="49.44140625" style="181" bestFit="1" customWidth="1"/>
    <col min="10" max="10" width="9.109375" style="181"/>
    <col min="11" max="11" width="12.5546875" style="181" bestFit="1" customWidth="1"/>
    <col min="12" max="12" width="21" style="181" bestFit="1" customWidth="1"/>
    <col min="13" max="16384" width="9.109375" style="181"/>
  </cols>
  <sheetData>
    <row r="1" spans="1:12" s="42" customFormat="1">
      <c r="A1" s="28"/>
      <c r="G1" s="203"/>
      <c r="H1" s="209" t="s">
        <v>0</v>
      </c>
      <c r="I1" s="210" t="s">
        <v>16</v>
      </c>
      <c r="J1" s="208"/>
      <c r="K1" s="209" t="s">
        <v>0</v>
      </c>
      <c r="L1" s="210" t="s">
        <v>16</v>
      </c>
    </row>
    <row r="2" spans="1:12" s="42" customFormat="1">
      <c r="A2" s="28"/>
      <c r="G2" s="203"/>
      <c r="H2" s="209" t="s">
        <v>428</v>
      </c>
      <c r="I2" s="210" t="s">
        <v>852</v>
      </c>
      <c r="J2" s="208"/>
      <c r="K2" s="209" t="s">
        <v>428</v>
      </c>
      <c r="L2" s="210" t="s">
        <v>856</v>
      </c>
    </row>
    <row r="3" spans="1:12" s="42" customFormat="1">
      <c r="A3" s="28"/>
      <c r="G3" s="203"/>
      <c r="H3" s="207"/>
      <c r="I3" s="207"/>
      <c r="J3" s="208"/>
      <c r="K3" s="207"/>
      <c r="L3" s="207"/>
    </row>
    <row r="4" spans="1:12" s="42" customFormat="1">
      <c r="A4" s="28"/>
      <c r="B4" s="242" t="s">
        <v>291</v>
      </c>
      <c r="C4" s="245"/>
      <c r="D4" s="245"/>
      <c r="E4" s="245"/>
      <c r="F4" s="245"/>
      <c r="G4" s="203"/>
      <c r="H4" s="209" t="s">
        <v>799</v>
      </c>
      <c r="I4" t="s">
        <v>855</v>
      </c>
      <c r="J4" s="208"/>
      <c r="K4" s="209" t="s">
        <v>799</v>
      </c>
      <c r="L4" t="s">
        <v>855</v>
      </c>
    </row>
    <row r="5" spans="1:12">
      <c r="A5" s="28"/>
      <c r="B5" s="213" t="s">
        <v>0</v>
      </c>
      <c r="C5" s="214" t="s">
        <v>16</v>
      </c>
      <c r="D5" s="30"/>
      <c r="E5" s="213" t="s">
        <v>0</v>
      </c>
      <c r="F5" s="214" t="s">
        <v>16</v>
      </c>
      <c r="G5" s="47" t="str">
        <f>INDEX('OS-Machine Info'!$B:$B,MATCH(H5,'OS-Machine Info'!$A:$A,0))</f>
        <v>TestDC</v>
      </c>
      <c r="H5" s="4" t="s">
        <v>48</v>
      </c>
      <c r="I5" s="5">
        <v>2</v>
      </c>
      <c r="J5" s="47" t="str">
        <f>INDEX('OS-Machine Info'!$B:$B,MATCH(K5,'OS-Machine Info'!$A:$A,0))</f>
        <v>TestDC</v>
      </c>
      <c r="K5" s="4" t="s">
        <v>48</v>
      </c>
      <c r="L5" s="5">
        <v>2</v>
      </c>
    </row>
    <row r="6" spans="1:12">
      <c r="A6" s="28"/>
      <c r="B6" s="213" t="s">
        <v>3</v>
      </c>
      <c r="C6" s="214" t="s">
        <v>806</v>
      </c>
      <c r="D6" s="30"/>
      <c r="E6" s="213" t="s">
        <v>3</v>
      </c>
      <c r="F6" s="214" t="s">
        <v>810</v>
      </c>
      <c r="G6" s="47"/>
      <c r="H6" s="4" t="s">
        <v>17</v>
      </c>
      <c r="I6" s="5">
        <v>2</v>
      </c>
      <c r="J6" s="47"/>
      <c r="K6" s="4" t="s">
        <v>17</v>
      </c>
      <c r="L6" s="5">
        <v>2</v>
      </c>
    </row>
    <row r="7" spans="1:12">
      <c r="A7" s="28"/>
      <c r="G7" s="47"/>
      <c r="H7"/>
      <c r="I7"/>
    </row>
    <row r="8" spans="1:12">
      <c r="A8" s="22" t="s">
        <v>680</v>
      </c>
      <c r="B8" s="213" t="s">
        <v>286</v>
      </c>
      <c r="C8" t="s">
        <v>833</v>
      </c>
      <c r="E8" s="213" t="s">
        <v>286</v>
      </c>
      <c r="F8" t="s">
        <v>832</v>
      </c>
      <c r="G8" s="47"/>
      <c r="H8"/>
      <c r="I8"/>
      <c r="K8" s="190"/>
      <c r="L8"/>
    </row>
    <row r="9" spans="1:12">
      <c r="A9" s="26" t="str">
        <f>INDEX('OS-Machine Info'!$B:$B,MATCH(B9,'OS-Machine Info'!$A:$A,0))</f>
        <v>TestDC</v>
      </c>
      <c r="B9" s="4" t="s">
        <v>48</v>
      </c>
      <c r="C9" s="214">
        <v>45</v>
      </c>
      <c r="D9" s="5"/>
      <c r="E9" s="4" t="s">
        <v>48</v>
      </c>
      <c r="F9" s="214">
        <v>45</v>
      </c>
      <c r="G9" s="47"/>
      <c r="H9"/>
      <c r="I9"/>
      <c r="K9" s="4"/>
      <c r="L9" s="190"/>
    </row>
    <row r="10" spans="1:12">
      <c r="B10" s="4" t="s">
        <v>17</v>
      </c>
      <c r="C10" s="214">
        <v>45</v>
      </c>
      <c r="D10" s="5"/>
      <c r="E10" s="4" t="s">
        <v>17</v>
      </c>
      <c r="F10" s="214">
        <v>45</v>
      </c>
      <c r="G10" s="47"/>
      <c r="H10"/>
      <c r="I10"/>
      <c r="K10" s="4"/>
      <c r="L10" s="190"/>
    </row>
    <row r="11" spans="1:12">
      <c r="G11" s="47"/>
      <c r="H11"/>
      <c r="I11"/>
    </row>
    <row r="12" spans="1:12">
      <c r="G12" s="47"/>
      <c r="H12"/>
      <c r="I12"/>
    </row>
    <row r="13" spans="1:12">
      <c r="G13" s="47"/>
      <c r="H13"/>
      <c r="I13"/>
    </row>
    <row r="14" spans="1:12">
      <c r="G14" s="47"/>
      <c r="H14"/>
      <c r="I14"/>
    </row>
    <row r="15" spans="1:12">
      <c r="G15" s="47"/>
      <c r="H15"/>
      <c r="I15"/>
    </row>
    <row r="16" spans="1:12">
      <c r="G16" s="47"/>
      <c r="H16"/>
      <c r="I16"/>
    </row>
    <row r="17" spans="7:9">
      <c r="G17" s="47"/>
      <c r="H17"/>
      <c r="I17"/>
    </row>
  </sheetData>
  <mergeCells count="1">
    <mergeCell ref="B4:F4"/>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77" customWidth="1"/>
    <col min="8" max="8" width="7.88671875" style="177" customWidth="1"/>
    <col min="9" max="9" width="7" style="139" customWidth="1"/>
    <col min="10" max="10" width="7" style="177" customWidth="1"/>
    <col min="11" max="11" width="16.44140625" style="139" customWidth="1"/>
    <col min="12" max="12" width="35.33203125" style="139" customWidth="1"/>
    <col min="13" max="13" width="8.44140625" style="177" customWidth="1"/>
    <col min="14" max="14" width="7.88671875" style="177" customWidth="1"/>
    <col min="15" max="15" width="7" style="177" customWidth="1"/>
    <col min="16" max="16" width="9.109375" style="139"/>
    <col min="17" max="17" width="16.44140625" style="139" customWidth="1"/>
    <col min="18" max="18" width="27.6640625" style="139" customWidth="1"/>
    <col min="19" max="19" width="7" style="177"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196" t="s">
        <v>842</v>
      </c>
    </row>
    <row r="2" spans="1:35" s="28" customFormat="1">
      <c r="B2" s="242" t="s">
        <v>291</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row>
    <row r="3" spans="1:35">
      <c r="A3" s="27"/>
      <c r="B3"/>
      <c r="C3"/>
      <c r="E3"/>
      <c r="F3"/>
      <c r="K3"/>
      <c r="L3"/>
      <c r="Q3"/>
      <c r="R3"/>
      <c r="U3"/>
      <c r="V3"/>
      <c r="W3" s="30"/>
      <c r="X3" s="30"/>
      <c r="Y3"/>
      <c r="Z3"/>
      <c r="AA3" s="30"/>
      <c r="AB3"/>
      <c r="AC3"/>
      <c r="AE3"/>
      <c r="AF3"/>
      <c r="AH3"/>
      <c r="AI3"/>
    </row>
    <row r="4" spans="1:35">
      <c r="A4" s="27"/>
      <c r="B4" s="213" t="s">
        <v>0</v>
      </c>
      <c r="C4" s="214" t="s">
        <v>16</v>
      </c>
      <c r="E4" s="213" t="s">
        <v>0</v>
      </c>
      <c r="F4" s="214" t="s">
        <v>16</v>
      </c>
      <c r="K4" s="213" t="s">
        <v>0</v>
      </c>
      <c r="L4" s="214" t="s">
        <v>16</v>
      </c>
      <c r="Q4" s="213" t="s">
        <v>0</v>
      </c>
      <c r="R4" s="214" t="s">
        <v>16</v>
      </c>
      <c r="U4" s="213" t="s">
        <v>0</v>
      </c>
      <c r="V4" s="214" t="s">
        <v>16</v>
      </c>
      <c r="W4" s="30"/>
      <c r="X4" s="30"/>
      <c r="Y4" s="213" t="s">
        <v>0</v>
      </c>
      <c r="Z4" s="214" t="s">
        <v>16</v>
      </c>
      <c r="AA4" s="30"/>
      <c r="AB4" s="213" t="s">
        <v>0</v>
      </c>
      <c r="AC4" s="214" t="s">
        <v>16</v>
      </c>
      <c r="AE4" s="213" t="s">
        <v>0</v>
      </c>
      <c r="AF4" s="214" t="s">
        <v>16</v>
      </c>
      <c r="AH4" s="213" t="s">
        <v>0</v>
      </c>
      <c r="AI4" s="214" t="s">
        <v>16</v>
      </c>
    </row>
    <row r="5" spans="1:35">
      <c r="A5" s="27"/>
      <c r="B5" s="213" t="s">
        <v>3</v>
      </c>
      <c r="C5" s="214" t="s">
        <v>635</v>
      </c>
      <c r="E5" s="213" t="s">
        <v>3</v>
      </c>
      <c r="F5" s="214" t="s">
        <v>636</v>
      </c>
      <c r="K5" s="213" t="s">
        <v>3</v>
      </c>
      <c r="L5" s="214" t="s">
        <v>638</v>
      </c>
      <c r="Q5" s="213" t="s">
        <v>3</v>
      </c>
      <c r="R5" s="214" t="s">
        <v>637</v>
      </c>
      <c r="U5" s="213" t="s">
        <v>3</v>
      </c>
      <c r="V5" s="214" t="s">
        <v>632</v>
      </c>
      <c r="Y5" s="213" t="s">
        <v>3</v>
      </c>
      <c r="Z5" s="214" t="s">
        <v>633</v>
      </c>
      <c r="AB5" s="213" t="s">
        <v>3</v>
      </c>
      <c r="AC5" s="214" t="s">
        <v>643</v>
      </c>
      <c r="AE5" s="213" t="s">
        <v>3</v>
      </c>
      <c r="AF5" s="214" t="s">
        <v>640</v>
      </c>
      <c r="AH5" s="213" t="s">
        <v>3</v>
      </c>
      <c r="AI5" s="214" t="s">
        <v>642</v>
      </c>
    </row>
    <row r="6" spans="1:35">
      <c r="A6" s="27"/>
    </row>
    <row r="7" spans="1:35">
      <c r="A7" s="22" t="s">
        <v>92</v>
      </c>
      <c r="B7" s="213" t="s">
        <v>719</v>
      </c>
      <c r="C7" t="s">
        <v>285</v>
      </c>
      <c r="E7" s="213" t="s">
        <v>719</v>
      </c>
      <c r="F7" s="214" t="s">
        <v>645</v>
      </c>
      <c r="G7" s="214" t="s">
        <v>803</v>
      </c>
      <c r="H7" s="214" t="s">
        <v>239</v>
      </c>
      <c r="I7" s="214" t="s">
        <v>521</v>
      </c>
      <c r="K7" s="213" t="s">
        <v>719</v>
      </c>
      <c r="L7" s="214" t="s">
        <v>646</v>
      </c>
      <c r="M7" s="214" t="s">
        <v>802</v>
      </c>
      <c r="N7" s="214" t="s">
        <v>239</v>
      </c>
      <c r="O7" s="214" t="s">
        <v>521</v>
      </c>
      <c r="Q7" s="213" t="s">
        <v>719</v>
      </c>
      <c r="R7" s="214" t="s">
        <v>297</v>
      </c>
      <c r="S7" s="214" t="s">
        <v>521</v>
      </c>
      <c r="U7" s="213" t="s">
        <v>719</v>
      </c>
      <c r="V7" s="214" t="s">
        <v>330</v>
      </c>
      <c r="W7" s="214" t="s">
        <v>403</v>
      </c>
      <c r="Y7" s="213" t="s">
        <v>719</v>
      </c>
      <c r="Z7" t="s">
        <v>293</v>
      </c>
      <c r="AB7" s="213" t="s">
        <v>719</v>
      </c>
      <c r="AC7" t="s">
        <v>647</v>
      </c>
      <c r="AE7" s="213" t="s">
        <v>719</v>
      </c>
      <c r="AF7" t="s">
        <v>648</v>
      </c>
      <c r="AH7" s="213" t="s">
        <v>719</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C3" sqref="C3:D10"/>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77" customWidth="1"/>
    <col min="9" max="9" width="7.88671875" style="177" customWidth="1"/>
    <col min="10" max="10" width="7" style="177" customWidth="1"/>
    <col min="11" max="11" width="9.109375" style="139"/>
    <col min="12" max="12" width="10.77734375" style="139" customWidth="1"/>
    <col min="13" max="13" width="35.33203125" style="139" customWidth="1"/>
    <col min="14" max="14" width="8.44140625" style="177" customWidth="1"/>
    <col min="15" max="15" width="7.88671875" style="177" customWidth="1"/>
    <col min="16" max="16" width="7" style="177"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196" t="s">
        <v>842</v>
      </c>
      <c r="AX1" s="242"/>
      <c r="AY1" s="245"/>
      <c r="AZ1" s="245"/>
      <c r="BA1" s="245"/>
      <c r="BB1" s="245"/>
      <c r="BC1" s="242"/>
      <c r="BD1" s="245"/>
      <c r="BE1" s="245"/>
      <c r="BF1" s="245"/>
      <c r="BG1" s="245"/>
    </row>
    <row r="2" spans="1:59" s="28" customFormat="1">
      <c r="C2" s="242" t="s">
        <v>291</v>
      </c>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X2" s="242"/>
      <c r="AY2" s="245"/>
      <c r="AZ2" s="245"/>
      <c r="BA2" s="245"/>
      <c r="BB2" s="245"/>
      <c r="BC2" s="242"/>
      <c r="BD2" s="245"/>
      <c r="BE2" s="245"/>
      <c r="BF2" s="245"/>
      <c r="BG2" s="245"/>
    </row>
    <row r="3" spans="1:59" s="28" customFormat="1">
      <c r="C3" s="213" t="s">
        <v>0</v>
      </c>
      <c r="D3" s="214" t="s">
        <v>16</v>
      </c>
      <c r="E3" s="138"/>
      <c r="F3" s="213" t="s">
        <v>0</v>
      </c>
      <c r="G3" s="214" t="s">
        <v>16</v>
      </c>
      <c r="H3" s="177"/>
      <c r="I3" s="177"/>
      <c r="J3" s="177"/>
      <c r="K3" s="138"/>
      <c r="L3" s="213" t="s">
        <v>0</v>
      </c>
      <c r="M3" s="214" t="s">
        <v>16</v>
      </c>
      <c r="N3" s="177"/>
      <c r="O3" s="177"/>
      <c r="P3" s="177"/>
      <c r="Q3" s="138"/>
      <c r="R3" s="213" t="s">
        <v>0</v>
      </c>
      <c r="S3" s="214" t="s">
        <v>16</v>
      </c>
      <c r="T3" s="140"/>
      <c r="U3" s="138"/>
      <c r="V3" s="213" t="s">
        <v>0</v>
      </c>
      <c r="W3" s="214" t="s">
        <v>16</v>
      </c>
      <c r="X3" s="138"/>
      <c r="Y3" s="138"/>
      <c r="Z3" s="213" t="s">
        <v>0</v>
      </c>
      <c r="AA3" s="214" t="s">
        <v>16</v>
      </c>
      <c r="AB3" s="138"/>
      <c r="AC3" s="213" t="s">
        <v>0</v>
      </c>
      <c r="AD3" s="214" t="s">
        <v>16</v>
      </c>
      <c r="AE3" s="138"/>
      <c r="AF3" s="213" t="s">
        <v>0</v>
      </c>
      <c r="AG3" s="214" t="s">
        <v>16</v>
      </c>
      <c r="AH3" s="138"/>
      <c r="AI3" s="213" t="s">
        <v>0</v>
      </c>
      <c r="AJ3" s="214" t="s">
        <v>16</v>
      </c>
      <c r="AX3" s="242"/>
      <c r="AY3" s="245"/>
      <c r="AZ3" s="245"/>
      <c r="BA3" s="245"/>
      <c r="BB3" s="245"/>
      <c r="BC3" s="242"/>
      <c r="BD3" s="245"/>
      <c r="BE3" s="245"/>
      <c r="BF3" s="245"/>
      <c r="BG3" s="245"/>
    </row>
    <row r="4" spans="1:59">
      <c r="A4" s="28"/>
      <c r="B4" s="27"/>
      <c r="C4" s="213" t="s">
        <v>1</v>
      </c>
      <c r="D4" s="214" t="s">
        <v>16</v>
      </c>
      <c r="F4" s="213" t="s">
        <v>1</v>
      </c>
      <c r="G4" s="214" t="s">
        <v>16</v>
      </c>
      <c r="L4" s="213" t="s">
        <v>1</v>
      </c>
      <c r="M4" s="214" t="s">
        <v>16</v>
      </c>
      <c r="R4" s="213" t="s">
        <v>1</v>
      </c>
      <c r="S4" s="214" t="s">
        <v>16</v>
      </c>
      <c r="V4" s="213" t="s">
        <v>1</v>
      </c>
      <c r="W4" s="214" t="s">
        <v>16</v>
      </c>
      <c r="X4" s="30"/>
      <c r="Y4" s="30"/>
      <c r="Z4" s="213" t="s">
        <v>1</v>
      </c>
      <c r="AA4" s="214" t="s">
        <v>16</v>
      </c>
      <c r="AB4" s="30"/>
      <c r="AC4" s="213" t="s">
        <v>1</v>
      </c>
      <c r="AD4" s="214" t="s">
        <v>16</v>
      </c>
      <c r="AF4" s="213" t="s">
        <v>1</v>
      </c>
      <c r="AG4" s="214" t="s">
        <v>16</v>
      </c>
      <c r="AI4" s="213" t="s">
        <v>1</v>
      </c>
      <c r="AJ4" s="214" t="s">
        <v>16</v>
      </c>
      <c r="AM4" s="244" t="s">
        <v>435</v>
      </c>
      <c r="AN4" s="245"/>
      <c r="AO4" s="245"/>
      <c r="AP4" s="245"/>
      <c r="AQ4" s="245"/>
      <c r="AR4" s="245"/>
      <c r="AS4" s="245"/>
      <c r="AT4" s="245"/>
      <c r="AU4" s="245"/>
      <c r="AV4" s="245"/>
      <c r="AX4" s="242" t="s">
        <v>291</v>
      </c>
      <c r="AY4" s="245"/>
      <c r="AZ4" s="245"/>
      <c r="BA4" s="245"/>
      <c r="BB4" s="245"/>
      <c r="BC4" s="245"/>
      <c r="BD4" s="245"/>
      <c r="BE4" s="245"/>
      <c r="BF4" s="245"/>
      <c r="BG4" s="245"/>
    </row>
    <row r="5" spans="1:59">
      <c r="A5" s="28"/>
      <c r="B5" s="27"/>
      <c r="C5" s="213" t="s">
        <v>2</v>
      </c>
      <c r="D5" s="214" t="s">
        <v>16</v>
      </c>
      <c r="F5" s="213" t="s">
        <v>2</v>
      </c>
      <c r="G5" s="214" t="s">
        <v>16</v>
      </c>
      <c r="L5" s="213" t="s">
        <v>2</v>
      </c>
      <c r="M5" s="214" t="s">
        <v>16</v>
      </c>
      <c r="R5" s="213" t="s">
        <v>2</v>
      </c>
      <c r="S5" s="214" t="s">
        <v>16</v>
      </c>
      <c r="V5" s="213" t="s">
        <v>2</v>
      </c>
      <c r="W5" s="214" t="s">
        <v>16</v>
      </c>
      <c r="X5" s="30"/>
      <c r="Y5" s="30"/>
      <c r="Z5" s="213" t="s">
        <v>2</v>
      </c>
      <c r="AA5" s="214" t="s">
        <v>16</v>
      </c>
      <c r="AB5" s="30"/>
      <c r="AC5" s="213" t="s">
        <v>2</v>
      </c>
      <c r="AD5" s="214" t="s">
        <v>16</v>
      </c>
      <c r="AF5" s="213" t="s">
        <v>2</v>
      </c>
      <c r="AG5" s="214" t="s">
        <v>16</v>
      </c>
      <c r="AI5" s="213" t="s">
        <v>2</v>
      </c>
      <c r="AJ5" s="214" t="s">
        <v>16</v>
      </c>
      <c r="AM5" s="213" t="s">
        <v>0</v>
      </c>
      <c r="AN5" s="214" t="s">
        <v>16</v>
      </c>
      <c r="AO5" s="28"/>
      <c r="AP5" s="28"/>
      <c r="AQ5" s="28"/>
      <c r="AR5" s="213" t="s">
        <v>0</v>
      </c>
      <c r="AS5" s="214" t="s">
        <v>16</v>
      </c>
      <c r="AT5" s="28"/>
      <c r="AU5" s="28"/>
      <c r="AV5" s="28"/>
      <c r="AX5" s="213" t="s">
        <v>0</v>
      </c>
      <c r="AY5" s="214" t="s">
        <v>16</v>
      </c>
      <c r="AZ5" s="242"/>
      <c r="BA5" s="245"/>
      <c r="BB5" s="245"/>
      <c r="BC5" s="213" t="s">
        <v>0</v>
      </c>
      <c r="BD5" s="214" t="s">
        <v>16</v>
      </c>
      <c r="BE5" s="242"/>
      <c r="BF5" s="245"/>
      <c r="BG5" s="245"/>
    </row>
    <row r="6" spans="1:59">
      <c r="A6" s="28"/>
      <c r="B6" s="27"/>
      <c r="C6" s="213" t="s">
        <v>3</v>
      </c>
      <c r="D6" s="214" t="s">
        <v>635</v>
      </c>
      <c r="F6" s="213" t="s">
        <v>3</v>
      </c>
      <c r="G6" s="214" t="s">
        <v>636</v>
      </c>
      <c r="L6" s="213" t="s">
        <v>3</v>
      </c>
      <c r="M6" s="214" t="s">
        <v>638</v>
      </c>
      <c r="R6" s="213" t="s">
        <v>3</v>
      </c>
      <c r="S6" s="214" t="s">
        <v>637</v>
      </c>
      <c r="V6" s="213" t="s">
        <v>3</v>
      </c>
      <c r="W6" s="214" t="s">
        <v>632</v>
      </c>
      <c r="Z6" s="213" t="s">
        <v>3</v>
      </c>
      <c r="AA6" s="214" t="s">
        <v>633</v>
      </c>
      <c r="AC6" s="213" t="s">
        <v>3</v>
      </c>
      <c r="AD6" s="214" t="s">
        <v>643</v>
      </c>
      <c r="AF6" s="213" t="s">
        <v>3</v>
      </c>
      <c r="AG6" s="214" t="s">
        <v>640</v>
      </c>
      <c r="AI6" s="213" t="s">
        <v>3</v>
      </c>
      <c r="AJ6" s="214" t="s">
        <v>641</v>
      </c>
      <c r="AM6" s="213" t="s">
        <v>3</v>
      </c>
      <c r="AN6" s="214" t="s">
        <v>75</v>
      </c>
      <c r="AO6" s="162"/>
      <c r="AP6" s="162"/>
      <c r="AQ6" s="162"/>
      <c r="AR6" s="213" t="s">
        <v>3</v>
      </c>
      <c r="AS6" s="214" t="s">
        <v>76</v>
      </c>
      <c r="AT6" s="162"/>
      <c r="AU6" s="162"/>
      <c r="AV6" s="162"/>
      <c r="AX6" s="213" t="s">
        <v>3</v>
      </c>
      <c r="AY6" s="214" t="s">
        <v>191</v>
      </c>
      <c r="AZ6" s="242"/>
      <c r="BA6" s="245"/>
      <c r="BB6" s="245"/>
      <c r="BC6" s="213" t="s">
        <v>3</v>
      </c>
      <c r="BD6" s="214" t="s">
        <v>206</v>
      </c>
      <c r="BE6" s="242"/>
      <c r="BF6" s="245"/>
      <c r="BG6" s="245"/>
    </row>
    <row r="7" spans="1:59">
      <c r="A7" s="28"/>
      <c r="B7" s="27"/>
      <c r="AM7" s="162"/>
      <c r="AN7" s="162"/>
      <c r="AO7" s="162"/>
      <c r="AP7" s="162"/>
      <c r="AQ7" s="162"/>
      <c r="AR7" s="162"/>
      <c r="AS7" s="162"/>
      <c r="AT7" s="162"/>
      <c r="AU7" s="162"/>
      <c r="AV7" s="162"/>
      <c r="AX7" s="162"/>
      <c r="AY7" s="162"/>
      <c r="AZ7" s="242"/>
      <c r="BA7" s="245"/>
      <c r="BB7" s="245"/>
      <c r="BC7" s="162"/>
      <c r="BD7" s="162"/>
      <c r="BE7" s="242"/>
      <c r="BF7" s="245"/>
      <c r="BG7" s="245"/>
    </row>
    <row r="8" spans="1:59" ht="28.8">
      <c r="A8" s="22" t="s">
        <v>680</v>
      </c>
      <c r="B8" s="22" t="s">
        <v>718</v>
      </c>
      <c r="C8" s="213" t="s">
        <v>286</v>
      </c>
      <c r="D8" t="s">
        <v>285</v>
      </c>
      <c r="F8" s="213" t="s">
        <v>286</v>
      </c>
      <c r="G8" s="214" t="s">
        <v>645</v>
      </c>
      <c r="H8" s="214" t="s">
        <v>803</v>
      </c>
      <c r="I8" s="214" t="s">
        <v>239</v>
      </c>
      <c r="J8" s="214" t="s">
        <v>521</v>
      </c>
      <c r="L8" s="213" t="s">
        <v>286</v>
      </c>
      <c r="M8" s="214" t="s">
        <v>646</v>
      </c>
      <c r="N8" s="214" t="s">
        <v>802</v>
      </c>
      <c r="O8" s="214" t="s">
        <v>239</v>
      </c>
      <c r="P8" s="214" t="s">
        <v>521</v>
      </c>
      <c r="R8" s="213" t="s">
        <v>286</v>
      </c>
      <c r="S8" s="214" t="s">
        <v>297</v>
      </c>
      <c r="T8" s="214" t="s">
        <v>521</v>
      </c>
      <c r="V8" s="213" t="s">
        <v>286</v>
      </c>
      <c r="W8" s="214" t="s">
        <v>330</v>
      </c>
      <c r="X8" s="214" t="s">
        <v>403</v>
      </c>
      <c r="Z8" s="213" t="s">
        <v>286</v>
      </c>
      <c r="AA8" t="s">
        <v>293</v>
      </c>
      <c r="AC8" s="213" t="s">
        <v>286</v>
      </c>
      <c r="AD8" t="s">
        <v>647</v>
      </c>
      <c r="AF8" s="213" t="s">
        <v>286</v>
      </c>
      <c r="AG8" t="s">
        <v>648</v>
      </c>
      <c r="AI8" s="213" t="s">
        <v>286</v>
      </c>
      <c r="AJ8" s="214" t="s">
        <v>650</v>
      </c>
      <c r="AK8" s="214" t="s">
        <v>651</v>
      </c>
      <c r="AM8" s="213" t="s">
        <v>286</v>
      </c>
      <c r="AN8" s="214" t="s">
        <v>728</v>
      </c>
      <c r="AO8" s="214" t="s">
        <v>729</v>
      </c>
      <c r="AP8" s="214" t="s">
        <v>730</v>
      </c>
      <c r="AQ8" s="214" t="s">
        <v>731</v>
      </c>
      <c r="AR8" s="213" t="s">
        <v>286</v>
      </c>
      <c r="AS8" s="214" t="s">
        <v>728</v>
      </c>
      <c r="AT8" s="214" t="s">
        <v>729</v>
      </c>
      <c r="AU8" s="214" t="s">
        <v>730</v>
      </c>
      <c r="AV8" s="214" t="s">
        <v>731</v>
      </c>
      <c r="AX8" s="213" t="s">
        <v>286</v>
      </c>
      <c r="AY8" s="214" t="s">
        <v>724</v>
      </c>
      <c r="AZ8" s="214" t="s">
        <v>725</v>
      </c>
      <c r="BA8" s="214" t="s">
        <v>726</v>
      </c>
      <c r="BB8" s="214" t="s">
        <v>727</v>
      </c>
      <c r="BC8" s="213" t="s">
        <v>286</v>
      </c>
      <c r="BD8" s="214" t="s">
        <v>724</v>
      </c>
      <c r="BE8" s="214" t="s">
        <v>725</v>
      </c>
      <c r="BF8" s="214" t="s">
        <v>726</v>
      </c>
      <c r="BG8" s="214" t="s">
        <v>727</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11"/>
  <sheetViews>
    <sheetView workbookViewId="0">
      <selection activeCell="H22" sqref="H22"/>
    </sheetView>
  </sheetViews>
  <sheetFormatPr defaultRowHeight="14.4"/>
  <cols>
    <col min="1" max="1" width="10.77734375" bestFit="1" customWidth="1"/>
    <col min="2" max="2" width="30" bestFit="1" customWidth="1"/>
    <col min="3" max="3" width="8.109375" customWidth="1"/>
    <col min="4" max="4" width="12.77734375" customWidth="1"/>
    <col min="5" max="5" width="8.109375" style="61" customWidth="1"/>
    <col min="6" max="6" width="9.33203125" customWidth="1"/>
    <col min="7" max="7" width="12.77734375" bestFit="1" customWidth="1"/>
    <col min="8" max="8" width="32.77734375" bestFit="1" customWidth="1"/>
    <col min="9" max="9" width="29" bestFit="1" customWidth="1"/>
    <col min="10" max="10" width="32.44140625" bestFit="1" customWidth="1"/>
    <col min="11" max="11" width="40.77734375" bestFit="1" customWidth="1"/>
    <col min="12" max="12" width="34.21875" bestFit="1" customWidth="1"/>
    <col min="13" max="13" width="15" bestFit="1" customWidth="1"/>
    <col min="14" max="14" width="16.21875" bestFit="1" customWidth="1"/>
    <col min="15" max="15" width="15.44140625" bestFit="1" customWidth="1"/>
    <col min="16" max="16" width="16.6640625" bestFit="1" customWidth="1"/>
    <col min="17" max="17" width="40.33203125" bestFit="1" customWidth="1"/>
    <col min="18" max="18" width="43.5546875" bestFit="1" customWidth="1"/>
    <col min="19" max="19" width="18.44140625" bestFit="1" customWidth="1"/>
    <col min="20" max="20" width="17.5546875" bestFit="1" customWidth="1"/>
    <col min="21" max="21" width="29.77734375" bestFit="1" customWidth="1"/>
    <col min="22" max="22" width="21" bestFit="1" customWidth="1"/>
    <col min="23" max="23" width="23.6640625" bestFit="1" customWidth="1"/>
    <col min="24" max="24" width="26.44140625" bestFit="1" customWidth="1"/>
    <col min="25" max="25" width="14.5546875" bestFit="1" customWidth="1"/>
    <col min="26" max="26" width="10.77734375" bestFit="1" customWidth="1"/>
    <col min="27" max="27" width="11.77734375" bestFit="1" customWidth="1"/>
    <col min="28" max="28" width="15.21875" bestFit="1" customWidth="1"/>
    <col min="29" max="29" width="16.21875" bestFit="1" customWidth="1"/>
    <col min="30" max="30" width="28" bestFit="1" customWidth="1"/>
    <col min="31" max="31" width="24" bestFit="1" customWidth="1"/>
    <col min="32" max="32" width="12.88671875" bestFit="1" customWidth="1"/>
    <col min="33" max="33" width="11.109375" bestFit="1" customWidth="1"/>
    <col min="34" max="34" width="12.109375" bestFit="1" customWidth="1"/>
    <col min="35" max="35" width="7" bestFit="1" customWidth="1"/>
    <col min="36" max="36" width="22" bestFit="1" customWidth="1"/>
    <col min="37" max="37" width="21.6640625" bestFit="1" customWidth="1"/>
    <col min="38" max="38" width="18.21875" bestFit="1" customWidth="1"/>
    <col min="39" max="39" width="27.88671875" bestFit="1" customWidth="1"/>
    <col min="40" max="40" width="27.5546875" bestFit="1" customWidth="1"/>
    <col min="41" max="41" width="24.109375" bestFit="1" customWidth="1"/>
    <col min="42" max="42" width="22.109375" bestFit="1" customWidth="1"/>
    <col min="43" max="43" width="23.6640625" bestFit="1" customWidth="1"/>
    <col min="44" max="44" width="29.6640625" bestFit="1" customWidth="1"/>
    <col min="45" max="45" width="24.21875" bestFit="1" customWidth="1"/>
    <col min="46" max="46" width="23.88671875" bestFit="1" customWidth="1"/>
    <col min="47" max="47" width="20.44140625" bestFit="1" customWidth="1"/>
    <col min="48" max="48" width="27.109375" bestFit="1" customWidth="1"/>
    <col min="49" max="49" width="26.77734375" bestFit="1" customWidth="1"/>
    <col min="50" max="50" width="23.33203125" bestFit="1" customWidth="1"/>
    <col min="51" max="51" width="21.33203125" bestFit="1" customWidth="1"/>
    <col min="52" max="52" width="20.88671875" bestFit="1" customWidth="1"/>
    <col min="53" max="53" width="18.33203125" bestFit="1" customWidth="1"/>
    <col min="54" max="54" width="18" bestFit="1" customWidth="1"/>
    <col min="55" max="55" width="14.5546875" bestFit="1" customWidth="1"/>
    <col min="56" max="56" width="20" bestFit="1" customWidth="1"/>
    <col min="57" max="57" width="20.88671875" bestFit="1" customWidth="1"/>
    <col min="58" max="58" width="33.6640625" bestFit="1" customWidth="1"/>
    <col min="59" max="59" width="38" bestFit="1" customWidth="1"/>
    <col min="60" max="60" width="34.21875" bestFit="1" customWidth="1"/>
    <col min="61" max="61" width="37.5546875" bestFit="1" customWidth="1"/>
    <col min="62" max="62" width="39.6640625" bestFit="1" customWidth="1"/>
    <col min="63" max="63" width="28.88671875" bestFit="1" customWidth="1"/>
    <col min="64" max="64" width="33.21875" bestFit="1" customWidth="1"/>
    <col min="65" max="65" width="29.5546875" bestFit="1" customWidth="1"/>
    <col min="66" max="66" width="32.88671875" bestFit="1" customWidth="1"/>
    <col min="67" max="67" width="34.33203125" bestFit="1" customWidth="1"/>
    <col min="68" max="68" width="23.5546875" bestFit="1" customWidth="1"/>
    <col min="69" max="69" width="26.88671875" bestFit="1" customWidth="1"/>
    <col min="70" max="70" width="26.5546875" bestFit="1" customWidth="1"/>
    <col min="71" max="71" width="23.109375" bestFit="1" customWidth="1"/>
    <col min="72" max="72" width="21.88671875" bestFit="1" customWidth="1"/>
    <col min="73" max="73" width="29.33203125" bestFit="1" customWidth="1"/>
    <col min="74" max="74" width="27.88671875" bestFit="1" customWidth="1"/>
    <col min="75" max="75" width="27.5546875" bestFit="1" customWidth="1"/>
    <col min="76" max="76" width="24.109375" bestFit="1" customWidth="1"/>
    <col min="77" max="77" width="23.88671875" bestFit="1" customWidth="1"/>
    <col min="78" max="78" width="21.77734375" bestFit="1" customWidth="1"/>
    <col min="79" max="79" width="30.6640625" bestFit="1" customWidth="1"/>
    <col min="80" max="80" width="26.88671875" bestFit="1" customWidth="1"/>
    <col min="81" max="81" width="30.33203125" bestFit="1" customWidth="1"/>
    <col min="82" max="82" width="25.6640625" bestFit="1" customWidth="1"/>
    <col min="83" max="83" width="27.44140625" bestFit="1" customWidth="1"/>
    <col min="84" max="84" width="30.44140625" bestFit="1" customWidth="1"/>
    <col min="85" max="85" width="26.6640625" bestFit="1" customWidth="1"/>
    <col min="86" max="86" width="30.109375" bestFit="1" customWidth="1"/>
    <col min="87" max="87" width="25.44140625" bestFit="1" customWidth="1"/>
    <col min="88" max="88" width="30" bestFit="1" customWidth="1"/>
    <col min="89" max="89" width="26.21875" bestFit="1" customWidth="1"/>
    <col min="90" max="90" width="29.6640625" bestFit="1" customWidth="1"/>
    <col min="91" max="91" width="30.77734375" bestFit="1" customWidth="1"/>
    <col min="92" max="92" width="27" bestFit="1" customWidth="1"/>
    <col min="93" max="93" width="30.44140625" bestFit="1" customWidth="1"/>
    <col min="94" max="94" width="26.109375" bestFit="1" customWidth="1"/>
    <col min="95" max="95" width="19.33203125" bestFit="1" customWidth="1"/>
    <col min="96" max="96" width="32.88671875" bestFit="1" customWidth="1"/>
    <col min="97" max="97" width="32.5546875" bestFit="1" customWidth="1"/>
    <col min="98" max="98" width="29.109375" bestFit="1" customWidth="1"/>
    <col min="99" max="99" width="28.88671875" bestFit="1" customWidth="1"/>
    <col min="100" max="100" width="26.77734375" bestFit="1" customWidth="1"/>
    <col min="101" max="101" width="25.6640625" bestFit="1" customWidth="1"/>
    <col min="102" max="103" width="26.44140625" bestFit="1" customWidth="1"/>
    <col min="104" max="104" width="28.21875" bestFit="1" customWidth="1"/>
    <col min="105" max="105" width="27.88671875" bestFit="1" customWidth="1"/>
    <col min="106" max="106" width="24.44140625" bestFit="1" customWidth="1"/>
    <col min="107" max="107" width="26" bestFit="1" customWidth="1"/>
    <col min="108" max="108" width="28" bestFit="1" customWidth="1"/>
    <col min="109" max="109" width="27.6640625" bestFit="1" customWidth="1"/>
    <col min="110" max="110" width="24.21875" bestFit="1" customWidth="1"/>
    <col min="111" max="111" width="33.109375" bestFit="1" customWidth="1"/>
    <col min="112" max="112" width="32.77734375" bestFit="1" customWidth="1"/>
    <col min="113" max="113" width="29.33203125" bestFit="1" customWidth="1"/>
    <col min="114" max="114" width="30.88671875" bestFit="1" customWidth="1"/>
    <col min="115" max="115" width="32.88671875" bestFit="1" customWidth="1"/>
    <col min="116" max="116" width="32.5546875" bestFit="1" customWidth="1"/>
    <col min="117" max="117" width="29.109375" bestFit="1" customWidth="1"/>
    <col min="118" max="118" width="28.5546875" bestFit="1" customWidth="1"/>
    <col min="119" max="119" width="42.44140625" bestFit="1" customWidth="1"/>
    <col min="120" max="120" width="24" bestFit="1" customWidth="1"/>
    <col min="121" max="121" width="27.44140625" bestFit="1" customWidth="1"/>
    <col min="122" max="122" width="29.5546875" bestFit="1" customWidth="1"/>
    <col min="123" max="123" width="22.5546875" bestFit="1" customWidth="1"/>
    <col min="124" max="124" width="26.88671875" bestFit="1" customWidth="1"/>
    <col min="125" max="125" width="26.5546875" bestFit="1" customWidth="1"/>
    <col min="126" max="126" width="23.109375" bestFit="1" customWidth="1"/>
    <col min="127" max="127" width="28.5546875" bestFit="1" customWidth="1"/>
    <col min="128" max="128" width="20.109375" bestFit="1" customWidth="1"/>
    <col min="129" max="129" width="25" bestFit="1" customWidth="1"/>
    <col min="130" max="130" width="16.33203125" bestFit="1" customWidth="1"/>
  </cols>
  <sheetData>
    <row r="3" spans="1:7">
      <c r="A3" s="213" t="s">
        <v>1</v>
      </c>
      <c r="B3" s="214" t="s">
        <v>16</v>
      </c>
    </row>
    <row r="4" spans="1:7">
      <c r="A4" s="213" t="s">
        <v>2</v>
      </c>
      <c r="B4" s="214" t="s">
        <v>16</v>
      </c>
    </row>
    <row r="5" spans="1:7">
      <c r="A5" s="214"/>
      <c r="B5" s="214"/>
    </row>
    <row r="6" spans="1:7">
      <c r="A6" s="223"/>
      <c r="B6" s="274" t="s">
        <v>800</v>
      </c>
      <c r="C6" s="223"/>
      <c r="D6" s="223"/>
      <c r="E6" s="277"/>
      <c r="F6" s="223"/>
      <c r="G6" s="223"/>
    </row>
    <row r="7" spans="1:7">
      <c r="A7" s="223"/>
      <c r="B7" s="275" t="s">
        <v>636</v>
      </c>
      <c r="C7" s="249"/>
      <c r="D7" s="249"/>
      <c r="E7" s="275" t="s">
        <v>637</v>
      </c>
      <c r="F7" s="249"/>
      <c r="G7" s="249"/>
    </row>
    <row r="8" spans="1:7">
      <c r="A8" s="274" t="s">
        <v>286</v>
      </c>
      <c r="B8" s="276" t="s">
        <v>347</v>
      </c>
      <c r="C8" s="276" t="s">
        <v>239</v>
      </c>
      <c r="D8" s="276" t="s">
        <v>870</v>
      </c>
      <c r="E8" s="278" t="s">
        <v>347</v>
      </c>
      <c r="F8" s="276" t="s">
        <v>239</v>
      </c>
      <c r="G8" s="276" t="s">
        <v>870</v>
      </c>
    </row>
    <row r="9" spans="1:7">
      <c r="A9" s="4" t="s">
        <v>50</v>
      </c>
      <c r="B9" s="99">
        <v>7.89</v>
      </c>
      <c r="C9" s="99">
        <v>7.89</v>
      </c>
      <c r="D9" s="99">
        <v>0</v>
      </c>
      <c r="E9" s="100">
        <v>3.45</v>
      </c>
      <c r="F9" s="99">
        <v>3.45</v>
      </c>
      <c r="G9" s="99">
        <v>0</v>
      </c>
    </row>
    <row r="10" spans="1:7">
      <c r="A10" s="182" t="s">
        <v>48</v>
      </c>
      <c r="B10" s="99">
        <v>7.89</v>
      </c>
      <c r="C10" s="99">
        <v>7.89</v>
      </c>
      <c r="D10" s="99">
        <v>0</v>
      </c>
      <c r="E10" s="100">
        <v>3.45</v>
      </c>
      <c r="F10" s="99">
        <v>3.45</v>
      </c>
      <c r="G10" s="99">
        <v>0</v>
      </c>
    </row>
    <row r="11" spans="1:7">
      <c r="A11" s="4" t="s">
        <v>17</v>
      </c>
      <c r="B11" s="99">
        <v>7.89</v>
      </c>
      <c r="C11" s="99">
        <v>7.89</v>
      </c>
      <c r="D11" s="99">
        <v>0</v>
      </c>
      <c r="E11" s="100">
        <v>3.45</v>
      </c>
      <c r="F11" s="99">
        <v>3.45</v>
      </c>
      <c r="G11" s="99">
        <v>0</v>
      </c>
    </row>
  </sheetData>
  <mergeCells count="2">
    <mergeCell ref="B7:D7"/>
    <mergeCell ref="E7:G7"/>
  </mergeCells>
  <pageMargins left="0.7" right="0.7" top="0.75" bottom="0.75" header="0.3" footer="0.3"/>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77" customWidth="1"/>
    <col min="8" max="8" width="7.88671875" style="177" customWidth="1"/>
    <col min="9" max="9" width="7" style="177" customWidth="1"/>
    <col min="11" max="11" width="16.44140625" customWidth="1"/>
    <col min="12" max="12" width="41.33203125" customWidth="1"/>
    <col min="13" max="13" width="8.44140625" style="177" customWidth="1"/>
    <col min="14" max="14" width="7.88671875" style="177" customWidth="1"/>
    <col min="15" max="15" width="7" style="177" customWidth="1"/>
    <col min="17" max="17" width="16.44140625" customWidth="1"/>
    <col min="18" max="18" width="22.109375" customWidth="1"/>
    <col min="19" max="19" width="7" style="177"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196" t="s">
        <v>842</v>
      </c>
    </row>
    <row r="2" spans="1:27" s="28" customFormat="1">
      <c r="B2" s="242" t="s">
        <v>291</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row>
    <row r="3" spans="1:27">
      <c r="A3" s="27"/>
      <c r="W3" s="30"/>
      <c r="X3" s="30"/>
      <c r="AA3" s="30"/>
    </row>
    <row r="4" spans="1:27">
      <c r="A4" s="27"/>
      <c r="B4" s="213" t="s">
        <v>0</v>
      </c>
      <c r="C4" s="214" t="s">
        <v>16</v>
      </c>
      <c r="E4" s="213" t="s">
        <v>0</v>
      </c>
      <c r="F4" s="214" t="s">
        <v>16</v>
      </c>
      <c r="K4" s="213" t="s">
        <v>0</v>
      </c>
      <c r="L4" s="214" t="s">
        <v>16</v>
      </c>
      <c r="Q4" s="213" t="s">
        <v>0</v>
      </c>
      <c r="R4" s="214" t="s">
        <v>16</v>
      </c>
      <c r="U4" s="213" t="s">
        <v>0</v>
      </c>
      <c r="V4" s="214" t="s">
        <v>16</v>
      </c>
      <c r="W4" s="30"/>
      <c r="X4" s="30"/>
      <c r="Y4" s="213" t="s">
        <v>0</v>
      </c>
      <c r="Z4" s="214" t="s">
        <v>16</v>
      </c>
      <c r="AA4" s="30"/>
    </row>
    <row r="5" spans="1:27">
      <c r="A5" s="27"/>
      <c r="B5" s="213" t="s">
        <v>3</v>
      </c>
      <c r="C5" s="214" t="s">
        <v>139</v>
      </c>
      <c r="E5" s="213" t="s">
        <v>3</v>
      </c>
      <c r="F5" s="214" t="s">
        <v>148</v>
      </c>
      <c r="K5" s="213" t="s">
        <v>3</v>
      </c>
      <c r="L5" s="214" t="s">
        <v>150</v>
      </c>
      <c r="Q5" s="213" t="s">
        <v>3</v>
      </c>
      <c r="R5" s="214" t="s">
        <v>151</v>
      </c>
      <c r="U5" s="213" t="s">
        <v>3</v>
      </c>
      <c r="V5" s="214" t="s">
        <v>401</v>
      </c>
      <c r="Y5" s="213" t="s">
        <v>3</v>
      </c>
      <c r="Z5" s="214" t="s">
        <v>402</v>
      </c>
    </row>
    <row r="6" spans="1:27">
      <c r="A6" s="27"/>
    </row>
    <row r="7" spans="1:27">
      <c r="A7" s="22" t="s">
        <v>92</v>
      </c>
      <c r="B7" s="213" t="s">
        <v>719</v>
      </c>
      <c r="C7" t="s">
        <v>285</v>
      </c>
      <c r="E7" s="213" t="s">
        <v>719</v>
      </c>
      <c r="F7" s="214" t="s">
        <v>295</v>
      </c>
      <c r="G7" s="214" t="s">
        <v>803</v>
      </c>
      <c r="H7" s="214" t="s">
        <v>239</v>
      </c>
      <c r="I7" s="214" t="s">
        <v>521</v>
      </c>
      <c r="K7" s="213" t="s">
        <v>719</v>
      </c>
      <c r="L7" s="214" t="s">
        <v>296</v>
      </c>
      <c r="M7" s="214" t="s">
        <v>802</v>
      </c>
      <c r="N7" s="214" t="s">
        <v>239</v>
      </c>
      <c r="O7" s="214" t="s">
        <v>521</v>
      </c>
      <c r="Q7" s="213" t="s">
        <v>719</v>
      </c>
      <c r="R7" s="214" t="s">
        <v>297</v>
      </c>
      <c r="S7" s="214" t="s">
        <v>521</v>
      </c>
      <c r="U7" s="213" t="s">
        <v>719</v>
      </c>
      <c r="V7" s="214" t="s">
        <v>330</v>
      </c>
      <c r="W7" s="214" t="s">
        <v>403</v>
      </c>
      <c r="Y7" s="213" t="s">
        <v>719</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77" customWidth="1"/>
    <col min="9" max="9" width="7.88671875" style="177" customWidth="1"/>
    <col min="10" max="10" width="7" style="177" customWidth="1"/>
    <col min="12" max="12" width="10.77734375" customWidth="1"/>
    <col min="13" max="13" width="41.33203125" customWidth="1"/>
    <col min="14" max="14" width="8.44140625" customWidth="1"/>
    <col min="15" max="15" width="7.88671875" style="177" customWidth="1"/>
    <col min="16" max="16" width="7" style="177" customWidth="1"/>
    <col min="17" max="17" width="5.5546875" style="177" customWidth="1"/>
    <col min="18" max="18" width="10.77734375" customWidth="1"/>
    <col min="19" max="19" width="22.109375" customWidth="1"/>
    <col min="20" max="20" width="7" style="177"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2"/>
      <c r="AI1" s="242"/>
      <c r="AJ1" s="245"/>
      <c r="AK1" s="245"/>
      <c r="AL1" s="245"/>
      <c r="AM1" s="245"/>
    </row>
    <row r="2" spans="1:53">
      <c r="A2" s="28"/>
      <c r="B2" s="28"/>
      <c r="C2" s="242" t="s">
        <v>291</v>
      </c>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8"/>
      <c r="AD2" s="28"/>
      <c r="AE2" s="28"/>
      <c r="AF2" s="28"/>
      <c r="AG2" s="28"/>
      <c r="AH2" s="162"/>
      <c r="AI2" s="242"/>
      <c r="AJ2" s="245"/>
      <c r="AK2" s="245"/>
      <c r="AL2" s="245"/>
      <c r="AM2" s="245"/>
    </row>
    <row r="3" spans="1:53" s="28" customFormat="1">
      <c r="C3" s="213" t="s">
        <v>0</v>
      </c>
      <c r="D3" s="214" t="s">
        <v>16</v>
      </c>
      <c r="F3" s="213" t="s">
        <v>0</v>
      </c>
      <c r="G3" s="214" t="s">
        <v>16</v>
      </c>
      <c r="H3" s="177"/>
      <c r="I3" s="177"/>
      <c r="J3" s="177"/>
      <c r="L3" s="213" t="s">
        <v>0</v>
      </c>
      <c r="M3" s="214" t="s">
        <v>16</v>
      </c>
      <c r="R3" s="213" t="s">
        <v>0</v>
      </c>
      <c r="S3" s="214" t="s">
        <v>16</v>
      </c>
      <c r="T3" s="177"/>
      <c r="V3" s="213" t="s">
        <v>0</v>
      </c>
      <c r="W3" s="214" t="s">
        <v>16</v>
      </c>
      <c r="Z3" s="213" t="s">
        <v>0</v>
      </c>
      <c r="AA3" s="214" t="s">
        <v>16</v>
      </c>
      <c r="AH3" s="162"/>
      <c r="AI3" s="242"/>
      <c r="AJ3" s="245"/>
      <c r="AK3" s="245"/>
      <c r="AL3" s="245"/>
      <c r="AM3" s="245"/>
    </row>
    <row r="4" spans="1:53">
      <c r="A4" s="28"/>
      <c r="B4" s="27"/>
      <c r="C4" s="213" t="s">
        <v>1</v>
      </c>
      <c r="D4" s="214" t="s">
        <v>16</v>
      </c>
      <c r="F4" s="213" t="s">
        <v>1</v>
      </c>
      <c r="G4" s="214" t="s">
        <v>16</v>
      </c>
      <c r="L4" s="213" t="s">
        <v>1</v>
      </c>
      <c r="M4" s="214" t="s">
        <v>16</v>
      </c>
      <c r="R4" s="213" t="s">
        <v>1</v>
      </c>
      <c r="S4" s="214" t="s">
        <v>16</v>
      </c>
      <c r="V4" s="213" t="s">
        <v>1</v>
      </c>
      <c r="W4" s="214" t="s">
        <v>16</v>
      </c>
      <c r="X4" s="30"/>
      <c r="Y4" s="30"/>
      <c r="Z4" s="213" t="s">
        <v>1</v>
      </c>
      <c r="AA4" s="214" t="s">
        <v>16</v>
      </c>
      <c r="AB4" s="30"/>
      <c r="AC4" s="244" t="s">
        <v>435</v>
      </c>
      <c r="AD4" s="245"/>
      <c r="AE4" s="245"/>
      <c r="AF4" s="245"/>
      <c r="AG4" s="245"/>
      <c r="AH4" s="162"/>
      <c r="AI4" s="242" t="s">
        <v>291</v>
      </c>
      <c r="AJ4" s="245"/>
      <c r="AK4" s="245"/>
      <c r="AL4" s="245"/>
      <c r="AM4" s="245"/>
      <c r="AN4" s="163"/>
      <c r="AO4" s="163"/>
      <c r="AP4" s="163"/>
      <c r="AQ4" s="163"/>
      <c r="AR4" s="163"/>
      <c r="AS4" s="163"/>
      <c r="AT4" s="163"/>
      <c r="AU4" s="163"/>
      <c r="AV4" s="163"/>
      <c r="AW4" s="163"/>
      <c r="AX4" s="163"/>
      <c r="AY4" s="163"/>
      <c r="AZ4" s="163"/>
      <c r="BA4" s="163"/>
    </row>
    <row r="5" spans="1:53">
      <c r="A5" s="28"/>
      <c r="B5" s="27"/>
      <c r="C5" s="213" t="s">
        <v>2</v>
      </c>
      <c r="D5" s="214" t="s">
        <v>16</v>
      </c>
      <c r="F5" s="213" t="s">
        <v>2</v>
      </c>
      <c r="G5" s="214" t="s">
        <v>16</v>
      </c>
      <c r="L5" s="213" t="s">
        <v>2</v>
      </c>
      <c r="M5" s="214" t="s">
        <v>16</v>
      </c>
      <c r="R5" s="213" t="s">
        <v>2</v>
      </c>
      <c r="S5" s="214" t="s">
        <v>16</v>
      </c>
      <c r="V5" s="213" t="s">
        <v>2</v>
      </c>
      <c r="W5" s="214" t="s">
        <v>16</v>
      </c>
      <c r="X5" s="30"/>
      <c r="Y5" s="30"/>
      <c r="Z5" s="213" t="s">
        <v>2</v>
      </c>
      <c r="AA5" s="214" t="s">
        <v>16</v>
      </c>
      <c r="AB5" s="30"/>
      <c r="AC5" s="213" t="s">
        <v>0</v>
      </c>
      <c r="AD5" s="214" t="s">
        <v>16</v>
      </c>
      <c r="AE5" s="28"/>
      <c r="AF5" s="28"/>
      <c r="AG5" s="28"/>
      <c r="AI5" s="213" t="s">
        <v>0</v>
      </c>
      <c r="AJ5" s="214" t="s">
        <v>16</v>
      </c>
      <c r="AK5" s="242"/>
      <c r="AL5" s="245"/>
      <c r="AM5" s="245"/>
    </row>
    <row r="6" spans="1:53">
      <c r="A6" s="28"/>
      <c r="B6" s="27"/>
      <c r="C6" s="213" t="s">
        <v>3</v>
      </c>
      <c r="D6" s="214" t="s">
        <v>139</v>
      </c>
      <c r="F6" s="213" t="s">
        <v>3</v>
      </c>
      <c r="G6" s="214" t="s">
        <v>148</v>
      </c>
      <c r="L6" s="213" t="s">
        <v>3</v>
      </c>
      <c r="M6" s="214" t="s">
        <v>150</v>
      </c>
      <c r="R6" s="213" t="s">
        <v>3</v>
      </c>
      <c r="S6" s="214" t="s">
        <v>151</v>
      </c>
      <c r="V6" s="213" t="s">
        <v>3</v>
      </c>
      <c r="W6" s="214" t="s">
        <v>401</v>
      </c>
      <c r="Z6" s="213" t="s">
        <v>3</v>
      </c>
      <c r="AA6" s="214" t="s">
        <v>402</v>
      </c>
      <c r="AC6" s="213" t="s">
        <v>3</v>
      </c>
      <c r="AD6" s="214" t="s">
        <v>69</v>
      </c>
      <c r="AI6" s="213" t="s">
        <v>3</v>
      </c>
      <c r="AJ6" s="214" t="s">
        <v>211</v>
      </c>
      <c r="AK6" s="242"/>
      <c r="AL6" s="245"/>
      <c r="AM6" s="245"/>
    </row>
    <row r="7" spans="1:53">
      <c r="A7" s="28"/>
      <c r="B7" s="27"/>
      <c r="AC7" s="162"/>
      <c r="AD7" s="162"/>
      <c r="AI7" s="162"/>
      <c r="AJ7" s="162"/>
      <c r="AK7" s="242"/>
      <c r="AL7" s="245"/>
      <c r="AM7" s="245"/>
    </row>
    <row r="8" spans="1:53" ht="28.8">
      <c r="A8" s="22" t="s">
        <v>680</v>
      </c>
      <c r="B8" s="22" t="s">
        <v>718</v>
      </c>
      <c r="C8" s="213" t="s">
        <v>286</v>
      </c>
      <c r="D8" t="s">
        <v>285</v>
      </c>
      <c r="F8" s="213" t="s">
        <v>286</v>
      </c>
      <c r="G8" s="214" t="s">
        <v>295</v>
      </c>
      <c r="H8" s="214" t="s">
        <v>803</v>
      </c>
      <c r="I8" s="214" t="s">
        <v>239</v>
      </c>
      <c r="J8" s="214" t="s">
        <v>521</v>
      </c>
      <c r="L8" s="213" t="s">
        <v>286</v>
      </c>
      <c r="M8" s="214" t="s">
        <v>296</v>
      </c>
      <c r="N8" s="214" t="s">
        <v>802</v>
      </c>
      <c r="O8" s="214" t="s">
        <v>239</v>
      </c>
      <c r="P8" s="214" t="s">
        <v>521</v>
      </c>
      <c r="R8" s="213" t="s">
        <v>286</v>
      </c>
      <c r="S8" s="214" t="s">
        <v>297</v>
      </c>
      <c r="T8" s="214" t="s">
        <v>521</v>
      </c>
      <c r="V8" s="213" t="s">
        <v>286</v>
      </c>
      <c r="W8" s="214" t="s">
        <v>330</v>
      </c>
      <c r="X8" s="214" t="s">
        <v>409</v>
      </c>
      <c r="Z8" s="213" t="s">
        <v>286</v>
      </c>
      <c r="AA8" t="s">
        <v>293</v>
      </c>
      <c r="AC8" s="213" t="s">
        <v>286</v>
      </c>
      <c r="AD8" s="214" t="s">
        <v>720</v>
      </c>
      <c r="AE8" s="214" t="s">
        <v>721</v>
      </c>
      <c r="AF8" s="214" t="s">
        <v>722</v>
      </c>
      <c r="AG8" s="214" t="s">
        <v>723</v>
      </c>
      <c r="AI8" s="213" t="s">
        <v>286</v>
      </c>
      <c r="AJ8" s="214" t="s">
        <v>724</v>
      </c>
      <c r="AK8" s="214" t="s">
        <v>725</v>
      </c>
      <c r="AL8" s="214" t="s">
        <v>726</v>
      </c>
      <c r="AM8" s="214" t="s">
        <v>727</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11"/>
  <sheetViews>
    <sheetView workbookViewId="0">
      <selection activeCell="H22" sqref="H22"/>
    </sheetView>
  </sheetViews>
  <sheetFormatPr defaultRowHeight="14.4"/>
  <cols>
    <col min="1" max="1" width="10.77734375" style="214" bestFit="1" customWidth="1"/>
    <col min="2" max="2" width="30" style="214" bestFit="1" customWidth="1"/>
    <col min="3" max="3" width="8.109375" style="214" customWidth="1"/>
    <col min="4" max="4" width="12.77734375" style="214" customWidth="1"/>
    <col min="5" max="5" width="8.109375" style="61" customWidth="1"/>
    <col min="6" max="6" width="9.33203125" style="214" customWidth="1"/>
    <col min="7" max="7" width="12.77734375" style="214" bestFit="1" customWidth="1"/>
    <col min="8" max="8" width="32.77734375" style="214" bestFit="1" customWidth="1"/>
    <col min="9" max="9" width="29" style="214" bestFit="1" customWidth="1"/>
    <col min="10" max="10" width="32.44140625" style="214" bestFit="1" customWidth="1"/>
    <col min="11" max="11" width="40.77734375" style="214" bestFit="1" customWidth="1"/>
    <col min="12" max="12" width="34.21875" style="214" bestFit="1" customWidth="1"/>
    <col min="13" max="13" width="15" style="214" bestFit="1" customWidth="1"/>
    <col min="14" max="14" width="16.21875" style="214" bestFit="1" customWidth="1"/>
    <col min="15" max="15" width="15.44140625" style="214" bestFit="1" customWidth="1"/>
    <col min="16" max="16" width="16.6640625" style="214" bestFit="1" customWidth="1"/>
    <col min="17" max="17" width="40.33203125" style="214" bestFit="1" customWidth="1"/>
    <col min="18" max="18" width="43.5546875" style="214" bestFit="1" customWidth="1"/>
    <col min="19" max="19" width="18.44140625" style="214" bestFit="1" customWidth="1"/>
    <col min="20" max="20" width="17.5546875" style="214" bestFit="1" customWidth="1"/>
    <col min="21" max="21" width="29.77734375" style="214" bestFit="1" customWidth="1"/>
    <col min="22" max="22" width="21" style="214" bestFit="1" customWidth="1"/>
    <col min="23" max="23" width="23.6640625" style="214" bestFit="1" customWidth="1"/>
    <col min="24" max="24" width="26.44140625" style="214" bestFit="1" customWidth="1"/>
    <col min="25" max="25" width="14.5546875" style="214" bestFit="1" customWidth="1"/>
    <col min="26" max="26" width="10.77734375" style="214" bestFit="1" customWidth="1"/>
    <col min="27" max="27" width="11.77734375" style="214" bestFit="1" customWidth="1"/>
    <col min="28" max="28" width="15.21875" style="214" bestFit="1" customWidth="1"/>
    <col min="29" max="29" width="16.21875" style="214" bestFit="1" customWidth="1"/>
    <col min="30" max="30" width="28" style="214" bestFit="1" customWidth="1"/>
    <col min="31" max="31" width="24" style="214" bestFit="1" customWidth="1"/>
    <col min="32" max="32" width="12.88671875" style="214" bestFit="1" customWidth="1"/>
    <col min="33" max="33" width="11.109375" style="214" bestFit="1" customWidth="1"/>
    <col min="34" max="34" width="12.109375" style="214" bestFit="1" customWidth="1"/>
    <col min="35" max="35" width="7" style="214" bestFit="1" customWidth="1"/>
    <col min="36" max="36" width="22" style="214" bestFit="1" customWidth="1"/>
    <col min="37" max="37" width="21.6640625" style="214" bestFit="1" customWidth="1"/>
    <col min="38" max="38" width="18.21875" style="214" bestFit="1" customWidth="1"/>
    <col min="39" max="39" width="27.88671875" style="214" bestFit="1" customWidth="1"/>
    <col min="40" max="40" width="27.5546875" style="214" bestFit="1" customWidth="1"/>
    <col min="41" max="41" width="24.109375" style="214" bestFit="1" customWidth="1"/>
    <col min="42" max="42" width="22.109375" style="214" bestFit="1" customWidth="1"/>
    <col min="43" max="43" width="23.6640625" style="214" bestFit="1" customWidth="1"/>
    <col min="44" max="44" width="29.6640625" style="214" bestFit="1" customWidth="1"/>
    <col min="45" max="45" width="24.21875" style="214" bestFit="1" customWidth="1"/>
    <col min="46" max="46" width="23.88671875" style="214" bestFit="1" customWidth="1"/>
    <col min="47" max="47" width="20.44140625" style="214" bestFit="1" customWidth="1"/>
    <col min="48" max="48" width="27.109375" style="214" bestFit="1" customWidth="1"/>
    <col min="49" max="49" width="26.77734375" style="214" bestFit="1" customWidth="1"/>
    <col min="50" max="50" width="23.33203125" style="214" bestFit="1" customWidth="1"/>
    <col min="51" max="51" width="21.33203125" style="214" bestFit="1" customWidth="1"/>
    <col min="52" max="52" width="20.88671875" style="214" bestFit="1" customWidth="1"/>
    <col min="53" max="53" width="18.33203125" style="214" bestFit="1" customWidth="1"/>
    <col min="54" max="54" width="18" style="214" bestFit="1" customWidth="1"/>
    <col min="55" max="55" width="14.5546875" style="214" bestFit="1" customWidth="1"/>
    <col min="56" max="56" width="20" style="214" bestFit="1" customWidth="1"/>
    <col min="57" max="57" width="20.88671875" style="214" bestFit="1" customWidth="1"/>
    <col min="58" max="58" width="33.6640625" style="214" bestFit="1" customWidth="1"/>
    <col min="59" max="59" width="38" style="214" bestFit="1" customWidth="1"/>
    <col min="60" max="60" width="34.21875" style="214" bestFit="1" customWidth="1"/>
    <col min="61" max="61" width="37.5546875" style="214" bestFit="1" customWidth="1"/>
    <col min="62" max="62" width="39.6640625" style="214" bestFit="1" customWidth="1"/>
    <col min="63" max="63" width="28.88671875" style="214" bestFit="1" customWidth="1"/>
    <col min="64" max="64" width="33.21875" style="214" bestFit="1" customWidth="1"/>
    <col min="65" max="65" width="29.5546875" style="214" bestFit="1" customWidth="1"/>
    <col min="66" max="66" width="32.88671875" style="214" bestFit="1" customWidth="1"/>
    <col min="67" max="67" width="34.33203125" style="214" bestFit="1" customWidth="1"/>
    <col min="68" max="68" width="23.5546875" style="214" bestFit="1" customWidth="1"/>
    <col min="69" max="69" width="26.88671875" style="214" bestFit="1" customWidth="1"/>
    <col min="70" max="70" width="26.5546875" style="214" bestFit="1" customWidth="1"/>
    <col min="71" max="71" width="23.109375" style="214" bestFit="1" customWidth="1"/>
    <col min="72" max="72" width="21.88671875" style="214" bestFit="1" customWidth="1"/>
    <col min="73" max="73" width="29.33203125" style="214" bestFit="1" customWidth="1"/>
    <col min="74" max="74" width="27.88671875" style="214" bestFit="1" customWidth="1"/>
    <col min="75" max="75" width="27.5546875" style="214" bestFit="1" customWidth="1"/>
    <col min="76" max="76" width="24.109375" style="214" bestFit="1" customWidth="1"/>
    <col min="77" max="77" width="23.88671875" style="214" bestFit="1" customWidth="1"/>
    <col min="78" max="78" width="21.77734375" style="214" bestFit="1" customWidth="1"/>
    <col min="79" max="79" width="30.6640625" style="214" bestFit="1" customWidth="1"/>
    <col min="80" max="80" width="26.88671875" style="214" bestFit="1" customWidth="1"/>
    <col min="81" max="81" width="30.33203125" style="214" bestFit="1" customWidth="1"/>
    <col min="82" max="82" width="25.6640625" style="214" bestFit="1" customWidth="1"/>
    <col min="83" max="83" width="27.44140625" style="214" bestFit="1" customWidth="1"/>
    <col min="84" max="84" width="30.44140625" style="214" bestFit="1" customWidth="1"/>
    <col min="85" max="85" width="26.6640625" style="214" bestFit="1" customWidth="1"/>
    <col min="86" max="86" width="30.109375" style="214" bestFit="1" customWidth="1"/>
    <col min="87" max="87" width="25.44140625" style="214" bestFit="1" customWidth="1"/>
    <col min="88" max="88" width="30" style="214" bestFit="1" customWidth="1"/>
    <col min="89" max="89" width="26.21875" style="214" bestFit="1" customWidth="1"/>
    <col min="90" max="90" width="29.6640625" style="214" bestFit="1" customWidth="1"/>
    <col min="91" max="91" width="30.77734375" style="214" bestFit="1" customWidth="1"/>
    <col min="92" max="92" width="27" style="214" bestFit="1" customWidth="1"/>
    <col min="93" max="93" width="30.44140625" style="214" bestFit="1" customWidth="1"/>
    <col min="94" max="94" width="26.109375" style="214" bestFit="1" customWidth="1"/>
    <col min="95" max="95" width="19.33203125" style="214" bestFit="1" customWidth="1"/>
    <col min="96" max="96" width="32.88671875" style="214" bestFit="1" customWidth="1"/>
    <col min="97" max="97" width="32.5546875" style="214" bestFit="1" customWidth="1"/>
    <col min="98" max="98" width="29.109375" style="214" bestFit="1" customWidth="1"/>
    <col min="99" max="99" width="28.88671875" style="214" bestFit="1" customWidth="1"/>
    <col min="100" max="100" width="26.77734375" style="214" bestFit="1" customWidth="1"/>
    <col min="101" max="101" width="25.6640625" style="214" bestFit="1" customWidth="1"/>
    <col min="102" max="103" width="26.44140625" style="214" bestFit="1" customWidth="1"/>
    <col min="104" max="104" width="28.21875" style="214" bestFit="1" customWidth="1"/>
    <col min="105" max="105" width="27.88671875" style="214" bestFit="1" customWidth="1"/>
    <col min="106" max="106" width="24.44140625" style="214" bestFit="1" customWidth="1"/>
    <col min="107" max="107" width="26" style="214" bestFit="1" customWidth="1"/>
    <col min="108" max="108" width="28" style="214" bestFit="1" customWidth="1"/>
    <col min="109" max="109" width="27.6640625" style="214" bestFit="1" customWidth="1"/>
    <col min="110" max="110" width="24.21875" style="214" bestFit="1" customWidth="1"/>
    <col min="111" max="111" width="33.109375" style="214" bestFit="1" customWidth="1"/>
    <col min="112" max="112" width="32.77734375" style="214" bestFit="1" customWidth="1"/>
    <col min="113" max="113" width="29.33203125" style="214" bestFit="1" customWidth="1"/>
    <col min="114" max="114" width="30.88671875" style="214" bestFit="1" customWidth="1"/>
    <col min="115" max="115" width="32.88671875" style="214" bestFit="1" customWidth="1"/>
    <col min="116" max="116" width="32.5546875" style="214" bestFit="1" customWidth="1"/>
    <col min="117" max="117" width="29.109375" style="214" bestFit="1" customWidth="1"/>
    <col min="118" max="118" width="28.5546875" style="214" bestFit="1" customWidth="1"/>
    <col min="119" max="119" width="42.44140625" style="214" bestFit="1" customWidth="1"/>
    <col min="120" max="120" width="24" style="214" bestFit="1" customWidth="1"/>
    <col min="121" max="121" width="27.44140625" style="214" bestFit="1" customWidth="1"/>
    <col min="122" max="122" width="29.5546875" style="214" bestFit="1" customWidth="1"/>
    <col min="123" max="123" width="22.5546875" style="214" bestFit="1" customWidth="1"/>
    <col min="124" max="124" width="26.88671875" style="214" bestFit="1" customWidth="1"/>
    <col min="125" max="125" width="26.5546875" style="214" bestFit="1" customWidth="1"/>
    <col min="126" max="126" width="23.109375" style="214" bestFit="1" customWidth="1"/>
    <col min="127" max="127" width="28.5546875" style="214" bestFit="1" customWidth="1"/>
    <col min="128" max="128" width="20.109375" style="214" bestFit="1" customWidth="1"/>
    <col min="129" max="129" width="25" style="214" bestFit="1" customWidth="1"/>
    <col min="130" max="130" width="16.33203125" style="214" bestFit="1" customWidth="1"/>
    <col min="131" max="16384" width="8.88671875" style="214"/>
  </cols>
  <sheetData>
    <row r="3" spans="1:7">
      <c r="A3" s="213" t="s">
        <v>1</v>
      </c>
      <c r="B3" s="214" t="s">
        <v>16</v>
      </c>
    </row>
    <row r="4" spans="1:7">
      <c r="A4" s="213" t="s">
        <v>2</v>
      </c>
      <c r="B4" s="214" t="s">
        <v>16</v>
      </c>
    </row>
    <row r="6" spans="1:7">
      <c r="A6" s="223"/>
      <c r="B6" s="274" t="s">
        <v>800</v>
      </c>
      <c r="C6" s="223"/>
      <c r="D6" s="223"/>
      <c r="E6" s="277"/>
      <c r="F6" s="223"/>
      <c r="G6" s="223"/>
    </row>
    <row r="7" spans="1:7">
      <c r="A7" s="223"/>
      <c r="B7" s="275" t="s">
        <v>148</v>
      </c>
      <c r="C7" s="249"/>
      <c r="D7" s="249"/>
      <c r="E7" s="275" t="s">
        <v>151</v>
      </c>
      <c r="F7" s="249"/>
      <c r="G7" s="249"/>
    </row>
    <row r="8" spans="1:7">
      <c r="A8" s="274" t="s">
        <v>286</v>
      </c>
      <c r="B8" s="276" t="s">
        <v>347</v>
      </c>
      <c r="C8" s="276" t="s">
        <v>239</v>
      </c>
      <c r="D8" s="276" t="s">
        <v>870</v>
      </c>
      <c r="E8" s="276" t="s">
        <v>347</v>
      </c>
      <c r="F8" s="276" t="s">
        <v>239</v>
      </c>
      <c r="G8" s="276" t="s">
        <v>870</v>
      </c>
    </row>
    <row r="9" spans="1:7">
      <c r="A9" s="4" t="s">
        <v>50</v>
      </c>
      <c r="B9" s="99">
        <v>4.5546290000000003</v>
      </c>
      <c r="C9" s="99">
        <v>2.3732310000000001</v>
      </c>
      <c r="D9" s="99">
        <v>2.1813980000000002</v>
      </c>
      <c r="E9" s="99">
        <v>3.8825877000000002</v>
      </c>
      <c r="F9" s="99">
        <v>2.0372103500000001</v>
      </c>
      <c r="G9" s="99">
        <v>1.8453773499999999</v>
      </c>
    </row>
    <row r="10" spans="1:7">
      <c r="A10" s="182" t="s">
        <v>48</v>
      </c>
      <c r="B10" s="99">
        <v>4.5546290000000003</v>
      </c>
      <c r="C10" s="99">
        <v>2.3732310000000001</v>
      </c>
      <c r="D10" s="99">
        <v>2.1813980000000002</v>
      </c>
      <c r="E10" s="99">
        <v>3.8825877000000002</v>
      </c>
      <c r="F10" s="99">
        <v>2.0372103500000001</v>
      </c>
      <c r="G10" s="99">
        <v>1.8453773499999999</v>
      </c>
    </row>
    <row r="11" spans="1:7">
      <c r="A11" s="4" t="s">
        <v>17</v>
      </c>
      <c r="B11" s="99">
        <v>4.5546290000000003</v>
      </c>
      <c r="C11" s="99">
        <v>2.3732310000000001</v>
      </c>
      <c r="D11" s="99">
        <v>2.1813980000000002</v>
      </c>
      <c r="E11" s="99">
        <v>3.8825877000000002</v>
      </c>
      <c r="F11" s="99">
        <v>2.0372103500000001</v>
      </c>
      <c r="G11" s="99">
        <v>1.8453773499999999</v>
      </c>
    </row>
  </sheetData>
  <mergeCells count="2">
    <mergeCell ref="B7:D7"/>
    <mergeCell ref="E7:G7"/>
  </mergeCells>
  <pageMargins left="0.7" right="0.7" top="0.75" bottom="0.75" header="0.3" footer="0.3"/>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195" customWidth="1"/>
    <col min="5" max="5" width="16.44140625" style="195"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196" t="s">
        <v>842</v>
      </c>
    </row>
    <row r="2" spans="1:40" s="28" customFormat="1">
      <c r="B2" s="242" t="s">
        <v>291</v>
      </c>
      <c r="C2" s="250"/>
      <c r="D2" s="250"/>
      <c r="E2" s="250"/>
      <c r="F2" s="250"/>
      <c r="G2" s="250"/>
      <c r="H2" s="250"/>
      <c r="I2" s="250"/>
      <c r="J2" s="250"/>
      <c r="K2" s="250"/>
      <c r="L2" s="250"/>
      <c r="M2" s="250"/>
      <c r="N2" s="250"/>
      <c r="O2" s="250"/>
      <c r="P2" s="250"/>
      <c r="Q2" s="250"/>
      <c r="R2" s="250"/>
      <c r="S2" s="250"/>
      <c r="T2" s="250"/>
      <c r="U2" s="250"/>
      <c r="V2" s="250"/>
      <c r="W2" s="250"/>
      <c r="X2" s="250"/>
      <c r="Y2" s="250"/>
      <c r="Z2" s="250"/>
      <c r="AA2" s="250"/>
    </row>
    <row r="3" spans="1:40">
      <c r="A3" s="27"/>
      <c r="B3"/>
      <c r="C3"/>
      <c r="G3"/>
      <c r="H3"/>
      <c r="J3"/>
      <c r="K3"/>
      <c r="N3"/>
      <c r="O3"/>
      <c r="Q3"/>
      <c r="R3"/>
      <c r="S3" s="30"/>
      <c r="T3" s="30"/>
      <c r="W3" s="30"/>
    </row>
    <row r="4" spans="1:40">
      <c r="A4" s="27"/>
      <c r="B4" s="213" t="s">
        <v>0</v>
      </c>
      <c r="C4" s="214" t="s">
        <v>16</v>
      </c>
      <c r="E4" s="213" t="s">
        <v>0</v>
      </c>
      <c r="F4" s="214" t="s">
        <v>16</v>
      </c>
      <c r="G4" s="195"/>
      <c r="H4" s="213" t="s">
        <v>0</v>
      </c>
      <c r="I4" s="214" t="s">
        <v>16</v>
      </c>
      <c r="J4" s="195"/>
      <c r="K4" s="195"/>
      <c r="L4" s="195"/>
      <c r="M4" s="195"/>
      <c r="N4" s="213" t="s">
        <v>0</v>
      </c>
      <c r="O4" s="214" t="s">
        <v>16</v>
      </c>
      <c r="P4" s="195"/>
      <c r="Q4" s="195"/>
      <c r="R4" s="195"/>
      <c r="S4" s="195"/>
      <c r="T4" s="213" t="s">
        <v>0</v>
      </c>
      <c r="U4" s="214" t="s">
        <v>16</v>
      </c>
      <c r="V4" s="195"/>
      <c r="X4" s="213" t="s">
        <v>0</v>
      </c>
      <c r="Y4" s="214" t="s">
        <v>16</v>
      </c>
      <c r="AA4" s="213" t="s">
        <v>0</v>
      </c>
      <c r="AB4" s="214" t="s">
        <v>16</v>
      </c>
      <c r="AE4" s="213" t="s">
        <v>0</v>
      </c>
      <c r="AF4" s="214" t="s">
        <v>16</v>
      </c>
      <c r="AH4" s="213" t="s">
        <v>0</v>
      </c>
      <c r="AI4" s="214" t="s">
        <v>16</v>
      </c>
      <c r="AJ4" s="30"/>
      <c r="AK4" s="30"/>
      <c r="AN4" s="30"/>
    </row>
    <row r="5" spans="1:40">
      <c r="A5" s="27"/>
      <c r="B5" s="213" t="s">
        <v>3</v>
      </c>
      <c r="C5" s="214" t="s">
        <v>611</v>
      </c>
      <c r="E5" s="213" t="s">
        <v>3</v>
      </c>
      <c r="F5" s="214" t="s">
        <v>841</v>
      </c>
      <c r="G5" s="195"/>
      <c r="H5" s="213" t="s">
        <v>3</v>
      </c>
      <c r="I5" s="214" t="s">
        <v>836</v>
      </c>
      <c r="J5" s="195"/>
      <c r="K5" s="195"/>
      <c r="L5" s="195"/>
      <c r="M5" s="195"/>
      <c r="N5" s="213" t="s">
        <v>3</v>
      </c>
      <c r="O5" s="214" t="s">
        <v>838</v>
      </c>
      <c r="P5" s="195"/>
      <c r="Q5" s="195"/>
      <c r="R5" s="195"/>
      <c r="S5" s="195"/>
      <c r="T5" s="213" t="s">
        <v>3</v>
      </c>
      <c r="U5" s="214" t="s">
        <v>837</v>
      </c>
      <c r="V5" s="195"/>
      <c r="X5" s="213" t="s">
        <v>3</v>
      </c>
      <c r="Y5" s="214" t="s">
        <v>608</v>
      </c>
      <c r="AA5" s="213" t="s">
        <v>3</v>
      </c>
      <c r="AB5" s="214" t="s">
        <v>609</v>
      </c>
      <c r="AE5" s="213" t="s">
        <v>3</v>
      </c>
      <c r="AF5" s="214" t="s">
        <v>610</v>
      </c>
      <c r="AH5" s="213" t="s">
        <v>3</v>
      </c>
      <c r="AI5" s="214" t="s">
        <v>612</v>
      </c>
    </row>
    <row r="6" spans="1:40">
      <c r="A6" s="27"/>
      <c r="F6" s="195"/>
      <c r="G6" s="195"/>
      <c r="H6" s="195"/>
      <c r="I6" s="195"/>
      <c r="J6" s="195"/>
      <c r="K6" s="195"/>
      <c r="L6" s="195"/>
      <c r="M6" s="195"/>
      <c r="N6" s="195"/>
      <c r="O6" s="195"/>
      <c r="P6" s="195"/>
      <c r="Q6" s="195"/>
      <c r="R6" s="195"/>
      <c r="S6" s="195"/>
      <c r="T6" s="195"/>
      <c r="U6" s="195"/>
      <c r="V6" s="195"/>
    </row>
    <row r="7" spans="1:40">
      <c r="A7" s="22" t="s">
        <v>92</v>
      </c>
      <c r="B7" s="213" t="s">
        <v>719</v>
      </c>
      <c r="C7" t="s">
        <v>285</v>
      </c>
      <c r="E7" s="213" t="s">
        <v>719</v>
      </c>
      <c r="F7" t="s">
        <v>285</v>
      </c>
      <c r="G7" s="195"/>
      <c r="H7" s="213" t="s">
        <v>719</v>
      </c>
      <c r="I7" s="214" t="s">
        <v>839</v>
      </c>
      <c r="J7" s="214" t="s">
        <v>803</v>
      </c>
      <c r="K7" s="214" t="s">
        <v>239</v>
      </c>
      <c r="L7" s="214" t="s">
        <v>521</v>
      </c>
      <c r="M7" s="195"/>
      <c r="N7" s="213" t="s">
        <v>719</v>
      </c>
      <c r="O7" s="214" t="s">
        <v>840</v>
      </c>
      <c r="P7" s="214" t="s">
        <v>802</v>
      </c>
      <c r="Q7" s="214" t="s">
        <v>239</v>
      </c>
      <c r="R7" s="214" t="s">
        <v>521</v>
      </c>
      <c r="S7" s="195"/>
      <c r="T7" s="213" t="s">
        <v>719</v>
      </c>
      <c r="U7" s="214" t="s">
        <v>297</v>
      </c>
      <c r="V7" s="214" t="s">
        <v>521</v>
      </c>
      <c r="X7" s="213" t="s">
        <v>719</v>
      </c>
      <c r="Y7" t="s">
        <v>613</v>
      </c>
      <c r="AA7" s="213" t="s">
        <v>719</v>
      </c>
      <c r="AB7" s="214" t="s">
        <v>614</v>
      </c>
      <c r="AC7" s="214" t="s">
        <v>521</v>
      </c>
      <c r="AE7" s="213" t="s">
        <v>719</v>
      </c>
      <c r="AF7" t="s">
        <v>615</v>
      </c>
      <c r="AH7" s="213" t="s">
        <v>719</v>
      </c>
      <c r="AI7" s="214" t="s">
        <v>618</v>
      </c>
      <c r="AJ7" s="214" t="s">
        <v>616</v>
      </c>
      <c r="AK7" s="214" t="s">
        <v>617</v>
      </c>
      <c r="AL7" s="214"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195"/>
      <c r="N8" s="4" t="s">
        <v>47</v>
      </c>
      <c r="O8" s="6">
        <v>3.4</v>
      </c>
      <c r="P8" s="99">
        <v>3.4</v>
      </c>
      <c r="Q8" s="99">
        <v>3.4</v>
      </c>
      <c r="R8" s="99">
        <v>0</v>
      </c>
      <c r="S8" s="195"/>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195"/>
      <c r="N9" s="4" t="s">
        <v>17</v>
      </c>
      <c r="O9" s="6">
        <v>3.4</v>
      </c>
      <c r="P9" s="99">
        <v>3.4</v>
      </c>
      <c r="Q9" s="99">
        <v>3.4</v>
      </c>
      <c r="R9" s="99">
        <v>0</v>
      </c>
      <c r="S9" s="195"/>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195" customWidth="1"/>
    <col min="6" max="6" width="10.77734375" style="195" bestFit="1" customWidth="1"/>
    <col min="7" max="7" width="30.88671875" style="195"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196" t="s">
        <v>842</v>
      </c>
    </row>
    <row r="2" spans="1:41">
      <c r="A2" s="28"/>
      <c r="B2" s="28"/>
      <c r="C2" s="242" t="s">
        <v>291</v>
      </c>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250"/>
      <c r="AD2" s="250"/>
      <c r="AE2" s="250"/>
      <c r="AF2" s="250"/>
      <c r="AG2" s="250"/>
      <c r="AH2" s="250"/>
      <c r="AI2" s="250"/>
      <c r="AJ2" s="250"/>
    </row>
    <row r="3" spans="1:41" s="28" customFormat="1">
      <c r="C3" s="213" t="s">
        <v>0</v>
      </c>
      <c r="D3" s="214" t="s">
        <v>16</v>
      </c>
      <c r="E3" s="195"/>
      <c r="F3" s="213" t="s">
        <v>0</v>
      </c>
      <c r="G3" s="214" t="s">
        <v>16</v>
      </c>
      <c r="H3" s="195"/>
      <c r="I3" s="213" t="s">
        <v>0</v>
      </c>
      <c r="J3" s="214" t="s">
        <v>16</v>
      </c>
      <c r="K3" s="195"/>
      <c r="L3" s="195"/>
      <c r="M3" s="195"/>
      <c r="O3" s="213" t="s">
        <v>0</v>
      </c>
      <c r="P3" s="214" t="s">
        <v>16</v>
      </c>
      <c r="U3" s="213" t="s">
        <v>0</v>
      </c>
      <c r="V3" s="214" t="s">
        <v>16</v>
      </c>
      <c r="W3" s="195"/>
      <c r="Y3" s="213" t="s">
        <v>0</v>
      </c>
      <c r="Z3" s="214" t="s">
        <v>16</v>
      </c>
      <c r="AA3" s="130"/>
      <c r="AC3" s="213" t="s">
        <v>0</v>
      </c>
      <c r="AD3" s="214" t="s">
        <v>16</v>
      </c>
      <c r="AF3" s="213" t="s">
        <v>0</v>
      </c>
      <c r="AG3" s="214" t="s">
        <v>16</v>
      </c>
      <c r="AI3" s="213" t="s">
        <v>0</v>
      </c>
      <c r="AJ3" s="214" t="s">
        <v>16</v>
      </c>
      <c r="AM3" s="130"/>
      <c r="AN3" s="130"/>
    </row>
    <row r="4" spans="1:41">
      <c r="A4" s="28"/>
      <c r="B4" s="27"/>
      <c r="C4" s="213" t="s">
        <v>1</v>
      </c>
      <c r="D4" s="214" t="s">
        <v>16</v>
      </c>
      <c r="F4" s="213" t="s">
        <v>1</v>
      </c>
      <c r="G4" s="214" t="s">
        <v>16</v>
      </c>
      <c r="H4" s="195"/>
      <c r="I4" s="213" t="s">
        <v>1</v>
      </c>
      <c r="J4" s="214" t="s">
        <v>16</v>
      </c>
      <c r="K4" s="195"/>
      <c r="L4" s="195"/>
      <c r="M4" s="195"/>
      <c r="N4" s="195"/>
      <c r="O4" s="213" t="s">
        <v>1</v>
      </c>
      <c r="P4" s="214" t="s">
        <v>16</v>
      </c>
      <c r="Q4" s="195"/>
      <c r="R4" s="195"/>
      <c r="S4" s="195"/>
      <c r="T4" s="195"/>
      <c r="U4" s="213" t="s">
        <v>1</v>
      </c>
      <c r="V4" s="214" t="s">
        <v>16</v>
      </c>
      <c r="W4" s="195"/>
      <c r="Y4" s="213" t="s">
        <v>1</v>
      </c>
      <c r="Z4" s="214" t="s">
        <v>16</v>
      </c>
      <c r="AC4" s="213" t="s">
        <v>1</v>
      </c>
      <c r="AD4" s="214" t="s">
        <v>16</v>
      </c>
      <c r="AF4" s="213" t="s">
        <v>1</v>
      </c>
      <c r="AG4" s="214" t="s">
        <v>16</v>
      </c>
      <c r="AI4" s="213" t="s">
        <v>1</v>
      </c>
      <c r="AJ4" s="214" t="s">
        <v>16</v>
      </c>
      <c r="AK4" s="30"/>
      <c r="AL4" s="30"/>
      <c r="AO4" s="30"/>
    </row>
    <row r="5" spans="1:41">
      <c r="A5" s="28"/>
      <c r="B5" s="27"/>
      <c r="C5" s="213" t="s">
        <v>2</v>
      </c>
      <c r="D5" s="214" t="s">
        <v>16</v>
      </c>
      <c r="F5" s="213" t="s">
        <v>2</v>
      </c>
      <c r="G5" s="214" t="s">
        <v>16</v>
      </c>
      <c r="H5" s="195"/>
      <c r="I5" s="213" t="s">
        <v>2</v>
      </c>
      <c r="J5" s="214" t="s">
        <v>16</v>
      </c>
      <c r="K5" s="195"/>
      <c r="L5" s="195"/>
      <c r="M5" s="195"/>
      <c r="N5" s="195"/>
      <c r="O5" s="213" t="s">
        <v>2</v>
      </c>
      <c r="P5" s="214" t="s">
        <v>16</v>
      </c>
      <c r="Q5" s="195"/>
      <c r="R5" s="195"/>
      <c r="S5" s="195"/>
      <c r="T5" s="195"/>
      <c r="U5" s="213" t="s">
        <v>2</v>
      </c>
      <c r="V5" s="214" t="s">
        <v>16</v>
      </c>
      <c r="W5" s="195"/>
      <c r="Y5" s="213" t="s">
        <v>2</v>
      </c>
      <c r="Z5" s="214" t="s">
        <v>16</v>
      </c>
      <c r="AC5" s="213" t="s">
        <v>2</v>
      </c>
      <c r="AD5" s="214" t="s">
        <v>16</v>
      </c>
      <c r="AF5" s="213" t="s">
        <v>2</v>
      </c>
      <c r="AG5" s="214" t="s">
        <v>16</v>
      </c>
      <c r="AI5" s="213" t="s">
        <v>2</v>
      </c>
      <c r="AJ5" s="214" t="s">
        <v>16</v>
      </c>
      <c r="AK5" s="30"/>
      <c r="AL5" s="30"/>
      <c r="AO5" s="30"/>
    </row>
    <row r="6" spans="1:41">
      <c r="A6" s="28"/>
      <c r="B6" s="27"/>
      <c r="C6" s="213" t="s">
        <v>3</v>
      </c>
      <c r="D6" s="214" t="s">
        <v>611</v>
      </c>
      <c r="F6" s="213" t="s">
        <v>3</v>
      </c>
      <c r="G6" s="214" t="s">
        <v>841</v>
      </c>
      <c r="H6" s="195"/>
      <c r="I6" s="213" t="s">
        <v>3</v>
      </c>
      <c r="J6" s="214" t="s">
        <v>836</v>
      </c>
      <c r="K6" s="195"/>
      <c r="L6" s="195"/>
      <c r="M6" s="195"/>
      <c r="N6" s="195"/>
      <c r="O6" s="213" t="s">
        <v>3</v>
      </c>
      <c r="P6" s="214" t="s">
        <v>838</v>
      </c>
      <c r="Q6" s="195"/>
      <c r="R6" s="195"/>
      <c r="S6" s="195"/>
      <c r="T6" s="195"/>
      <c r="U6" s="213" t="s">
        <v>3</v>
      </c>
      <c r="V6" s="214" t="s">
        <v>837</v>
      </c>
      <c r="W6" s="195"/>
      <c r="Y6" s="213" t="s">
        <v>3</v>
      </c>
      <c r="Z6" s="214" t="s">
        <v>608</v>
      </c>
      <c r="AC6" s="213" t="s">
        <v>3</v>
      </c>
      <c r="AD6" s="214" t="s">
        <v>610</v>
      </c>
      <c r="AF6" s="213" t="s">
        <v>3</v>
      </c>
      <c r="AG6" s="214" t="s">
        <v>609</v>
      </c>
      <c r="AI6" s="213" t="s">
        <v>3</v>
      </c>
      <c r="AJ6" s="214" t="s">
        <v>612</v>
      </c>
    </row>
    <row r="7" spans="1:41">
      <c r="A7" s="28"/>
      <c r="B7" s="27"/>
      <c r="H7" s="195"/>
      <c r="I7" s="195"/>
      <c r="J7" s="195"/>
      <c r="K7" s="195"/>
      <c r="L7" s="195"/>
      <c r="M7" s="195"/>
      <c r="N7" s="195"/>
      <c r="O7" s="195"/>
      <c r="P7" s="195"/>
      <c r="Q7" s="195"/>
      <c r="R7" s="195"/>
      <c r="S7" s="195"/>
      <c r="T7" s="195"/>
      <c r="U7" s="195"/>
      <c r="V7" s="195"/>
      <c r="W7" s="195"/>
    </row>
    <row r="8" spans="1:41" ht="28.8">
      <c r="A8" s="22" t="s">
        <v>680</v>
      </c>
      <c r="B8" s="22" t="s">
        <v>718</v>
      </c>
      <c r="C8" s="213" t="s">
        <v>286</v>
      </c>
      <c r="D8" t="s">
        <v>285</v>
      </c>
      <c r="F8" s="213" t="s">
        <v>286</v>
      </c>
      <c r="G8" t="s">
        <v>285</v>
      </c>
      <c r="H8" s="195"/>
      <c r="I8" s="213" t="s">
        <v>286</v>
      </c>
      <c r="J8" s="214" t="s">
        <v>839</v>
      </c>
      <c r="K8" s="214" t="s">
        <v>803</v>
      </c>
      <c r="L8" s="214" t="s">
        <v>239</v>
      </c>
      <c r="M8" s="214" t="s">
        <v>521</v>
      </c>
      <c r="N8" s="195"/>
      <c r="O8" s="213" t="s">
        <v>286</v>
      </c>
      <c r="P8" s="214" t="s">
        <v>840</v>
      </c>
      <c r="Q8" s="214" t="s">
        <v>802</v>
      </c>
      <c r="R8" s="214" t="s">
        <v>239</v>
      </c>
      <c r="S8" s="214" t="s">
        <v>521</v>
      </c>
      <c r="T8" s="195"/>
      <c r="U8" s="213" t="s">
        <v>286</v>
      </c>
      <c r="V8" s="214" t="s">
        <v>297</v>
      </c>
      <c r="W8" s="214" t="s">
        <v>521</v>
      </c>
      <c r="Y8" s="213" t="s">
        <v>286</v>
      </c>
      <c r="Z8" s="214" t="s">
        <v>620</v>
      </c>
      <c r="AA8" s="214" t="s">
        <v>521</v>
      </c>
      <c r="AC8" s="213" t="s">
        <v>286</v>
      </c>
      <c r="AD8" t="s">
        <v>615</v>
      </c>
      <c r="AF8" s="213" t="s">
        <v>286</v>
      </c>
      <c r="AG8" t="s">
        <v>293</v>
      </c>
      <c r="AI8" s="213" t="s">
        <v>286</v>
      </c>
      <c r="AJ8" s="214" t="s">
        <v>621</v>
      </c>
      <c r="AK8" s="214"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195"/>
      <c r="O9" s="4" t="s">
        <v>48</v>
      </c>
      <c r="P9" s="6">
        <v>3.4</v>
      </c>
      <c r="Q9" s="99">
        <v>3.4</v>
      </c>
      <c r="R9" s="99">
        <v>3.4</v>
      </c>
      <c r="S9" s="9">
        <v>0</v>
      </c>
      <c r="T9" s="195"/>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195"/>
      <c r="O10" s="4" t="s">
        <v>17</v>
      </c>
      <c r="P10" s="6">
        <v>3.4</v>
      </c>
      <c r="Q10" s="99">
        <v>3.4</v>
      </c>
      <c r="R10" s="99">
        <v>3.4</v>
      </c>
      <c r="S10" s="9">
        <v>0</v>
      </c>
      <c r="T10" s="195"/>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election activeCell="B5" sqref="B5:H10"/>
    </sheetView>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196" t="s">
        <v>842</v>
      </c>
    </row>
    <row r="2" spans="1:40" s="42" customFormat="1">
      <c r="A2" s="28"/>
    </row>
    <row r="3" spans="1:40" s="42" customFormat="1">
      <c r="A3" s="28"/>
    </row>
    <row r="4" spans="1:40">
      <c r="A4" s="28"/>
      <c r="B4" s="245"/>
      <c r="C4" s="245"/>
      <c r="D4" s="245"/>
      <c r="E4" s="245"/>
      <c r="F4" s="245"/>
      <c r="G4" s="245"/>
      <c r="H4" s="245"/>
      <c r="I4" s="141"/>
      <c r="J4" s="141"/>
    </row>
    <row r="5" spans="1:40">
      <c r="A5" s="28"/>
      <c r="B5" s="213" t="s">
        <v>0</v>
      </c>
      <c r="C5" s="214" t="s">
        <v>16</v>
      </c>
      <c r="D5" s="258"/>
      <c r="E5" s="250"/>
      <c r="J5" s="213" t="s">
        <v>0</v>
      </c>
      <c r="K5" s="214" t="s">
        <v>16</v>
      </c>
      <c r="L5" s="258"/>
      <c r="M5" s="250"/>
      <c r="P5" s="213" t="s">
        <v>0</v>
      </c>
      <c r="Q5" s="214" t="s">
        <v>16</v>
      </c>
      <c r="R5" s="258"/>
      <c r="S5" s="250"/>
      <c r="V5" s="213" t="s">
        <v>0</v>
      </c>
      <c r="W5" s="214" t="s">
        <v>16</v>
      </c>
      <c r="X5" s="258"/>
      <c r="Y5" s="250"/>
      <c r="AB5" s="213" t="s">
        <v>0</v>
      </c>
      <c r="AC5" s="214" t="s">
        <v>16</v>
      </c>
      <c r="AD5" s="258"/>
      <c r="AE5" s="250"/>
      <c r="AF5" s="213" t="s">
        <v>0</v>
      </c>
      <c r="AG5" s="214" t="s">
        <v>16</v>
      </c>
      <c r="AH5" s="151"/>
      <c r="AI5" s="213" t="s">
        <v>0</v>
      </c>
      <c r="AJ5" s="214" t="s">
        <v>16</v>
      </c>
      <c r="AK5" s="258"/>
      <c r="AL5" s="250"/>
      <c r="AM5" s="213" t="s">
        <v>0</v>
      </c>
      <c r="AN5" s="214" t="s">
        <v>16</v>
      </c>
    </row>
    <row r="6" spans="1:40">
      <c r="A6" s="28"/>
      <c r="B6" s="213" t="s">
        <v>3</v>
      </c>
      <c r="C6" s="214" t="s">
        <v>668</v>
      </c>
      <c r="J6" s="213" t="s">
        <v>3</v>
      </c>
      <c r="K6" s="214" t="s">
        <v>664</v>
      </c>
      <c r="P6" s="213" t="s">
        <v>3</v>
      </c>
      <c r="Q6" s="214" t="s">
        <v>665</v>
      </c>
      <c r="V6" s="213" t="s">
        <v>3</v>
      </c>
      <c r="W6" s="214" t="s">
        <v>666</v>
      </c>
      <c r="AB6" s="213" t="s">
        <v>3</v>
      </c>
      <c r="AC6" s="214" t="s">
        <v>681</v>
      </c>
      <c r="AD6" s="149"/>
      <c r="AE6" s="149"/>
      <c r="AF6" s="213" t="s">
        <v>3</v>
      </c>
      <c r="AG6" s="214" t="s">
        <v>683</v>
      </c>
      <c r="AH6" s="149"/>
      <c r="AI6" s="213" t="s">
        <v>3</v>
      </c>
      <c r="AJ6" s="214" t="s">
        <v>691</v>
      </c>
      <c r="AK6" s="150"/>
      <c r="AL6" s="150"/>
      <c r="AM6" s="213" t="s">
        <v>3</v>
      </c>
      <c r="AN6" s="214" t="s">
        <v>693</v>
      </c>
    </row>
    <row r="7" spans="1:40">
      <c r="A7" s="28"/>
      <c r="AB7" s="149"/>
      <c r="AC7" s="149"/>
      <c r="AD7" s="149"/>
      <c r="AE7" s="149"/>
      <c r="AF7" s="149"/>
      <c r="AG7" s="149"/>
      <c r="AH7" s="149"/>
      <c r="AI7" s="150"/>
      <c r="AJ7" s="150"/>
      <c r="AK7" s="150"/>
      <c r="AL7" s="150"/>
      <c r="AM7" s="150"/>
      <c r="AN7" s="150"/>
    </row>
    <row r="8" spans="1:40">
      <c r="A8" s="22" t="s">
        <v>680</v>
      </c>
      <c r="B8" s="213" t="s">
        <v>286</v>
      </c>
      <c r="C8" s="214" t="s">
        <v>669</v>
      </c>
      <c r="D8" s="214" t="s">
        <v>670</v>
      </c>
      <c r="E8" s="214" t="s">
        <v>673</v>
      </c>
      <c r="F8" s="214" t="s">
        <v>346</v>
      </c>
      <c r="G8" s="214" t="s">
        <v>239</v>
      </c>
      <c r="H8" s="214" t="s">
        <v>521</v>
      </c>
      <c r="J8" s="213" t="s">
        <v>286</v>
      </c>
      <c r="K8" s="214" t="s">
        <v>672</v>
      </c>
      <c r="L8" s="214" t="s">
        <v>346</v>
      </c>
      <c r="M8" s="214" t="s">
        <v>239</v>
      </c>
      <c r="N8" s="214" t="s">
        <v>521</v>
      </c>
      <c r="O8"/>
      <c r="P8" s="213" t="s">
        <v>286</v>
      </c>
      <c r="Q8" s="214" t="s">
        <v>674</v>
      </c>
      <c r="R8" s="214" t="s">
        <v>346</v>
      </c>
      <c r="S8" s="214" t="s">
        <v>239</v>
      </c>
      <c r="T8" s="214" t="s">
        <v>521</v>
      </c>
      <c r="V8" s="213" t="s">
        <v>286</v>
      </c>
      <c r="W8" s="214" t="s">
        <v>675</v>
      </c>
      <c r="X8" s="214" t="s">
        <v>346</v>
      </c>
      <c r="Y8" s="214" t="s">
        <v>239</v>
      </c>
      <c r="Z8" s="214" t="s">
        <v>521</v>
      </c>
      <c r="AB8" s="213" t="s">
        <v>286</v>
      </c>
      <c r="AC8" s="214" t="s">
        <v>688</v>
      </c>
      <c r="AD8" s="214" t="s">
        <v>330</v>
      </c>
      <c r="AE8"/>
      <c r="AF8" s="213" t="s">
        <v>286</v>
      </c>
      <c r="AG8" t="s">
        <v>689</v>
      </c>
      <c r="AH8"/>
      <c r="AI8" s="213" t="s">
        <v>286</v>
      </c>
      <c r="AJ8" s="214" t="s">
        <v>695</v>
      </c>
      <c r="AK8" s="214" t="s">
        <v>696</v>
      </c>
      <c r="AL8" s="150"/>
      <c r="AM8" s="213"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
  <sheetViews>
    <sheetView workbookViewId="0">
      <selection activeCell="C5" sqref="C5"/>
    </sheetView>
  </sheetViews>
  <sheetFormatPr defaultRowHeight="14.4"/>
  <cols>
    <col min="1" max="1" width="10.77734375" style="214" bestFit="1" customWidth="1"/>
    <col min="2" max="2" width="32.77734375" style="214" bestFit="1" customWidth="1"/>
    <col min="3" max="3" width="7.88671875" style="214" bestFit="1" customWidth="1"/>
    <col min="4" max="4" width="7" style="214" bestFit="1" customWidth="1"/>
    <col min="5" max="5" width="7" style="61" bestFit="1" customWidth="1"/>
    <col min="6" max="7" width="7" style="214" bestFit="1" customWidth="1"/>
    <col min="8" max="8" width="32.77734375" style="214" bestFit="1" customWidth="1"/>
    <col min="9" max="9" width="29" style="214" bestFit="1" customWidth="1"/>
    <col min="10" max="10" width="32.44140625" style="214" bestFit="1" customWidth="1"/>
    <col min="11" max="11" width="40.77734375" style="214" bestFit="1" customWidth="1"/>
    <col min="12" max="12" width="34.21875" style="214" bestFit="1" customWidth="1"/>
    <col min="13" max="13" width="15" style="214" bestFit="1" customWidth="1"/>
    <col min="14" max="14" width="16.21875" style="214" bestFit="1" customWidth="1"/>
    <col min="15" max="15" width="15.44140625" style="214" bestFit="1" customWidth="1"/>
    <col min="16" max="16" width="16.6640625" style="214" bestFit="1" customWidth="1"/>
    <col min="17" max="17" width="40.33203125" style="214" bestFit="1" customWidth="1"/>
    <col min="18" max="18" width="43.5546875" style="214" bestFit="1" customWidth="1"/>
    <col min="19" max="19" width="18.44140625" style="214" bestFit="1" customWidth="1"/>
    <col min="20" max="20" width="17.5546875" style="214" bestFit="1" customWidth="1"/>
    <col min="21" max="21" width="29.77734375" style="214" bestFit="1" customWidth="1"/>
    <col min="22" max="22" width="21" style="214" bestFit="1" customWidth="1"/>
    <col min="23" max="23" width="23.6640625" style="214" bestFit="1" customWidth="1"/>
    <col min="24" max="24" width="26.44140625" style="214" bestFit="1" customWidth="1"/>
    <col min="25" max="25" width="14.5546875" style="214" bestFit="1" customWidth="1"/>
    <col min="26" max="26" width="10.77734375" style="214" bestFit="1" customWidth="1"/>
    <col min="27" max="27" width="11.77734375" style="214" bestFit="1" customWidth="1"/>
    <col min="28" max="28" width="15.21875" style="214" bestFit="1" customWidth="1"/>
    <col min="29" max="29" width="16.21875" style="214" bestFit="1" customWidth="1"/>
    <col min="30" max="30" width="28" style="214" bestFit="1" customWidth="1"/>
    <col min="31" max="31" width="24" style="214" bestFit="1" customWidth="1"/>
    <col min="32" max="32" width="12.88671875" style="214" bestFit="1" customWidth="1"/>
    <col min="33" max="33" width="11.109375" style="214" bestFit="1" customWidth="1"/>
    <col min="34" max="34" width="12.109375" style="214" bestFit="1" customWidth="1"/>
    <col min="35" max="35" width="7" style="214" bestFit="1" customWidth="1"/>
    <col min="36" max="36" width="22" style="214" bestFit="1" customWidth="1"/>
    <col min="37" max="37" width="21.6640625" style="214" bestFit="1" customWidth="1"/>
    <col min="38" max="38" width="18.21875" style="214" bestFit="1" customWidth="1"/>
    <col min="39" max="39" width="27.88671875" style="214" bestFit="1" customWidth="1"/>
    <col min="40" max="40" width="27.5546875" style="214" bestFit="1" customWidth="1"/>
    <col min="41" max="41" width="24.109375" style="214" bestFit="1" customWidth="1"/>
    <col min="42" max="42" width="22.109375" style="214" bestFit="1" customWidth="1"/>
    <col min="43" max="43" width="23.6640625" style="214" bestFit="1" customWidth="1"/>
    <col min="44" max="44" width="29.6640625" style="214" bestFit="1" customWidth="1"/>
    <col min="45" max="45" width="24.21875" style="214" bestFit="1" customWidth="1"/>
    <col min="46" max="46" width="23.88671875" style="214" bestFit="1" customWidth="1"/>
    <col min="47" max="47" width="20.44140625" style="214" bestFit="1" customWidth="1"/>
    <col min="48" max="48" width="27.109375" style="214" bestFit="1" customWidth="1"/>
    <col min="49" max="49" width="26.77734375" style="214" bestFit="1" customWidth="1"/>
    <col min="50" max="50" width="23.33203125" style="214" bestFit="1" customWidth="1"/>
    <col min="51" max="51" width="21.33203125" style="214" bestFit="1" customWidth="1"/>
    <col min="52" max="52" width="20.88671875" style="214" bestFit="1" customWidth="1"/>
    <col min="53" max="53" width="18.33203125" style="214" bestFit="1" customWidth="1"/>
    <col min="54" max="54" width="18" style="214" bestFit="1" customWidth="1"/>
    <col min="55" max="55" width="14.5546875" style="214" bestFit="1" customWidth="1"/>
    <col min="56" max="56" width="20" style="214" bestFit="1" customWidth="1"/>
    <col min="57" max="57" width="20.88671875" style="214" bestFit="1" customWidth="1"/>
    <col min="58" max="58" width="33.6640625" style="214" bestFit="1" customWidth="1"/>
    <col min="59" max="59" width="38" style="214" bestFit="1" customWidth="1"/>
    <col min="60" max="60" width="34.21875" style="214" bestFit="1" customWidth="1"/>
    <col min="61" max="61" width="37.5546875" style="214" bestFit="1" customWidth="1"/>
    <col min="62" max="62" width="39.6640625" style="214" bestFit="1" customWidth="1"/>
    <col min="63" max="63" width="28.88671875" style="214" bestFit="1" customWidth="1"/>
    <col min="64" max="64" width="33.21875" style="214" bestFit="1" customWidth="1"/>
    <col min="65" max="65" width="29.5546875" style="214" bestFit="1" customWidth="1"/>
    <col min="66" max="66" width="32.88671875" style="214" bestFit="1" customWidth="1"/>
    <col min="67" max="67" width="34.33203125" style="214" bestFit="1" customWidth="1"/>
    <col min="68" max="68" width="23.5546875" style="214" bestFit="1" customWidth="1"/>
    <col min="69" max="69" width="26.88671875" style="214" bestFit="1" customWidth="1"/>
    <col min="70" max="70" width="26.5546875" style="214" bestFit="1" customWidth="1"/>
    <col min="71" max="71" width="23.109375" style="214" bestFit="1" customWidth="1"/>
    <col min="72" max="72" width="21.88671875" style="214" bestFit="1" customWidth="1"/>
    <col min="73" max="73" width="29.33203125" style="214" bestFit="1" customWidth="1"/>
    <col min="74" max="74" width="27.88671875" style="214" bestFit="1" customWidth="1"/>
    <col min="75" max="75" width="27.5546875" style="214" bestFit="1" customWidth="1"/>
    <col min="76" max="76" width="24.109375" style="214" bestFit="1" customWidth="1"/>
    <col min="77" max="77" width="23.88671875" style="214" bestFit="1" customWidth="1"/>
    <col min="78" max="78" width="21.77734375" style="214" bestFit="1" customWidth="1"/>
    <col min="79" max="79" width="30.6640625" style="214" bestFit="1" customWidth="1"/>
    <col min="80" max="80" width="26.88671875" style="214" bestFit="1" customWidth="1"/>
    <col min="81" max="81" width="30.33203125" style="214" bestFit="1" customWidth="1"/>
    <col min="82" max="82" width="25.6640625" style="214" bestFit="1" customWidth="1"/>
    <col min="83" max="83" width="27.44140625" style="214" bestFit="1" customWidth="1"/>
    <col min="84" max="84" width="30.44140625" style="214" bestFit="1" customWidth="1"/>
    <col min="85" max="85" width="26.6640625" style="214" bestFit="1" customWidth="1"/>
    <col min="86" max="86" width="30.109375" style="214" bestFit="1" customWidth="1"/>
    <col min="87" max="87" width="25.44140625" style="214" bestFit="1" customWidth="1"/>
    <col min="88" max="88" width="30" style="214" bestFit="1" customWidth="1"/>
    <col min="89" max="89" width="26.21875" style="214" bestFit="1" customWidth="1"/>
    <col min="90" max="90" width="29.6640625" style="214" bestFit="1" customWidth="1"/>
    <col min="91" max="91" width="30.77734375" style="214" bestFit="1" customWidth="1"/>
    <col min="92" max="92" width="27" style="214" bestFit="1" customWidth="1"/>
    <col min="93" max="93" width="30.44140625" style="214" bestFit="1" customWidth="1"/>
    <col min="94" max="94" width="26.109375" style="214" bestFit="1" customWidth="1"/>
    <col min="95" max="95" width="19.33203125" style="214" bestFit="1" customWidth="1"/>
    <col min="96" max="96" width="32.88671875" style="214" bestFit="1" customWidth="1"/>
    <col min="97" max="97" width="32.5546875" style="214" bestFit="1" customWidth="1"/>
    <col min="98" max="98" width="29.109375" style="214" bestFit="1" customWidth="1"/>
    <col min="99" max="99" width="28.88671875" style="214" bestFit="1" customWidth="1"/>
    <col min="100" max="100" width="26.77734375" style="214" bestFit="1" customWidth="1"/>
    <col min="101" max="101" width="25.6640625" style="214" bestFit="1" customWidth="1"/>
    <col min="102" max="103" width="26.44140625" style="214" bestFit="1" customWidth="1"/>
    <col min="104" max="104" width="28.21875" style="214" bestFit="1" customWidth="1"/>
    <col min="105" max="105" width="27.88671875" style="214" bestFit="1" customWidth="1"/>
    <col min="106" max="106" width="24.44140625" style="214" bestFit="1" customWidth="1"/>
    <col min="107" max="107" width="26" style="214" bestFit="1" customWidth="1"/>
    <col min="108" max="108" width="28" style="214" bestFit="1" customWidth="1"/>
    <col min="109" max="109" width="27.6640625" style="214" bestFit="1" customWidth="1"/>
    <col min="110" max="110" width="24.21875" style="214" bestFit="1" customWidth="1"/>
    <col min="111" max="111" width="33.109375" style="214" bestFit="1" customWidth="1"/>
    <col min="112" max="112" width="32.77734375" style="214" bestFit="1" customWidth="1"/>
    <col min="113" max="113" width="29.33203125" style="214" bestFit="1" customWidth="1"/>
    <col min="114" max="114" width="30.88671875" style="214" bestFit="1" customWidth="1"/>
    <col min="115" max="115" width="32.88671875" style="214" bestFit="1" customWidth="1"/>
    <col min="116" max="116" width="32.5546875" style="214" bestFit="1" customWidth="1"/>
    <col min="117" max="117" width="29.109375" style="214" bestFit="1" customWidth="1"/>
    <col min="118" max="118" width="28.5546875" style="214" bestFit="1" customWidth="1"/>
    <col min="119" max="119" width="42.44140625" style="214" bestFit="1" customWidth="1"/>
    <col min="120" max="120" width="24" style="214" bestFit="1" customWidth="1"/>
    <col min="121" max="121" width="27.44140625" style="214" bestFit="1" customWidth="1"/>
    <col min="122" max="122" width="29.5546875" style="214" bestFit="1" customWidth="1"/>
    <col min="123" max="123" width="22.5546875" style="214" bestFit="1" customWidth="1"/>
    <col min="124" max="124" width="26.88671875" style="214" bestFit="1" customWidth="1"/>
    <col min="125" max="125" width="26.5546875" style="214" bestFit="1" customWidth="1"/>
    <col min="126" max="126" width="23.109375" style="214" bestFit="1" customWidth="1"/>
    <col min="127" max="127" width="28.5546875" style="214" bestFit="1" customWidth="1"/>
    <col min="128" max="128" width="20.109375" style="214" bestFit="1" customWidth="1"/>
    <col min="129" max="129" width="25" style="214" bestFit="1" customWidth="1"/>
    <col min="130" max="130" width="16.33203125" style="214" bestFit="1" customWidth="1"/>
    <col min="131" max="16384" width="8.88671875" style="214"/>
  </cols>
  <sheetData>
    <row r="1" spans="1:7">
      <c r="A1"/>
      <c r="B1"/>
      <c r="C1" s="258"/>
      <c r="D1" s="250"/>
      <c r="E1" s="214"/>
    </row>
    <row r="2" spans="1:7">
      <c r="A2" s="213" t="s">
        <v>3</v>
      </c>
      <c r="B2" s="214" t="s">
        <v>668</v>
      </c>
      <c r="E2" s="214"/>
    </row>
    <row r="3" spans="1:7">
      <c r="E3" s="214"/>
    </row>
    <row r="4" spans="1:7">
      <c r="A4" s="213" t="s">
        <v>286</v>
      </c>
      <c r="B4" s="214" t="s">
        <v>673</v>
      </c>
      <c r="C4" s="214" t="s">
        <v>239</v>
      </c>
      <c r="D4" s="214" t="s">
        <v>521</v>
      </c>
      <c r="E4"/>
      <c r="F4"/>
      <c r="G4"/>
    </row>
    <row r="5" spans="1:7">
      <c r="A5" s="4" t="s">
        <v>50</v>
      </c>
      <c r="B5" s="6">
        <v>4.4827570000000003</v>
      </c>
      <c r="C5" s="6">
        <v>4.4827570000000003</v>
      </c>
      <c r="D5" s="6">
        <v>0</v>
      </c>
      <c r="E5"/>
      <c r="F5"/>
      <c r="G5"/>
    </row>
    <row r="6" spans="1:7">
      <c r="A6" s="182" t="s">
        <v>48</v>
      </c>
      <c r="B6" s="6">
        <v>4.4827570000000003</v>
      </c>
      <c r="C6" s="6">
        <v>4.4827570000000003</v>
      </c>
      <c r="D6" s="6">
        <v>0</v>
      </c>
      <c r="E6"/>
      <c r="F6"/>
      <c r="G6"/>
    </row>
    <row r="7" spans="1:7">
      <c r="A7" s="4" t="s">
        <v>17</v>
      </c>
      <c r="B7" s="6">
        <v>4.4827570000000003</v>
      </c>
      <c r="C7" s="6">
        <v>4.4827570000000003</v>
      </c>
      <c r="D7" s="6">
        <v>0</v>
      </c>
      <c r="E7"/>
      <c r="F7"/>
      <c r="G7"/>
    </row>
    <row r="8" spans="1:7">
      <c r="A8"/>
      <c r="B8"/>
      <c r="C8"/>
      <c r="D8"/>
      <c r="E8"/>
      <c r="F8"/>
      <c r="G8"/>
    </row>
    <row r="9" spans="1:7">
      <c r="A9"/>
      <c r="B9"/>
      <c r="C9"/>
      <c r="D9"/>
      <c r="E9"/>
      <c r="F9"/>
      <c r="G9"/>
    </row>
    <row r="10" spans="1:7">
      <c r="A10"/>
      <c r="B10"/>
      <c r="C10"/>
      <c r="D10"/>
      <c r="E10"/>
      <c r="F10"/>
      <c r="G10"/>
    </row>
    <row r="11" spans="1:7">
      <c r="A11"/>
      <c r="B11"/>
      <c r="C11"/>
      <c r="D11"/>
      <c r="E11"/>
      <c r="F11"/>
      <c r="G11"/>
    </row>
  </sheetData>
  <mergeCells count="1">
    <mergeCell ref="C1:D1"/>
  </mergeCells>
  <pageMargins left="0.7" right="0.7" top="0.75" bottom="0.75" header="0.3" footer="0.3"/>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02"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44" t="s">
        <v>435</v>
      </c>
      <c r="D4" s="244"/>
      <c r="E4" s="244"/>
      <c r="F4" s="244"/>
      <c r="G4" s="244"/>
      <c r="H4" s="244"/>
      <c r="I4" s="244"/>
      <c r="J4" s="244"/>
      <c r="K4" s="244"/>
      <c r="L4" s="244"/>
      <c r="M4" s="244"/>
      <c r="N4" s="244"/>
      <c r="O4" s="244"/>
      <c r="P4" s="244"/>
      <c r="Q4" s="244"/>
      <c r="R4" s="244"/>
      <c r="S4" s="244"/>
      <c r="T4" s="201"/>
      <c r="V4" s="255" t="s">
        <v>291</v>
      </c>
      <c r="W4" s="255"/>
      <c r="X4" s="255"/>
      <c r="Y4" s="255"/>
      <c r="Z4" s="255"/>
    </row>
    <row r="5" spans="1:26">
      <c r="A5" s="28"/>
      <c r="B5" s="42"/>
      <c r="C5" s="213" t="s">
        <v>0</v>
      </c>
      <c r="D5" s="214" t="s">
        <v>16</v>
      </c>
      <c r="F5" s="213" t="s">
        <v>0</v>
      </c>
      <c r="G5" s="214" t="s">
        <v>16</v>
      </c>
      <c r="I5" s="213" t="s">
        <v>0</v>
      </c>
      <c r="J5" s="214" t="s">
        <v>16</v>
      </c>
      <c r="L5" s="213" t="s">
        <v>0</v>
      </c>
      <c r="M5" s="214" t="s">
        <v>16</v>
      </c>
      <c r="O5" s="213" t="s">
        <v>0</v>
      </c>
      <c r="P5" s="214" t="s">
        <v>16</v>
      </c>
      <c r="R5" s="213" t="s">
        <v>0</v>
      </c>
      <c r="S5" s="214" t="s">
        <v>16</v>
      </c>
      <c r="V5" s="213" t="s">
        <v>0</v>
      </c>
      <c r="W5" s="214" t="s">
        <v>16</v>
      </c>
      <c r="X5" s="85"/>
      <c r="Y5" s="213" t="s">
        <v>0</v>
      </c>
      <c r="Z5" s="214" t="s">
        <v>16</v>
      </c>
    </row>
    <row r="6" spans="1:26">
      <c r="A6" s="28"/>
      <c r="B6" s="42"/>
      <c r="C6" s="213" t="s">
        <v>3</v>
      </c>
      <c r="D6" s="214" t="s">
        <v>300</v>
      </c>
      <c r="F6" s="213" t="s">
        <v>3</v>
      </c>
      <c r="G6" s="214" t="s">
        <v>86</v>
      </c>
      <c r="I6" s="213" t="s">
        <v>3</v>
      </c>
      <c r="J6" s="214" t="s">
        <v>78</v>
      </c>
      <c r="L6" s="213" t="s">
        <v>3</v>
      </c>
      <c r="M6" s="214" t="s">
        <v>79</v>
      </c>
      <c r="O6" s="213" t="s">
        <v>3</v>
      </c>
      <c r="P6" s="214" t="s">
        <v>85</v>
      </c>
      <c r="R6" s="213" t="s">
        <v>3</v>
      </c>
      <c r="S6" s="214" t="s">
        <v>84</v>
      </c>
      <c r="V6" s="213" t="s">
        <v>3</v>
      </c>
      <c r="W6" s="214" t="s">
        <v>460</v>
      </c>
      <c r="X6" s="85"/>
      <c r="Y6" s="213" t="s">
        <v>3</v>
      </c>
      <c r="Z6" s="214" t="s">
        <v>464</v>
      </c>
    </row>
    <row r="7" spans="1:26">
      <c r="A7" s="28"/>
      <c r="B7" s="42"/>
      <c r="V7" s="85"/>
      <c r="W7" s="85"/>
      <c r="X7" s="85"/>
      <c r="Y7" s="85"/>
      <c r="Z7" s="85"/>
    </row>
    <row r="8" spans="1:26" ht="28.8">
      <c r="A8" s="22" t="s">
        <v>680</v>
      </c>
      <c r="B8" s="22" t="s">
        <v>119</v>
      </c>
      <c r="C8" s="213" t="s">
        <v>286</v>
      </c>
      <c r="D8" t="s">
        <v>314</v>
      </c>
      <c r="F8" s="213" t="s">
        <v>286</v>
      </c>
      <c r="G8" t="s">
        <v>315</v>
      </c>
      <c r="I8" s="213" t="s">
        <v>286</v>
      </c>
      <c r="J8" t="s">
        <v>316</v>
      </c>
      <c r="L8" s="213" t="s">
        <v>286</v>
      </c>
      <c r="M8" t="s">
        <v>317</v>
      </c>
      <c r="O8" s="213" t="s">
        <v>286</v>
      </c>
      <c r="P8" t="s">
        <v>319</v>
      </c>
      <c r="R8" s="213" t="s">
        <v>286</v>
      </c>
      <c r="S8" t="s">
        <v>318</v>
      </c>
      <c r="U8" s="22" t="s">
        <v>718</v>
      </c>
      <c r="V8" s="213" t="s">
        <v>286</v>
      </c>
      <c r="W8" t="s">
        <v>698</v>
      </c>
      <c r="X8" s="85"/>
      <c r="Y8" s="213"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46"/>
      <c r="J1" s="247"/>
      <c r="K1" s="245"/>
      <c r="L1" s="245"/>
      <c r="M1" s="245"/>
      <c r="N1" s="245"/>
      <c r="O1" s="245"/>
      <c r="P1" s="245"/>
      <c r="Q1" s="245"/>
      <c r="R1" s="245"/>
    </row>
    <row r="2" spans="1:24">
      <c r="A2" s="28"/>
      <c r="B2" s="42"/>
      <c r="C2" s="242" t="s">
        <v>436</v>
      </c>
      <c r="D2" s="245"/>
      <c r="E2" s="245"/>
      <c r="F2" s="245"/>
      <c r="G2" s="245"/>
      <c r="H2" s="125"/>
      <c r="I2" s="242" t="s">
        <v>436</v>
      </c>
      <c r="J2" s="245"/>
      <c r="K2" s="245"/>
      <c r="L2" s="245"/>
      <c r="M2" s="245"/>
      <c r="N2" s="145"/>
      <c r="O2" s="253" t="s">
        <v>677</v>
      </c>
      <c r="P2" s="254"/>
      <c r="Q2" s="254"/>
      <c r="R2" s="254"/>
      <c r="S2" s="254"/>
      <c r="T2" s="254"/>
      <c r="U2" s="254"/>
      <c r="V2" s="254"/>
      <c r="W2" s="254"/>
      <c r="X2" s="254"/>
    </row>
    <row r="3" spans="1:24">
      <c r="A3" s="28"/>
      <c r="B3" s="42"/>
      <c r="C3" s="213" t="s">
        <v>0</v>
      </c>
      <c r="D3" s="214" t="s">
        <v>16</v>
      </c>
      <c r="E3" s="125"/>
      <c r="F3" s="213" t="s">
        <v>0</v>
      </c>
      <c r="G3" s="214" t="s">
        <v>16</v>
      </c>
      <c r="H3" s="125"/>
      <c r="I3" s="213" t="s">
        <v>0</v>
      </c>
      <c r="J3" s="214" t="s">
        <v>16</v>
      </c>
      <c r="K3" s="144"/>
      <c r="L3" s="213" t="s">
        <v>0</v>
      </c>
      <c r="M3" s="214" t="s">
        <v>16</v>
      </c>
      <c r="N3" s="144"/>
      <c r="O3" s="213" t="s">
        <v>0</v>
      </c>
      <c r="P3" s="214" t="s">
        <v>16</v>
      </c>
      <c r="Q3" s="30"/>
      <c r="R3" s="144"/>
      <c r="S3" s="144"/>
      <c r="T3" s="30"/>
      <c r="U3" s="213" t="s">
        <v>0</v>
      </c>
      <c r="V3" s="214" t="s">
        <v>16</v>
      </c>
      <c r="W3" s="144"/>
      <c r="X3" s="144"/>
    </row>
    <row r="4" spans="1:24">
      <c r="A4" s="28"/>
      <c r="B4" s="42"/>
      <c r="C4" s="213" t="s">
        <v>3</v>
      </c>
      <c r="D4" s="214" t="s">
        <v>593</v>
      </c>
      <c r="E4" s="125"/>
      <c r="F4" s="213" t="s">
        <v>3</v>
      </c>
      <c r="G4" s="214" t="s">
        <v>589</v>
      </c>
      <c r="H4" s="125"/>
      <c r="I4" s="213" t="s">
        <v>3</v>
      </c>
      <c r="J4" s="214" t="s">
        <v>434</v>
      </c>
      <c r="K4" s="144"/>
      <c r="L4" s="213" t="s">
        <v>3</v>
      </c>
      <c r="M4" s="214" t="s">
        <v>430</v>
      </c>
      <c r="N4" s="144"/>
      <c r="O4" s="213" t="s">
        <v>3</v>
      </c>
      <c r="P4" s="214" t="s">
        <v>64</v>
      </c>
      <c r="Q4" s="30"/>
      <c r="R4" s="144"/>
      <c r="S4" s="144"/>
      <c r="T4" s="30"/>
      <c r="U4" s="213" t="s">
        <v>3</v>
      </c>
      <c r="V4" s="214"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718</v>
      </c>
      <c r="C6" s="213" t="s">
        <v>286</v>
      </c>
      <c r="D6" t="s">
        <v>594</v>
      </c>
      <c r="E6" s="125"/>
      <c r="F6" s="213" t="s">
        <v>286</v>
      </c>
      <c r="G6" t="s">
        <v>678</v>
      </c>
      <c r="H6" s="125"/>
      <c r="I6" s="213" t="s">
        <v>286</v>
      </c>
      <c r="J6" t="s">
        <v>437</v>
      </c>
      <c r="K6" s="144"/>
      <c r="L6" s="213" t="s">
        <v>286</v>
      </c>
      <c r="M6" t="s">
        <v>679</v>
      </c>
      <c r="N6" s="144"/>
      <c r="O6" s="213" t="s">
        <v>286</v>
      </c>
      <c r="P6" s="214" t="s">
        <v>302</v>
      </c>
      <c r="Q6" s="214" t="s">
        <v>405</v>
      </c>
      <c r="R6" s="214" t="s">
        <v>301</v>
      </c>
      <c r="S6" s="214" t="s">
        <v>404</v>
      </c>
      <c r="T6" s="144"/>
      <c r="U6" s="213" t="s">
        <v>286</v>
      </c>
      <c r="V6" s="214" t="s">
        <v>306</v>
      </c>
      <c r="W6" s="214" t="s">
        <v>307</v>
      </c>
      <c r="X6" s="214"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H4" sqref="H4"/>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55" t="s">
        <v>443</v>
      </c>
      <c r="B2" s="243"/>
      <c r="C2" s="243"/>
      <c r="D2" s="243"/>
      <c r="E2" s="243"/>
      <c r="F2" s="243"/>
      <c r="G2" s="243"/>
      <c r="H2" s="256"/>
      <c r="J2" s="255" t="s">
        <v>444</v>
      </c>
      <c r="K2" s="243"/>
      <c r="L2" s="243"/>
      <c r="M2" s="243"/>
      <c r="N2" s="243"/>
      <c r="O2" s="243"/>
      <c r="P2" s="243"/>
      <c r="Q2" s="256"/>
    </row>
    <row r="3" spans="1:17">
      <c r="A3" s="56"/>
      <c r="B3" s="55"/>
      <c r="C3" s="55"/>
      <c r="D3" s="55"/>
      <c r="E3" s="55"/>
      <c r="F3" s="55"/>
      <c r="G3" s="55"/>
      <c r="H3" s="57"/>
      <c r="J3" s="87"/>
      <c r="K3" s="86"/>
      <c r="L3" s="86"/>
      <c r="M3" s="86"/>
      <c r="N3" s="86"/>
      <c r="O3" s="86"/>
      <c r="P3" s="86"/>
      <c r="Q3" s="88"/>
    </row>
    <row r="4" spans="1:17">
      <c r="C4" s="30"/>
      <c r="F4" s="30"/>
      <c r="L4" s="30"/>
      <c r="M4" s="213" t="s">
        <v>0</v>
      </c>
      <c r="N4" s="214" t="s">
        <v>16</v>
      </c>
      <c r="O4" s="30"/>
      <c r="P4" s="213" t="s">
        <v>0</v>
      </c>
      <c r="Q4" s="214" t="s">
        <v>16</v>
      </c>
    </row>
    <row r="5" spans="1:17">
      <c r="A5" s="213" t="s">
        <v>0</v>
      </c>
      <c r="B5" s="214" t="s">
        <v>16</v>
      </c>
      <c r="C5" s="30"/>
      <c r="D5" s="213" t="s">
        <v>0</v>
      </c>
      <c r="E5" s="214" t="s">
        <v>16</v>
      </c>
      <c r="F5" s="30"/>
      <c r="G5" s="213" t="s">
        <v>0</v>
      </c>
      <c r="H5" s="214" t="s">
        <v>16</v>
      </c>
      <c r="J5" s="213" t="s">
        <v>0</v>
      </c>
      <c r="K5" s="214" t="s">
        <v>16</v>
      </c>
      <c r="L5" s="30"/>
      <c r="M5" s="213" t="s">
        <v>1</v>
      </c>
      <c r="N5" s="214" t="s">
        <v>16</v>
      </c>
      <c r="O5" s="30"/>
      <c r="P5" s="213" t="s">
        <v>1</v>
      </c>
      <c r="Q5" s="214" t="s">
        <v>16</v>
      </c>
    </row>
    <row r="6" spans="1:17">
      <c r="A6" s="213" t="s">
        <v>3</v>
      </c>
      <c r="B6" s="214" t="s">
        <v>361</v>
      </c>
      <c r="C6" s="30"/>
      <c r="D6" s="213" t="s">
        <v>3</v>
      </c>
      <c r="E6" s="214" t="s">
        <v>358</v>
      </c>
      <c r="F6" s="30"/>
      <c r="G6" s="213" t="s">
        <v>3</v>
      </c>
      <c r="H6" s="214" t="s">
        <v>360</v>
      </c>
      <c r="J6" s="213" t="s">
        <v>3</v>
      </c>
      <c r="K6" s="214" t="s">
        <v>442</v>
      </c>
      <c r="L6" s="30"/>
      <c r="M6" s="213" t="s">
        <v>3</v>
      </c>
      <c r="N6" s="214" t="s">
        <v>438</v>
      </c>
      <c r="O6" s="30"/>
      <c r="P6" s="213" t="s">
        <v>3</v>
      </c>
      <c r="Q6" s="214" t="s">
        <v>440</v>
      </c>
    </row>
    <row r="7" spans="1:17">
      <c r="A7" s="54"/>
      <c r="B7" s="54"/>
      <c r="C7" s="54"/>
      <c r="D7" s="54"/>
      <c r="E7" s="54"/>
      <c r="F7" s="54"/>
      <c r="G7" s="54"/>
      <c r="H7" s="54"/>
      <c r="J7" s="85"/>
      <c r="K7" s="85"/>
      <c r="L7" s="85"/>
      <c r="M7" s="85"/>
      <c r="N7" s="85"/>
      <c r="O7" s="85"/>
      <c r="P7" s="85"/>
      <c r="Q7" s="85"/>
    </row>
    <row r="8" spans="1:17" ht="28.8">
      <c r="A8" s="213" t="s">
        <v>719</v>
      </c>
      <c r="B8" t="s">
        <v>285</v>
      </c>
      <c r="C8" s="54"/>
      <c r="D8" s="213" t="s">
        <v>719</v>
      </c>
      <c r="E8" s="29" t="s">
        <v>362</v>
      </c>
      <c r="F8" s="54"/>
      <c r="G8" s="213" t="s">
        <v>719</v>
      </c>
      <c r="H8" s="29" t="s">
        <v>363</v>
      </c>
      <c r="J8" s="213" t="s">
        <v>719</v>
      </c>
      <c r="K8" t="s">
        <v>469</v>
      </c>
      <c r="L8" s="85"/>
      <c r="M8" s="213" t="s">
        <v>286</v>
      </c>
      <c r="N8" s="29" t="s">
        <v>470</v>
      </c>
      <c r="O8" s="85"/>
      <c r="P8" s="213" t="s">
        <v>286</v>
      </c>
      <c r="Q8" s="29" t="s">
        <v>471</v>
      </c>
    </row>
    <row r="9" spans="1:17">
      <c r="A9" s="4" t="s">
        <v>47</v>
      </c>
      <c r="B9" s="214">
        <v>4</v>
      </c>
      <c r="C9" s="6"/>
      <c r="D9" s="4" t="s">
        <v>47</v>
      </c>
      <c r="E9" s="5">
        <v>2100</v>
      </c>
      <c r="F9" s="6"/>
      <c r="G9" s="4" t="s">
        <v>47</v>
      </c>
      <c r="H9" s="5">
        <v>1200</v>
      </c>
      <c r="J9" s="4" t="s">
        <v>47</v>
      </c>
      <c r="K9" s="214">
        <v>3</v>
      </c>
      <c r="L9" s="6"/>
      <c r="M9" s="4" t="s">
        <v>48</v>
      </c>
      <c r="N9" s="5">
        <v>12</v>
      </c>
      <c r="O9" s="6"/>
      <c r="P9" s="4" t="s">
        <v>48</v>
      </c>
      <c r="Q9" s="5">
        <v>4</v>
      </c>
    </row>
    <row r="10" spans="1:17">
      <c r="A10" s="4" t="s">
        <v>17</v>
      </c>
      <c r="B10" s="214">
        <v>4</v>
      </c>
      <c r="C10" s="6"/>
      <c r="D10" s="4" t="s">
        <v>17</v>
      </c>
      <c r="E10" s="5">
        <v>2100</v>
      </c>
      <c r="F10" s="6"/>
      <c r="G10" s="4" t="s">
        <v>17</v>
      </c>
      <c r="H10" s="5">
        <v>1200</v>
      </c>
      <c r="J10" s="4" t="s">
        <v>17</v>
      </c>
      <c r="K10" s="214">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6.44140625" style="70" bestFit="1"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0.77734375" style="69" bestFit="1"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9" t="s">
        <v>397</v>
      </c>
      <c r="C1" s="245"/>
      <c r="D1" s="245"/>
      <c r="E1" s="245"/>
      <c r="F1" s="245"/>
      <c r="G1" s="245"/>
      <c r="H1" s="245"/>
      <c r="I1" s="245"/>
      <c r="J1" s="245"/>
      <c r="K1" s="245"/>
      <c r="L1" s="245"/>
      <c r="M1" s="245"/>
      <c r="N1" s="245"/>
      <c r="O1" s="245"/>
      <c r="P1" s="245"/>
      <c r="Q1" s="245"/>
      <c r="R1" s="245"/>
      <c r="S1" s="245"/>
      <c r="T1" s="245"/>
      <c r="U1" s="27"/>
      <c r="V1" s="259" t="s">
        <v>398</v>
      </c>
      <c r="W1" s="245"/>
      <c r="X1" s="245"/>
      <c r="Y1" s="245"/>
      <c r="Z1" s="245"/>
      <c r="AA1" s="245"/>
      <c r="AB1" s="245"/>
      <c r="AC1" s="245"/>
      <c r="AD1" s="245"/>
      <c r="AE1" s="245"/>
      <c r="AF1" s="245"/>
      <c r="AG1" s="245"/>
      <c r="AH1" s="245"/>
      <c r="AI1" s="245"/>
      <c r="AJ1" s="245"/>
      <c r="AK1" s="245"/>
      <c r="AL1" s="245"/>
      <c r="AM1" s="245"/>
      <c r="AN1" s="245"/>
    </row>
    <row r="2" spans="1:40" s="54" customFormat="1">
      <c r="A2" s="65"/>
      <c r="B2" s="259"/>
      <c r="C2" s="245"/>
      <c r="D2" s="245"/>
      <c r="E2" s="245"/>
      <c r="F2" s="245"/>
      <c r="G2" s="245"/>
      <c r="H2" s="245"/>
      <c r="I2" s="245"/>
      <c r="J2" s="245"/>
      <c r="K2" s="245"/>
      <c r="L2" s="245"/>
      <c r="M2" s="245"/>
      <c r="N2" s="245"/>
      <c r="O2" s="245"/>
      <c r="P2" s="245"/>
      <c r="Q2" s="245"/>
      <c r="R2" s="245"/>
      <c r="S2" s="245"/>
      <c r="T2" s="245"/>
      <c r="U2" s="27"/>
      <c r="V2" s="204" t="s">
        <v>0</v>
      </c>
      <c r="W2" s="205"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351</v>
      </c>
      <c r="D5" s="27"/>
      <c r="E5" s="27"/>
      <c r="F5" s="27"/>
      <c r="G5" s="27"/>
      <c r="H5" s="27"/>
      <c r="I5" s="27"/>
      <c r="J5" s="27"/>
      <c r="K5" s="27"/>
      <c r="L5" s="27"/>
      <c r="M5" s="27"/>
      <c r="N5" s="27"/>
      <c r="O5" s="27"/>
      <c r="P5" s="27"/>
      <c r="Q5" s="27"/>
      <c r="R5" s="27"/>
      <c r="S5" s="27"/>
      <c r="T5" s="27"/>
      <c r="V5" s="204" t="s">
        <v>3</v>
      </c>
      <c r="W5" s="205"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719</v>
      </c>
      <c r="C7" s="29" t="s">
        <v>379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379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9" t="s">
        <v>397</v>
      </c>
      <c r="C1" s="245"/>
      <c r="D1" s="245"/>
      <c r="E1" s="245"/>
      <c r="F1" s="245"/>
      <c r="G1" s="245"/>
      <c r="H1" s="245"/>
      <c r="I1" s="245"/>
      <c r="J1" s="245"/>
      <c r="K1" s="245"/>
      <c r="L1" s="245"/>
      <c r="M1" s="245"/>
      <c r="N1" s="245"/>
      <c r="O1" s="245"/>
      <c r="P1" s="245"/>
      <c r="Q1" s="245"/>
      <c r="R1" s="245"/>
      <c r="S1" s="245"/>
      <c r="T1" s="245"/>
      <c r="V1" s="259" t="s">
        <v>398</v>
      </c>
      <c r="W1" s="245"/>
      <c r="X1" s="245"/>
      <c r="Y1" s="245"/>
      <c r="Z1" s="245"/>
      <c r="AA1" s="245"/>
      <c r="AB1" s="245"/>
      <c r="AC1" s="245"/>
      <c r="AD1" s="245"/>
      <c r="AE1" s="245"/>
      <c r="AF1" s="245"/>
      <c r="AG1" s="245"/>
      <c r="AH1" s="245"/>
      <c r="AI1" s="245"/>
      <c r="AJ1" s="245"/>
      <c r="AK1" s="245"/>
      <c r="AL1" s="245"/>
      <c r="AM1" s="245"/>
      <c r="AN1" s="245"/>
    </row>
    <row r="2" spans="1:40">
      <c r="A2" s="65"/>
      <c r="B2" s="259"/>
      <c r="C2" s="245"/>
      <c r="D2" s="245"/>
      <c r="E2" s="245"/>
      <c r="F2" s="245"/>
      <c r="G2" s="245"/>
      <c r="H2" s="245"/>
      <c r="I2" s="245"/>
      <c r="J2" s="245"/>
      <c r="K2" s="245"/>
      <c r="L2" s="245"/>
      <c r="M2" s="245"/>
      <c r="N2" s="245"/>
      <c r="O2" s="245"/>
      <c r="P2" s="245"/>
      <c r="Q2" s="245"/>
      <c r="R2" s="245"/>
      <c r="S2" s="245"/>
      <c r="T2" s="245"/>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349</v>
      </c>
      <c r="D5" s="27"/>
      <c r="E5" s="27"/>
      <c r="F5" s="27"/>
      <c r="G5" s="27"/>
      <c r="H5" s="27"/>
      <c r="I5" s="27"/>
      <c r="J5" s="27"/>
      <c r="K5" s="27"/>
      <c r="L5" s="27"/>
      <c r="M5" s="27"/>
      <c r="N5" s="27"/>
      <c r="O5" s="27"/>
      <c r="P5" s="27"/>
      <c r="Q5" s="27"/>
      <c r="R5" s="27"/>
      <c r="S5" s="27"/>
      <c r="T5" s="27"/>
      <c r="V5" s="204" t="s">
        <v>3</v>
      </c>
      <c r="W5" s="205"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719</v>
      </c>
      <c r="C7" s="29" t="s">
        <v>507</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507</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0.77734375" style="69" bestFit="1"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9" t="s">
        <v>397</v>
      </c>
      <c r="C1" s="245"/>
      <c r="D1" s="245"/>
      <c r="E1" s="245"/>
      <c r="F1" s="245"/>
      <c r="G1" s="245"/>
      <c r="H1" s="245"/>
      <c r="I1" s="245"/>
      <c r="J1" s="245"/>
      <c r="K1" s="245"/>
      <c r="L1" s="245"/>
      <c r="M1" s="245"/>
      <c r="N1" s="245"/>
      <c r="O1" s="245"/>
      <c r="P1" s="245"/>
      <c r="Q1" s="245"/>
      <c r="R1" s="245"/>
      <c r="S1" s="245"/>
      <c r="T1" s="245"/>
      <c r="V1" s="259" t="s">
        <v>398</v>
      </c>
      <c r="W1" s="245"/>
      <c r="X1" s="245"/>
      <c r="Y1" s="245"/>
      <c r="Z1" s="245"/>
      <c r="AA1" s="245"/>
      <c r="AB1" s="245"/>
      <c r="AC1" s="245"/>
      <c r="AD1" s="245"/>
      <c r="AE1" s="245"/>
      <c r="AF1" s="245"/>
      <c r="AG1" s="245"/>
      <c r="AH1" s="245"/>
      <c r="AI1" s="245"/>
      <c r="AJ1" s="245"/>
      <c r="AK1" s="245"/>
      <c r="AL1" s="245"/>
      <c r="AM1" s="245"/>
      <c r="AN1" s="245"/>
    </row>
    <row r="2" spans="1:40">
      <c r="A2" s="65"/>
      <c r="B2" s="259"/>
      <c r="C2" s="245"/>
      <c r="D2" s="245"/>
      <c r="E2" s="245"/>
      <c r="F2" s="245"/>
      <c r="G2" s="245"/>
      <c r="H2" s="245"/>
      <c r="I2" s="245"/>
      <c r="J2" s="245"/>
      <c r="K2" s="245"/>
      <c r="L2" s="245"/>
      <c r="M2" s="245"/>
      <c r="N2" s="245"/>
      <c r="O2" s="245"/>
      <c r="P2" s="245"/>
      <c r="Q2" s="245"/>
      <c r="R2" s="245"/>
      <c r="S2" s="245"/>
      <c r="T2" s="245"/>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350</v>
      </c>
      <c r="D5" s="27"/>
      <c r="E5" s="27"/>
      <c r="F5" s="27"/>
      <c r="G5" s="27"/>
      <c r="H5" s="27"/>
      <c r="I5" s="27"/>
      <c r="J5" s="27"/>
      <c r="K5" s="27"/>
      <c r="L5" s="27"/>
      <c r="M5" s="27"/>
      <c r="N5" s="27"/>
      <c r="O5" s="27"/>
      <c r="P5" s="27"/>
      <c r="Q5" s="27"/>
      <c r="R5" s="27"/>
      <c r="S5" s="27"/>
      <c r="T5" s="27"/>
      <c r="V5" s="204" t="s">
        <v>3</v>
      </c>
      <c r="W5" s="205"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719</v>
      </c>
      <c r="C7" s="29" t="s">
        <v>508</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508</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0.77734375" style="69" bestFit="1"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9" t="s">
        <v>397</v>
      </c>
      <c r="C1" s="245"/>
      <c r="D1" s="245"/>
      <c r="E1" s="245"/>
      <c r="F1" s="245"/>
      <c r="G1" s="245"/>
      <c r="H1" s="245"/>
      <c r="I1" s="245"/>
      <c r="J1" s="245"/>
      <c r="K1" s="245"/>
      <c r="L1" s="245"/>
      <c r="M1" s="245"/>
      <c r="N1" s="245"/>
      <c r="O1" s="245"/>
      <c r="P1" s="245"/>
      <c r="Q1" s="245"/>
      <c r="R1" s="245"/>
      <c r="S1" s="245"/>
      <c r="T1" s="245"/>
      <c r="V1" s="259" t="s">
        <v>398</v>
      </c>
      <c r="W1" s="245"/>
      <c r="X1" s="245"/>
      <c r="Y1" s="245"/>
      <c r="Z1" s="245"/>
      <c r="AA1" s="245"/>
      <c r="AB1" s="245"/>
      <c r="AC1" s="245"/>
      <c r="AD1" s="245"/>
      <c r="AE1" s="245"/>
      <c r="AF1" s="245"/>
      <c r="AG1" s="245"/>
      <c r="AH1" s="245"/>
      <c r="AI1" s="245"/>
      <c r="AJ1" s="245"/>
      <c r="AK1" s="245"/>
      <c r="AL1" s="245"/>
      <c r="AM1" s="245"/>
      <c r="AN1" s="245"/>
    </row>
    <row r="2" spans="1:40">
      <c r="A2" s="65"/>
      <c r="B2" s="259"/>
      <c r="C2" s="245"/>
      <c r="D2" s="245"/>
      <c r="E2" s="245"/>
      <c r="F2" s="245"/>
      <c r="G2" s="245"/>
      <c r="H2" s="245"/>
      <c r="I2" s="245"/>
      <c r="J2" s="245"/>
      <c r="K2" s="245"/>
      <c r="L2" s="245"/>
      <c r="M2" s="245"/>
      <c r="N2" s="245"/>
      <c r="O2" s="245"/>
      <c r="P2" s="245"/>
      <c r="Q2" s="245"/>
      <c r="R2" s="245"/>
      <c r="S2" s="245"/>
      <c r="T2" s="245"/>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353</v>
      </c>
      <c r="D5" s="27"/>
      <c r="E5" s="27"/>
      <c r="F5" s="27"/>
      <c r="G5" s="27"/>
      <c r="H5" s="27"/>
      <c r="I5" s="27"/>
      <c r="J5" s="27"/>
      <c r="K5" s="27"/>
      <c r="L5" s="27"/>
      <c r="M5" s="27"/>
      <c r="N5" s="27"/>
      <c r="O5" s="27"/>
      <c r="P5" s="27"/>
      <c r="Q5" s="27"/>
      <c r="R5" s="27"/>
      <c r="S5" s="27"/>
      <c r="T5" s="27"/>
      <c r="V5" s="204" t="s">
        <v>3</v>
      </c>
      <c r="W5" s="205"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719</v>
      </c>
      <c r="C7" s="29" t="s">
        <v>509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9" t="s">
        <v>397</v>
      </c>
      <c r="C1" s="245"/>
      <c r="D1" s="245"/>
      <c r="E1" s="245"/>
      <c r="F1" s="245"/>
      <c r="G1" s="245"/>
      <c r="H1" s="245"/>
      <c r="I1" s="245"/>
      <c r="J1" s="245"/>
      <c r="K1" s="245"/>
      <c r="L1" s="245"/>
      <c r="M1" s="245"/>
      <c r="N1" s="245"/>
      <c r="O1" s="245"/>
      <c r="P1" s="245"/>
      <c r="Q1" s="245"/>
      <c r="R1" s="245"/>
      <c r="S1" s="245"/>
      <c r="T1" s="245"/>
      <c r="V1" s="259" t="s">
        <v>398</v>
      </c>
      <c r="W1" s="245"/>
      <c r="X1" s="245"/>
      <c r="Y1" s="245"/>
      <c r="Z1" s="245"/>
      <c r="AA1" s="245"/>
      <c r="AB1" s="245"/>
      <c r="AC1" s="245"/>
      <c r="AD1" s="245"/>
      <c r="AE1" s="245"/>
      <c r="AF1" s="245"/>
      <c r="AG1" s="245"/>
      <c r="AH1" s="245"/>
      <c r="AI1" s="245"/>
      <c r="AJ1" s="245"/>
      <c r="AK1" s="245"/>
      <c r="AL1" s="245"/>
      <c r="AM1" s="245"/>
      <c r="AN1" s="245"/>
    </row>
    <row r="2" spans="1:40">
      <c r="A2" s="65"/>
      <c r="B2" s="259"/>
      <c r="C2" s="245"/>
      <c r="D2" s="245"/>
      <c r="E2" s="245"/>
      <c r="F2" s="245"/>
      <c r="G2" s="245"/>
      <c r="H2" s="245"/>
      <c r="I2" s="245"/>
      <c r="J2" s="245"/>
      <c r="K2" s="245"/>
      <c r="L2" s="245"/>
      <c r="M2" s="245"/>
      <c r="N2" s="245"/>
      <c r="O2" s="245"/>
      <c r="P2" s="245"/>
      <c r="Q2" s="245"/>
      <c r="R2" s="245"/>
      <c r="S2" s="245"/>
      <c r="T2" s="245"/>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352</v>
      </c>
      <c r="D5" s="27"/>
      <c r="E5" s="27"/>
      <c r="F5" s="27"/>
      <c r="G5" s="27"/>
      <c r="H5" s="27"/>
      <c r="I5" s="27"/>
      <c r="J5" s="27"/>
      <c r="K5" s="27"/>
      <c r="L5" s="27"/>
      <c r="M5" s="27"/>
      <c r="N5" s="27"/>
      <c r="O5" s="27"/>
      <c r="P5" s="27"/>
      <c r="Q5" s="27"/>
      <c r="R5" s="27"/>
      <c r="S5" s="27"/>
      <c r="T5" s="27"/>
      <c r="V5" s="204" t="s">
        <v>3</v>
      </c>
      <c r="W5" s="205"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719</v>
      </c>
      <c r="C7" s="29" t="s">
        <v>510</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511</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255.77734375" style="78" bestFit="1"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150.77734375" style="78" bestFit="1"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42" t="s">
        <v>498</v>
      </c>
      <c r="B1" s="245"/>
      <c r="C1" s="245"/>
      <c r="D1" s="245"/>
      <c r="E1" s="245"/>
      <c r="F1" s="245"/>
      <c r="G1" s="245"/>
      <c r="H1" s="245"/>
      <c r="I1" s="245"/>
      <c r="J1" s="245"/>
    </row>
    <row r="2" spans="1:10">
      <c r="A2" s="92"/>
      <c r="B2" s="92"/>
      <c r="C2" s="92"/>
      <c r="D2" s="146"/>
      <c r="E2" s="92"/>
      <c r="F2" s="92"/>
      <c r="G2" s="92"/>
      <c r="H2" s="92"/>
      <c r="I2" s="209" t="s">
        <v>411</v>
      </c>
      <c r="J2" s="210" t="s">
        <v>16</v>
      </c>
    </row>
    <row r="3" spans="1:10">
      <c r="A3" s="92"/>
      <c r="B3" s="92"/>
      <c r="C3" s="92"/>
      <c r="D3" s="28"/>
      <c r="E3" s="92"/>
      <c r="F3" s="92"/>
      <c r="G3" s="92"/>
      <c r="H3" s="92"/>
      <c r="I3" s="209" t="s">
        <v>0</v>
      </c>
      <c r="J3" s="210" t="s">
        <v>16</v>
      </c>
    </row>
    <row r="4" spans="1:10">
      <c r="A4" s="209" t="s">
        <v>411</v>
      </c>
      <c r="B4" s="210" t="s">
        <v>16</v>
      </c>
      <c r="D4" s="28"/>
      <c r="E4" s="92"/>
      <c r="F4" s="209" t="s">
        <v>411</v>
      </c>
      <c r="G4" s="210" t="s">
        <v>16</v>
      </c>
      <c r="I4" s="209" t="s">
        <v>413</v>
      </c>
      <c r="J4" s="210" t="s">
        <v>16</v>
      </c>
    </row>
    <row r="5" spans="1:10">
      <c r="A5" s="209" t="s">
        <v>0</v>
      </c>
      <c r="B5" s="210" t="s">
        <v>16</v>
      </c>
      <c r="D5" s="28"/>
      <c r="E5" s="92"/>
      <c r="F5" s="209" t="s">
        <v>0</v>
      </c>
      <c r="G5" s="210" t="s">
        <v>16</v>
      </c>
      <c r="I5" s="209" t="s">
        <v>428</v>
      </c>
      <c r="J5" s="210" t="s">
        <v>16</v>
      </c>
    </row>
    <row r="6" spans="1:10">
      <c r="A6" s="209" t="s">
        <v>413</v>
      </c>
      <c r="B6" s="210" t="s">
        <v>16</v>
      </c>
      <c r="D6" s="28"/>
      <c r="E6" s="92"/>
      <c r="F6" s="209" t="s">
        <v>413</v>
      </c>
      <c r="G6" s="210" t="s">
        <v>16</v>
      </c>
      <c r="I6" s="209" t="s">
        <v>496</v>
      </c>
      <c r="J6" s="210" t="s">
        <v>16</v>
      </c>
    </row>
    <row r="7" spans="1:10">
      <c r="A7" s="209" t="s">
        <v>475</v>
      </c>
      <c r="B7" s="210" t="s">
        <v>16</v>
      </c>
      <c r="D7" s="28"/>
      <c r="E7" s="92"/>
      <c r="F7" s="209" t="s">
        <v>475</v>
      </c>
      <c r="G7" s="210" t="s">
        <v>16</v>
      </c>
      <c r="I7" s="209" t="s">
        <v>1</v>
      </c>
      <c r="J7" s="210" t="s">
        <v>16</v>
      </c>
    </row>
    <row r="8" spans="1:10">
      <c r="D8" s="28"/>
      <c r="E8" s="92"/>
      <c r="I8" s="209" t="s">
        <v>2</v>
      </c>
      <c r="J8" s="210" t="s">
        <v>16</v>
      </c>
    </row>
    <row r="9" spans="1:10" ht="28.8">
      <c r="A9" s="209" t="s">
        <v>476</v>
      </c>
      <c r="B9" t="s">
        <v>477</v>
      </c>
      <c r="D9" s="22" t="s">
        <v>680</v>
      </c>
      <c r="E9" s="93" t="s">
        <v>718</v>
      </c>
      <c r="F9" s="209"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209" t="s">
        <v>478</v>
      </c>
      <c r="J10" t="s">
        <v>477</v>
      </c>
    </row>
    <row r="11" spans="1:10">
      <c r="A11" s="4" t="s">
        <v>480</v>
      </c>
      <c r="B11" s="5">
        <v>46</v>
      </c>
      <c r="D11" s="26" t="str">
        <f>INDEX('OS-Machine Info'!$B:$B,MATCH(F11,'OS-Machine Info'!$A:$A,0))</f>
        <v>TestDC</v>
      </c>
      <c r="E11" s="94">
        <f>INDEX('Node Information'!$N:$N,MATCH(F11,'Node Information'!$A:$A,0))</f>
        <v>2.89</v>
      </c>
      <c r="F11" s="4" t="s">
        <v>48</v>
      </c>
      <c r="G11" s="5">
        <v>522</v>
      </c>
      <c r="I11" s="4" t="s">
        <v>482</v>
      </c>
      <c r="J11" s="5">
        <v>217</v>
      </c>
    </row>
    <row r="12" spans="1:10">
      <c r="A12" s="4" t="s">
        <v>481</v>
      </c>
      <c r="B12" s="5">
        <v>5</v>
      </c>
      <c r="F12" s="4" t="s">
        <v>17</v>
      </c>
      <c r="G12" s="5">
        <v>522</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805</v>
      </c>
      <c r="B17" s="5">
        <v>21</v>
      </c>
      <c r="F17"/>
      <c r="G17"/>
      <c r="I17" s="4" t="s">
        <v>504</v>
      </c>
      <c r="J17" s="5">
        <v>1</v>
      </c>
    </row>
    <row r="18" spans="1:10">
      <c r="A18" s="4" t="s">
        <v>809</v>
      </c>
      <c r="B18" s="5">
        <v>39</v>
      </c>
      <c r="F18"/>
      <c r="G18"/>
      <c r="I18" s="4" t="s">
        <v>808</v>
      </c>
      <c r="J18" s="5"/>
    </row>
    <row r="19" spans="1:10">
      <c r="A19" s="4" t="s">
        <v>852</v>
      </c>
      <c r="B19" s="5"/>
      <c r="I19" s="182" t="s">
        <v>806</v>
      </c>
      <c r="J19" s="5">
        <v>21</v>
      </c>
    </row>
    <row r="20" spans="1:10">
      <c r="A20" s="182" t="s">
        <v>853</v>
      </c>
      <c r="B20" s="5"/>
      <c r="I20" s="4" t="s">
        <v>811</v>
      </c>
      <c r="J20" s="5"/>
    </row>
    <row r="21" spans="1:10">
      <c r="A21" s="206" t="s">
        <v>48</v>
      </c>
      <c r="B21" s="5">
        <v>1</v>
      </c>
      <c r="I21" s="182" t="s">
        <v>810</v>
      </c>
      <c r="J21" s="5">
        <v>19</v>
      </c>
    </row>
    <row r="22" spans="1:10">
      <c r="A22" s="182" t="s">
        <v>854</v>
      </c>
      <c r="B22" s="5"/>
      <c r="I22" s="4" t="s">
        <v>812</v>
      </c>
      <c r="J22" s="5"/>
    </row>
    <row r="23" spans="1:10">
      <c r="A23" s="206" t="s">
        <v>48</v>
      </c>
      <c r="B23" s="5">
        <v>1</v>
      </c>
      <c r="I23" s="182" t="s">
        <v>810</v>
      </c>
      <c r="J23" s="5">
        <v>1</v>
      </c>
    </row>
    <row r="24" spans="1:10">
      <c r="A24" s="4" t="s">
        <v>856</v>
      </c>
      <c r="B24" s="5"/>
      <c r="I24" s="4" t="s">
        <v>813</v>
      </c>
      <c r="J24" s="5"/>
    </row>
    <row r="25" spans="1:10">
      <c r="A25" s="182" t="s">
        <v>482</v>
      </c>
      <c r="B25" s="5">
        <v>1</v>
      </c>
      <c r="I25" s="182" t="s">
        <v>810</v>
      </c>
      <c r="J25" s="5">
        <v>16</v>
      </c>
    </row>
    <row r="26" spans="1:10">
      <c r="A26" s="4" t="s">
        <v>17</v>
      </c>
      <c r="B26" s="5">
        <v>522</v>
      </c>
      <c r="I26" s="4" t="s">
        <v>804</v>
      </c>
      <c r="J26" s="5"/>
    </row>
    <row r="27" spans="1:10">
      <c r="A27"/>
      <c r="B27"/>
      <c r="I27" s="182" t="s">
        <v>810</v>
      </c>
      <c r="J27" s="5">
        <v>1</v>
      </c>
    </row>
    <row r="28" spans="1:10">
      <c r="A28"/>
      <c r="B28"/>
      <c r="I28" s="4" t="s">
        <v>814</v>
      </c>
      <c r="J28" s="5"/>
    </row>
    <row r="29" spans="1:10">
      <c r="A29"/>
      <c r="B29"/>
      <c r="I29" s="182" t="s">
        <v>810</v>
      </c>
      <c r="J29" s="5">
        <v>1</v>
      </c>
    </row>
    <row r="30" spans="1:10">
      <c r="A30"/>
      <c r="B30"/>
      <c r="I30" s="4" t="s">
        <v>815</v>
      </c>
      <c r="J30" s="5"/>
    </row>
    <row r="31" spans="1:10">
      <c r="A31"/>
      <c r="B31"/>
      <c r="I31" s="182" t="s">
        <v>482</v>
      </c>
      <c r="J31" s="5">
        <v>1</v>
      </c>
    </row>
    <row r="32" spans="1:10">
      <c r="I32" s="182" t="s">
        <v>810</v>
      </c>
      <c r="J32" s="5">
        <v>1</v>
      </c>
    </row>
    <row r="33" spans="9:10">
      <c r="I33" s="4" t="s">
        <v>17</v>
      </c>
      <c r="J33" s="5">
        <v>522</v>
      </c>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2"/>
  <sheetViews>
    <sheetView workbookViewId="0">
      <selection activeCell="A8" sqref="A8:C8"/>
    </sheetView>
  </sheetViews>
  <sheetFormatPr defaultRowHeight="14.4"/>
  <cols>
    <col min="1" max="1" width="15.77734375" style="179" bestFit="1" customWidth="1"/>
    <col min="2" max="2" width="18" style="179" bestFit="1" customWidth="1"/>
    <col min="3" max="3" width="10.77734375" style="179" customWidth="1"/>
    <col min="4" max="4" width="10.77734375" style="179" bestFit="1" customWidth="1"/>
    <col min="5" max="16384" width="8.88671875" style="179"/>
  </cols>
  <sheetData>
    <row r="1" spans="1:3">
      <c r="A1"/>
      <c r="B1"/>
    </row>
    <row r="2" spans="1:3">
      <c r="A2" s="209" t="s">
        <v>428</v>
      </c>
      <c r="B2" s="210" t="s">
        <v>300</v>
      </c>
    </row>
    <row r="3" spans="1:3">
      <c r="A3" s="209" t="s">
        <v>1</v>
      </c>
      <c r="B3" s="210" t="s">
        <v>16</v>
      </c>
    </row>
    <row r="4" spans="1:3">
      <c r="A4" s="209" t="s">
        <v>2</v>
      </c>
      <c r="B4" s="210" t="s">
        <v>16</v>
      </c>
    </row>
    <row r="5" spans="1:3">
      <c r="A5" s="209" t="s">
        <v>411</v>
      </c>
      <c r="B5" s="210" t="s">
        <v>16</v>
      </c>
    </row>
    <row r="6" spans="1:3">
      <c r="A6"/>
      <c r="B6"/>
      <c r="C6"/>
    </row>
    <row r="7" spans="1:3">
      <c r="A7" s="209" t="s">
        <v>799</v>
      </c>
      <c r="B7" t="s">
        <v>334</v>
      </c>
      <c r="C7"/>
    </row>
    <row r="8" spans="1:3">
      <c r="A8" s="4" t="s">
        <v>105</v>
      </c>
      <c r="B8" s="5">
        <v>408</v>
      </c>
      <c r="C8"/>
    </row>
    <row r="9" spans="1:3">
      <c r="A9" s="4" t="s">
        <v>17</v>
      </c>
      <c r="B9" s="5">
        <v>408</v>
      </c>
      <c r="C9"/>
    </row>
    <row r="10" spans="1:3">
      <c r="A10"/>
      <c r="B10"/>
      <c r="C10"/>
    </row>
    <row r="11" spans="1:3">
      <c r="A11"/>
      <c r="B11"/>
      <c r="C11"/>
    </row>
    <row r="12" spans="1:3">
      <c r="A12"/>
      <c r="B12"/>
      <c r="C12"/>
    </row>
  </sheetData>
  <pageMargins left="0.7" right="0.7" top="0.75" bottom="0.75" header="0.3" footer="0.3"/>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209" t="s">
        <v>0</v>
      </c>
      <c r="B1" s="210" t="s">
        <v>16</v>
      </c>
    </row>
    <row r="2" spans="1:3">
      <c r="A2" s="209" t="s">
        <v>428</v>
      </c>
      <c r="B2" s="210" t="s">
        <v>16</v>
      </c>
    </row>
    <row r="3" spans="1:3">
      <c r="A3" s="209" t="s">
        <v>1</v>
      </c>
      <c r="B3" s="210" t="s">
        <v>16</v>
      </c>
    </row>
    <row r="4" spans="1:3">
      <c r="A4" s="209" t="s">
        <v>2</v>
      </c>
      <c r="B4" s="210" t="s">
        <v>16</v>
      </c>
    </row>
    <row r="6" spans="1:3">
      <c r="A6" s="209" t="s">
        <v>334</v>
      </c>
      <c r="B6" s="209" t="s">
        <v>800</v>
      </c>
    </row>
    <row r="7" spans="1:3">
      <c r="A7" s="209" t="s">
        <v>799</v>
      </c>
      <c r="B7" s="210" t="s">
        <v>48</v>
      </c>
      <c r="C7" s="210" t="s">
        <v>17</v>
      </c>
    </row>
    <row r="8" spans="1:3">
      <c r="A8" s="180">
        <v>42625.416666666664</v>
      </c>
      <c r="B8" s="5">
        <v>69</v>
      </c>
      <c r="C8" s="5">
        <v>69</v>
      </c>
    </row>
    <row r="9" spans="1:3">
      <c r="A9" s="180">
        <v>42625.427083333336</v>
      </c>
      <c r="B9" s="5">
        <v>159</v>
      </c>
      <c r="C9" s="5">
        <v>159</v>
      </c>
    </row>
    <row r="10" spans="1:3">
      <c r="A10" s="180">
        <v>42625.4375</v>
      </c>
      <c r="B10" s="5">
        <v>165</v>
      </c>
      <c r="C10" s="5">
        <v>165</v>
      </c>
    </row>
    <row r="11" spans="1:3">
      <c r="A11" s="180">
        <v>42625.447916666664</v>
      </c>
      <c r="B11" s="5">
        <v>129</v>
      </c>
      <c r="C11" s="5">
        <v>129</v>
      </c>
    </row>
    <row r="12" spans="1:3">
      <c r="A12" s="4" t="s">
        <v>17</v>
      </c>
      <c r="B12" s="5">
        <v>522</v>
      </c>
      <c r="C12" s="5">
        <v>522</v>
      </c>
    </row>
  </sheetData>
  <pageMargins left="0.7" right="0.7" top="0.75" bottom="0.75" header="0.3" footer="0.3"/>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13"/>
  <sheetViews>
    <sheetView workbookViewId="0">
      <selection activeCell="A8" sqref="A8:C8"/>
    </sheetView>
  </sheetViews>
  <sheetFormatPr defaultRowHeight="14.4"/>
  <cols>
    <col min="1" max="1" width="18" style="178" bestFit="1" customWidth="1"/>
    <col min="2" max="2" width="23.6640625" style="178" bestFit="1" customWidth="1"/>
    <col min="3" max="3" width="17.5546875" style="178" customWidth="1"/>
    <col min="4" max="4" width="24.77734375" style="178" customWidth="1"/>
    <col min="5" max="5" width="23.109375" style="178" bestFit="1" customWidth="1"/>
    <col min="6" max="6" width="10.77734375" style="178" customWidth="1"/>
    <col min="7" max="7" width="23.109375" style="178" bestFit="1" customWidth="1"/>
    <col min="8" max="8" width="10.77734375" style="178" bestFit="1" customWidth="1"/>
    <col min="9" max="16384" width="8.88671875" style="178"/>
  </cols>
  <sheetData>
    <row r="1" spans="1:8">
      <c r="A1"/>
      <c r="B1"/>
    </row>
    <row r="2" spans="1:8">
      <c r="A2" s="209" t="s">
        <v>0</v>
      </c>
      <c r="B2" s="210" t="s">
        <v>16</v>
      </c>
    </row>
    <row r="3" spans="1:8">
      <c r="A3" s="209" t="s">
        <v>87</v>
      </c>
      <c r="B3" s="210" t="s">
        <v>48</v>
      </c>
    </row>
    <row r="4" spans="1:8">
      <c r="A4" s="209" t="s">
        <v>1</v>
      </c>
      <c r="B4" s="210" t="s">
        <v>16</v>
      </c>
    </row>
    <row r="5" spans="1:8">
      <c r="A5" s="209" t="s">
        <v>2</v>
      </c>
      <c r="B5" s="210" t="s">
        <v>16</v>
      </c>
    </row>
    <row r="6" spans="1:8">
      <c r="A6"/>
      <c r="B6"/>
      <c r="C6"/>
    </row>
    <row r="7" spans="1:8">
      <c r="A7" s="209" t="s">
        <v>334</v>
      </c>
      <c r="B7" s="209" t="s">
        <v>800</v>
      </c>
      <c r="C7"/>
      <c r="D7"/>
      <c r="E7"/>
      <c r="F7"/>
      <c r="G7"/>
      <c r="H7"/>
    </row>
    <row r="8" spans="1:8">
      <c r="A8" s="209" t="s">
        <v>799</v>
      </c>
      <c r="B8" s="210" t="s">
        <v>479</v>
      </c>
      <c r="C8" s="210" t="s">
        <v>483</v>
      </c>
      <c r="D8" s="210" t="s">
        <v>484</v>
      </c>
      <c r="E8" s="210" t="s">
        <v>485</v>
      </c>
      <c r="F8" s="210" t="s">
        <v>17</v>
      </c>
      <c r="G8"/>
      <c r="H8"/>
    </row>
    <row r="9" spans="1:8">
      <c r="A9" s="180">
        <v>42625.416666666664</v>
      </c>
      <c r="B9" s="5">
        <v>6</v>
      </c>
      <c r="C9" s="5"/>
      <c r="D9" s="5"/>
      <c r="E9" s="5"/>
      <c r="F9" s="5">
        <v>6</v>
      </c>
      <c r="G9"/>
      <c r="H9"/>
    </row>
    <row r="10" spans="1:8">
      <c r="A10" s="180">
        <v>42625.427083333336</v>
      </c>
      <c r="B10" s="5">
        <v>3</v>
      </c>
      <c r="C10" s="5">
        <v>60</v>
      </c>
      <c r="D10" s="5">
        <v>5</v>
      </c>
      <c r="E10" s="5">
        <v>69</v>
      </c>
      <c r="F10" s="5">
        <v>137</v>
      </c>
      <c r="G10"/>
      <c r="H10"/>
    </row>
    <row r="11" spans="1:8">
      <c r="A11" s="180">
        <v>42625.4375</v>
      </c>
      <c r="B11" s="5">
        <v>8</v>
      </c>
      <c r="C11" s="5">
        <v>63</v>
      </c>
      <c r="D11" s="5">
        <v>7</v>
      </c>
      <c r="E11" s="5">
        <v>70</v>
      </c>
      <c r="F11" s="5">
        <v>148</v>
      </c>
      <c r="G11"/>
      <c r="H11"/>
    </row>
    <row r="12" spans="1:8">
      <c r="A12" s="180">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7"/>
  <sheetViews>
    <sheetView workbookViewId="0">
      <pane ySplit="2" topLeftCell="A99" activePane="bottomLeft" state="frozen"/>
      <selection pane="bottomLeft" activeCell="I117" sqref="I117"/>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60" t="s">
        <v>414</v>
      </c>
      <c r="B1" s="261" t="s">
        <v>410</v>
      </c>
      <c r="C1" s="262" t="s">
        <v>410</v>
      </c>
      <c r="D1" s="262" t="s">
        <v>410</v>
      </c>
      <c r="E1" s="262" t="s">
        <v>410</v>
      </c>
      <c r="F1" s="262" t="s">
        <v>410</v>
      </c>
      <c r="G1" s="262" t="s">
        <v>410</v>
      </c>
      <c r="H1" s="262" t="s">
        <v>410</v>
      </c>
      <c r="I1" s="263"/>
      <c r="J1" s="264"/>
      <c r="K1" s="262"/>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805</v>
      </c>
      <c r="G102" s="10" t="s">
        <v>806</v>
      </c>
      <c r="H102" s="10" t="s">
        <v>807</v>
      </c>
      <c r="I102" s="10" t="s">
        <v>808</v>
      </c>
      <c r="J102" s="118">
        <v>42913.123880208303</v>
      </c>
      <c r="K102" s="11">
        <v>3</v>
      </c>
      <c r="L102" s="10">
        <v>416</v>
      </c>
    </row>
    <row r="103" spans="1:14" s="10" customFormat="1">
      <c r="A103" s="95">
        <v>42625.416666666701</v>
      </c>
      <c r="B103" s="18">
        <v>1.0416666666666701E-2</v>
      </c>
      <c r="C103" s="20" t="s">
        <v>105</v>
      </c>
      <c r="D103" s="20" t="s">
        <v>48</v>
      </c>
      <c r="E103" s="10" t="s">
        <v>476</v>
      </c>
      <c r="F103" s="10" t="s">
        <v>805</v>
      </c>
      <c r="G103" s="10" t="s">
        <v>806</v>
      </c>
      <c r="H103" s="10" t="s">
        <v>807</v>
      </c>
      <c r="I103" s="10" t="s">
        <v>808</v>
      </c>
      <c r="J103" s="118">
        <v>42913.103046053198</v>
      </c>
      <c r="K103" s="11">
        <v>3</v>
      </c>
      <c r="L103" s="10">
        <v>436</v>
      </c>
    </row>
    <row r="104" spans="1:14" s="10" customFormat="1">
      <c r="A104" s="95">
        <v>42625.416666666701</v>
      </c>
      <c r="B104" s="18">
        <v>1.0416666666666701E-2</v>
      </c>
      <c r="C104" s="20" t="s">
        <v>105</v>
      </c>
      <c r="D104" s="20" t="s">
        <v>48</v>
      </c>
      <c r="E104" s="10" t="s">
        <v>476</v>
      </c>
      <c r="F104" s="10" t="s">
        <v>805</v>
      </c>
      <c r="G104" s="10" t="s">
        <v>806</v>
      </c>
      <c r="H104" s="10" t="s">
        <v>807</v>
      </c>
      <c r="I104" s="10" t="s">
        <v>808</v>
      </c>
      <c r="J104" s="118">
        <v>42913.082212627298</v>
      </c>
      <c r="K104" s="11">
        <v>3</v>
      </c>
      <c r="L104" s="10">
        <v>455</v>
      </c>
    </row>
    <row r="105" spans="1:14" s="10" customFormat="1">
      <c r="A105" s="95">
        <v>42625.416666666701</v>
      </c>
      <c r="B105" s="18">
        <v>1.0416666666666701E-2</v>
      </c>
      <c r="C105" s="20" t="s">
        <v>105</v>
      </c>
      <c r="D105" s="20" t="s">
        <v>48</v>
      </c>
      <c r="E105" s="10" t="s">
        <v>476</v>
      </c>
      <c r="F105" s="10" t="s">
        <v>805</v>
      </c>
      <c r="G105" s="10" t="s">
        <v>806</v>
      </c>
      <c r="H105" s="10" t="s">
        <v>807</v>
      </c>
      <c r="I105" s="10" t="s">
        <v>808</v>
      </c>
      <c r="J105" s="118">
        <v>42913.061379224499</v>
      </c>
      <c r="K105" s="11">
        <v>3</v>
      </c>
      <c r="L105" s="10">
        <v>559</v>
      </c>
    </row>
    <row r="106" spans="1:14" s="10" customFormat="1">
      <c r="A106" s="95">
        <v>42625.416666666701</v>
      </c>
      <c r="B106" s="18">
        <v>1.0416666666666701E-2</v>
      </c>
      <c r="C106" s="20" t="s">
        <v>105</v>
      </c>
      <c r="D106" s="20" t="s">
        <v>48</v>
      </c>
      <c r="E106" s="10" t="s">
        <v>476</v>
      </c>
      <c r="F106" s="10" t="s">
        <v>805</v>
      </c>
      <c r="G106" s="10" t="s">
        <v>806</v>
      </c>
      <c r="H106" s="10" t="s">
        <v>807</v>
      </c>
      <c r="I106" s="10" t="s">
        <v>808</v>
      </c>
      <c r="J106" s="118">
        <v>42913.040545844902</v>
      </c>
      <c r="K106" s="11">
        <v>3</v>
      </c>
      <c r="L106" s="10">
        <v>594</v>
      </c>
    </row>
    <row r="107" spans="1:14" s="10" customFormat="1">
      <c r="A107" s="95">
        <v>42625.416666666701</v>
      </c>
      <c r="B107" s="18">
        <v>1.0416666666666701E-2</v>
      </c>
      <c r="C107" s="20" t="s">
        <v>105</v>
      </c>
      <c r="D107" s="20" t="s">
        <v>48</v>
      </c>
      <c r="E107" s="10" t="s">
        <v>476</v>
      </c>
      <c r="F107" s="10" t="s">
        <v>805</v>
      </c>
      <c r="G107" s="10" t="s">
        <v>806</v>
      </c>
      <c r="H107" s="10" t="s">
        <v>807</v>
      </c>
      <c r="I107" s="10" t="s">
        <v>808</v>
      </c>
      <c r="J107" s="118">
        <v>42913.019712499998</v>
      </c>
      <c r="K107" s="11">
        <v>3</v>
      </c>
      <c r="L107" s="10">
        <v>617</v>
      </c>
    </row>
    <row r="108" spans="1:14" s="10" customFormat="1">
      <c r="A108" s="95">
        <v>42625.416666666701</v>
      </c>
      <c r="B108" s="18">
        <v>1.0416666666666701E-2</v>
      </c>
      <c r="C108" s="20" t="s">
        <v>105</v>
      </c>
      <c r="D108" s="20" t="s">
        <v>48</v>
      </c>
      <c r="E108" s="10" t="s">
        <v>476</v>
      </c>
      <c r="F108" s="10" t="s">
        <v>805</v>
      </c>
      <c r="G108" s="10" t="s">
        <v>806</v>
      </c>
      <c r="H108" s="10" t="s">
        <v>807</v>
      </c>
      <c r="I108" s="10" t="s">
        <v>808</v>
      </c>
      <c r="J108" s="118">
        <v>42912.998879120401</v>
      </c>
      <c r="K108" s="11">
        <v>3</v>
      </c>
      <c r="L108" s="10">
        <v>652</v>
      </c>
    </row>
    <row r="109" spans="1:14" s="10" customFormat="1">
      <c r="A109" s="95">
        <v>42625.416666666701</v>
      </c>
      <c r="B109" s="18">
        <v>1.0416666666666701E-2</v>
      </c>
      <c r="C109" s="20" t="s">
        <v>105</v>
      </c>
      <c r="D109" s="20" t="s">
        <v>48</v>
      </c>
      <c r="E109" s="10" t="s">
        <v>476</v>
      </c>
      <c r="F109" s="10" t="s">
        <v>809</v>
      </c>
      <c r="G109" s="10" t="s">
        <v>810</v>
      </c>
      <c r="H109" s="10" t="s">
        <v>807</v>
      </c>
      <c r="I109" s="10" t="s">
        <v>811</v>
      </c>
      <c r="J109" s="118">
        <v>42911.189270254603</v>
      </c>
      <c r="K109" s="11">
        <v>19</v>
      </c>
      <c r="L109" s="10">
        <v>3650</v>
      </c>
    </row>
    <row r="110" spans="1:14" s="10" customFormat="1">
      <c r="A110" s="95">
        <v>42625.416666666701</v>
      </c>
      <c r="B110" s="18">
        <v>1.0416666666666701E-2</v>
      </c>
      <c r="C110" s="20" t="s">
        <v>105</v>
      </c>
      <c r="D110" s="20" t="s">
        <v>48</v>
      </c>
      <c r="E110" s="10" t="s">
        <v>476</v>
      </c>
      <c r="F110" s="10" t="s">
        <v>809</v>
      </c>
      <c r="G110" s="10" t="s">
        <v>810</v>
      </c>
      <c r="H110" s="10" t="s">
        <v>807</v>
      </c>
      <c r="I110" s="10" t="s">
        <v>812</v>
      </c>
      <c r="J110" s="118">
        <v>42911.187318842603</v>
      </c>
      <c r="K110" s="11">
        <v>1</v>
      </c>
      <c r="L110" s="10">
        <v>3673</v>
      </c>
    </row>
    <row r="111" spans="1:14" s="10" customFormat="1">
      <c r="A111" s="95">
        <v>42625.416666666701</v>
      </c>
      <c r="B111" s="18">
        <v>1.0416666666666701E-2</v>
      </c>
      <c r="C111" s="20" t="s">
        <v>105</v>
      </c>
      <c r="D111" s="20" t="s">
        <v>48</v>
      </c>
      <c r="E111" s="10" t="s">
        <v>476</v>
      </c>
      <c r="F111" s="10" t="s">
        <v>809</v>
      </c>
      <c r="G111" s="10" t="s">
        <v>810</v>
      </c>
      <c r="H111" s="10" t="s">
        <v>807</v>
      </c>
      <c r="I111" s="10" t="s">
        <v>813</v>
      </c>
      <c r="J111" s="118">
        <v>42911.055489398103</v>
      </c>
      <c r="K111" s="11">
        <v>16</v>
      </c>
      <c r="L111" s="10">
        <v>4099</v>
      </c>
    </row>
    <row r="112" spans="1:14" s="10" customFormat="1">
      <c r="A112" s="95">
        <v>42625.416666666701</v>
      </c>
      <c r="B112" s="18">
        <v>1.0416666666666701E-2</v>
      </c>
      <c r="C112" s="20" t="s">
        <v>105</v>
      </c>
      <c r="D112" s="20" t="s">
        <v>48</v>
      </c>
      <c r="E112" s="10" t="s">
        <v>476</v>
      </c>
      <c r="F112" s="10" t="s">
        <v>809</v>
      </c>
      <c r="G112" s="10" t="s">
        <v>810</v>
      </c>
      <c r="H112" s="10" t="s">
        <v>807</v>
      </c>
      <c r="I112" s="10" t="s">
        <v>804</v>
      </c>
      <c r="J112" s="118">
        <v>42910.411132743102</v>
      </c>
      <c r="K112" s="11">
        <v>1</v>
      </c>
      <c r="L112" s="10">
        <v>5949</v>
      </c>
    </row>
    <row r="113" spans="1:12" s="10" customFormat="1">
      <c r="A113" s="95">
        <v>42625.416666666701</v>
      </c>
      <c r="B113" s="18">
        <v>1.0416666666666701E-2</v>
      </c>
      <c r="C113" s="20" t="s">
        <v>105</v>
      </c>
      <c r="D113" s="20" t="s">
        <v>48</v>
      </c>
      <c r="E113" s="10" t="s">
        <v>476</v>
      </c>
      <c r="F113" s="10" t="s">
        <v>809</v>
      </c>
      <c r="G113" s="10" t="s">
        <v>810</v>
      </c>
      <c r="H113" s="10" t="s">
        <v>807</v>
      </c>
      <c r="I113" s="10" t="s">
        <v>814</v>
      </c>
      <c r="J113" s="118">
        <v>42910.4011363194</v>
      </c>
      <c r="K113" s="11">
        <v>1</v>
      </c>
      <c r="L113" s="10">
        <v>6021</v>
      </c>
    </row>
    <row r="114" spans="1:12" s="10" customFormat="1">
      <c r="A114" s="95">
        <v>42625.416666666701</v>
      </c>
      <c r="B114" s="18">
        <v>1.0416666666666701E-2</v>
      </c>
      <c r="C114" s="20" t="s">
        <v>105</v>
      </c>
      <c r="D114" s="20" t="s">
        <v>48</v>
      </c>
      <c r="E114" s="10" t="s">
        <v>476</v>
      </c>
      <c r="F114" s="10" t="s">
        <v>809</v>
      </c>
      <c r="G114" s="10" t="s">
        <v>810</v>
      </c>
      <c r="H114" s="10" t="s">
        <v>807</v>
      </c>
      <c r="I114" s="10" t="s">
        <v>815</v>
      </c>
      <c r="J114" s="118">
        <v>42910.350493796301</v>
      </c>
      <c r="K114" s="11">
        <v>1</v>
      </c>
      <c r="L114" s="10">
        <v>6233</v>
      </c>
    </row>
    <row r="115" spans="1:12" s="10" customFormat="1">
      <c r="A115" s="95">
        <v>42625.416666666701</v>
      </c>
      <c r="B115" s="18">
        <v>1.0416666666666701E-2</v>
      </c>
      <c r="C115" s="20" t="s">
        <v>105</v>
      </c>
      <c r="D115" s="20" t="s">
        <v>48</v>
      </c>
      <c r="E115" s="10" t="s">
        <v>476</v>
      </c>
      <c r="F115" s="10" t="s">
        <v>852</v>
      </c>
      <c r="G115" s="10" t="s">
        <v>853</v>
      </c>
      <c r="J115" s="118">
        <v>42910.350493796301</v>
      </c>
      <c r="K115" s="11">
        <v>1</v>
      </c>
      <c r="L115" s="10">
        <v>39499</v>
      </c>
    </row>
    <row r="116" spans="1:12" s="10" customFormat="1">
      <c r="A116" s="95">
        <v>42625.416666666701</v>
      </c>
      <c r="B116" s="18">
        <v>1.0416666666666701E-2</v>
      </c>
      <c r="C116" s="20" t="s">
        <v>105</v>
      </c>
      <c r="D116" s="20" t="s">
        <v>48</v>
      </c>
      <c r="E116" s="10" t="s">
        <v>476</v>
      </c>
      <c r="F116" s="10" t="s">
        <v>852</v>
      </c>
      <c r="G116" s="10" t="s">
        <v>854</v>
      </c>
      <c r="J116" s="118">
        <v>42910.350493796301</v>
      </c>
      <c r="K116" s="11">
        <v>1</v>
      </c>
      <c r="L116" s="10">
        <v>39507</v>
      </c>
    </row>
    <row r="117" spans="1:12" s="10" customFormat="1">
      <c r="A117" s="95">
        <v>42625.416666666701</v>
      </c>
      <c r="B117" s="18">
        <v>1.0416666666666701E-2</v>
      </c>
      <c r="C117" s="20" t="s">
        <v>105</v>
      </c>
      <c r="D117" s="20" t="s">
        <v>48</v>
      </c>
      <c r="E117" s="10" t="s">
        <v>476</v>
      </c>
      <c r="F117" s="20" t="s">
        <v>856</v>
      </c>
      <c r="H117" s="20" t="s">
        <v>807</v>
      </c>
      <c r="I117" s="10" t="s">
        <v>815</v>
      </c>
      <c r="J117" s="118">
        <v>42910.350493796301</v>
      </c>
      <c r="K117" s="11">
        <v>1</v>
      </c>
      <c r="L117" s="10">
        <v>39507</v>
      </c>
    </row>
  </sheetData>
  <autoFilter ref="A2:H2"/>
  <mergeCells count="1">
    <mergeCell ref="A1:K1"/>
  </mergeCells>
  <pageMargins left="0.7" right="0.7" top="0.75" bottom="0.75" header="0.3" footer="0.3"/>
  <pageSetup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13" sqref="A13"/>
    </sheetView>
  </sheetViews>
  <sheetFormatPr defaultRowHeight="14.4"/>
  <cols>
    <col min="1" max="1" width="16.44140625" customWidth="1"/>
    <col min="2" max="2" width="29" customWidth="1"/>
    <col min="3" max="3" width="9.109375" style="131" customWidth="1"/>
    <col min="4" max="4" width="7" style="16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55" t="s">
        <v>291</v>
      </c>
      <c r="B2" s="243"/>
      <c r="C2" s="243"/>
      <c r="D2" s="243"/>
      <c r="E2" s="243"/>
      <c r="F2" s="243"/>
      <c r="G2" s="243"/>
      <c r="H2" s="243"/>
      <c r="I2" s="243"/>
      <c r="J2" s="256"/>
      <c r="M2" s="255" t="s">
        <v>291</v>
      </c>
      <c r="N2" s="243"/>
      <c r="O2" s="243"/>
      <c r="P2" s="243"/>
      <c r="Q2" s="243"/>
      <c r="R2" s="243"/>
      <c r="S2" s="243"/>
      <c r="T2" s="243"/>
      <c r="U2" s="243"/>
      <c r="V2" s="256"/>
      <c r="W2" s="169"/>
    </row>
    <row r="3" spans="1:24">
      <c r="C3" s="132"/>
      <c r="D3" s="168"/>
      <c r="E3" s="132"/>
      <c r="H3" s="132"/>
      <c r="M3" s="169"/>
      <c r="N3" s="169"/>
      <c r="O3" s="170"/>
      <c r="P3" s="170"/>
      <c r="Q3" s="170"/>
      <c r="T3" s="170"/>
      <c r="W3" s="169"/>
    </row>
    <row r="4" spans="1:24">
      <c r="A4" s="213" t="s">
        <v>147</v>
      </c>
      <c r="B4" s="214" t="s">
        <v>16</v>
      </c>
      <c r="E4" s="30"/>
      <c r="F4" s="213" t="s">
        <v>147</v>
      </c>
      <c r="G4" s="214" t="s">
        <v>16</v>
      </c>
      <c r="H4" s="30"/>
      <c r="I4" s="213" t="s">
        <v>147</v>
      </c>
      <c r="J4" s="214" t="s">
        <v>16</v>
      </c>
      <c r="M4" s="213" t="s">
        <v>147</v>
      </c>
      <c r="N4" s="214" t="s">
        <v>16</v>
      </c>
      <c r="O4" s="169"/>
      <c r="P4" s="169"/>
      <c r="Q4" s="30"/>
      <c r="R4" s="213" t="s">
        <v>147</v>
      </c>
      <c r="S4" s="214" t="s">
        <v>16</v>
      </c>
      <c r="T4" s="30"/>
      <c r="U4" s="213" t="s">
        <v>147</v>
      </c>
      <c r="V4" s="214" t="s">
        <v>16</v>
      </c>
      <c r="W4" s="169"/>
    </row>
    <row r="5" spans="1:24">
      <c r="A5" s="213" t="s">
        <v>0</v>
      </c>
      <c r="B5" s="214" t="s">
        <v>16</v>
      </c>
      <c r="E5" s="30"/>
      <c r="F5" s="213" t="s">
        <v>0</v>
      </c>
      <c r="G5" s="214" t="s">
        <v>16</v>
      </c>
      <c r="H5" s="30"/>
      <c r="I5" s="213" t="s">
        <v>0</v>
      </c>
      <c r="J5" s="214" t="s">
        <v>16</v>
      </c>
      <c r="M5" s="213" t="s">
        <v>0</v>
      </c>
      <c r="N5" s="214" t="s">
        <v>16</v>
      </c>
      <c r="O5" s="169"/>
      <c r="P5" s="169"/>
      <c r="Q5" s="30"/>
      <c r="R5" s="213" t="s">
        <v>0</v>
      </c>
      <c r="S5" s="214" t="s">
        <v>16</v>
      </c>
      <c r="T5" s="30"/>
      <c r="U5" s="213" t="s">
        <v>0</v>
      </c>
      <c r="V5" s="214" t="s">
        <v>16</v>
      </c>
      <c r="W5" s="169"/>
    </row>
    <row r="6" spans="1:24">
      <c r="A6" s="213" t="s">
        <v>3</v>
      </c>
      <c r="B6" s="214" t="s">
        <v>550</v>
      </c>
      <c r="E6" s="30"/>
      <c r="F6" s="213" t="s">
        <v>3</v>
      </c>
      <c r="G6" s="214" t="s">
        <v>554</v>
      </c>
      <c r="H6" s="30"/>
      <c r="I6" s="213" t="s">
        <v>3</v>
      </c>
      <c r="J6" s="214" t="s">
        <v>552</v>
      </c>
      <c r="M6" s="213" t="s">
        <v>3</v>
      </c>
      <c r="N6" s="214" t="s">
        <v>734</v>
      </c>
      <c r="O6" s="169"/>
      <c r="P6" s="169"/>
      <c r="Q6" s="30"/>
      <c r="R6" s="213" t="s">
        <v>3</v>
      </c>
      <c r="S6" s="214" t="s">
        <v>738</v>
      </c>
      <c r="T6" s="30"/>
      <c r="U6" s="213" t="s">
        <v>3</v>
      </c>
      <c r="V6" s="214" t="s">
        <v>736</v>
      </c>
      <c r="W6" s="169"/>
    </row>
    <row r="7" spans="1:24">
      <c r="A7" s="131"/>
      <c r="B7" s="131"/>
      <c r="E7" s="131"/>
      <c r="F7" s="131"/>
      <c r="G7" s="131"/>
      <c r="H7" s="131"/>
      <c r="I7" s="131"/>
      <c r="J7" s="131"/>
      <c r="M7" s="169"/>
      <c r="N7" s="169"/>
      <c r="O7" s="169"/>
      <c r="P7" s="169"/>
      <c r="Q7" s="169"/>
      <c r="R7" s="169"/>
      <c r="S7" s="169"/>
      <c r="T7" s="169"/>
      <c r="U7" s="169"/>
      <c r="V7" s="169"/>
      <c r="W7" s="169"/>
    </row>
    <row r="8" spans="1:24">
      <c r="A8" s="213" t="s">
        <v>719</v>
      </c>
      <c r="B8" s="214" t="s">
        <v>622</v>
      </c>
      <c r="C8" s="214" t="s">
        <v>239</v>
      </c>
      <c r="D8" s="214" t="s">
        <v>521</v>
      </c>
      <c r="E8" s="131"/>
      <c r="F8" s="213" t="s">
        <v>719</v>
      </c>
      <c r="G8" s="29" t="s">
        <v>285</v>
      </c>
      <c r="H8" s="131"/>
      <c r="I8" s="213" t="s">
        <v>719</v>
      </c>
      <c r="J8" s="214" t="s">
        <v>623</v>
      </c>
      <c r="K8" s="214" t="s">
        <v>521</v>
      </c>
      <c r="M8" s="213" t="s">
        <v>719</v>
      </c>
      <c r="N8" s="214" t="s">
        <v>622</v>
      </c>
      <c r="O8" s="214" t="s">
        <v>239</v>
      </c>
      <c r="P8" s="214" t="s">
        <v>521</v>
      </c>
      <c r="Q8" s="169"/>
      <c r="R8" s="213" t="s">
        <v>719</v>
      </c>
      <c r="S8" s="29" t="s">
        <v>285</v>
      </c>
      <c r="T8" s="169"/>
      <c r="U8" s="213" t="s">
        <v>719</v>
      </c>
      <c r="V8" s="214" t="s">
        <v>623</v>
      </c>
      <c r="W8" s="214"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election activeCell="C9" sqref="C9"/>
    </sheetView>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7"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69"/>
    </row>
    <row r="2" spans="1:24">
      <c r="A2" s="28"/>
      <c r="B2" s="255" t="s">
        <v>291</v>
      </c>
      <c r="C2" s="243"/>
      <c r="D2" s="243"/>
      <c r="E2" s="243"/>
      <c r="F2" s="243"/>
      <c r="G2" s="243"/>
      <c r="H2" s="243"/>
      <c r="I2" s="243"/>
      <c r="J2" s="243"/>
      <c r="K2" s="256"/>
      <c r="N2" s="255" t="s">
        <v>291</v>
      </c>
      <c r="O2" s="243"/>
      <c r="P2" s="243"/>
      <c r="Q2" s="243"/>
      <c r="R2" s="243"/>
      <c r="S2" s="243"/>
      <c r="T2" s="243"/>
      <c r="U2" s="243"/>
      <c r="V2" s="243"/>
      <c r="W2" s="256"/>
      <c r="X2" s="169"/>
    </row>
    <row r="3" spans="1:24">
      <c r="A3" s="28"/>
      <c r="B3" s="213" t="s">
        <v>147</v>
      </c>
      <c r="C3" s="214" t="s">
        <v>16</v>
      </c>
      <c r="D3" s="132"/>
      <c r="E3" s="168"/>
      <c r="F3" s="132"/>
      <c r="G3" s="213" t="s">
        <v>147</v>
      </c>
      <c r="H3" s="214" t="s">
        <v>16</v>
      </c>
      <c r="I3" s="132"/>
      <c r="J3" s="213" t="s">
        <v>147</v>
      </c>
      <c r="K3" s="214" t="s">
        <v>16</v>
      </c>
      <c r="N3" s="213" t="s">
        <v>147</v>
      </c>
      <c r="O3" s="214" t="s">
        <v>16</v>
      </c>
      <c r="P3" s="170"/>
      <c r="Q3" s="170"/>
      <c r="R3" s="170"/>
      <c r="S3" s="213" t="s">
        <v>147</v>
      </c>
      <c r="T3" s="214" t="s">
        <v>16</v>
      </c>
      <c r="U3" s="170"/>
      <c r="V3" s="213" t="s">
        <v>147</v>
      </c>
      <c r="W3" s="214" t="s">
        <v>16</v>
      </c>
      <c r="X3" s="169"/>
    </row>
    <row r="4" spans="1:24">
      <c r="A4" s="28"/>
      <c r="B4" s="213" t="s">
        <v>0</v>
      </c>
      <c r="C4" s="214" t="s">
        <v>16</v>
      </c>
      <c r="F4" s="30"/>
      <c r="G4" s="213" t="s">
        <v>0</v>
      </c>
      <c r="H4" s="214" t="s">
        <v>16</v>
      </c>
      <c r="I4" s="30"/>
      <c r="J4" s="213" t="s">
        <v>0</v>
      </c>
      <c r="K4" s="214" t="s">
        <v>16</v>
      </c>
      <c r="N4" s="213" t="s">
        <v>0</v>
      </c>
      <c r="O4" s="214" t="s">
        <v>16</v>
      </c>
      <c r="P4" s="169"/>
      <c r="Q4" s="169"/>
      <c r="R4" s="30"/>
      <c r="S4" s="213" t="s">
        <v>0</v>
      </c>
      <c r="T4" s="214" t="s">
        <v>16</v>
      </c>
      <c r="U4" s="30"/>
      <c r="V4" s="213" t="s">
        <v>0</v>
      </c>
      <c r="W4" s="214" t="s">
        <v>16</v>
      </c>
      <c r="X4" s="169"/>
    </row>
    <row r="5" spans="1:24">
      <c r="A5" s="28"/>
      <c r="B5" s="213" t="s">
        <v>1</v>
      </c>
      <c r="C5" s="214" t="s">
        <v>16</v>
      </c>
      <c r="F5" s="30"/>
      <c r="G5" s="213" t="s">
        <v>1</v>
      </c>
      <c r="H5" s="214" t="s">
        <v>16</v>
      </c>
      <c r="I5" s="30"/>
      <c r="J5" s="213" t="s">
        <v>1</v>
      </c>
      <c r="K5" s="214" t="s">
        <v>16</v>
      </c>
      <c r="N5" s="213" t="s">
        <v>1</v>
      </c>
      <c r="O5" s="214" t="s">
        <v>16</v>
      </c>
      <c r="P5" s="169"/>
      <c r="Q5" s="169"/>
      <c r="R5" s="30"/>
      <c r="S5" s="213" t="s">
        <v>1</v>
      </c>
      <c r="T5" s="214" t="s">
        <v>16</v>
      </c>
      <c r="U5" s="30"/>
      <c r="V5" s="213" t="s">
        <v>1</v>
      </c>
      <c r="W5" s="214" t="s">
        <v>16</v>
      </c>
      <c r="X5" s="169"/>
    </row>
    <row r="6" spans="1:24">
      <c r="A6" s="28"/>
      <c r="B6" s="213" t="s">
        <v>3</v>
      </c>
      <c r="C6" s="214" t="s">
        <v>550</v>
      </c>
      <c r="F6" s="30"/>
      <c r="G6" s="213" t="s">
        <v>3</v>
      </c>
      <c r="H6" s="214" t="s">
        <v>554</v>
      </c>
      <c r="I6" s="30"/>
      <c r="J6" s="213" t="s">
        <v>3</v>
      </c>
      <c r="K6" s="214" t="s">
        <v>552</v>
      </c>
      <c r="N6" s="213" t="s">
        <v>3</v>
      </c>
      <c r="O6" s="214" t="s">
        <v>734</v>
      </c>
      <c r="P6" s="169"/>
      <c r="Q6" s="169"/>
      <c r="R6" s="30"/>
      <c r="S6" s="213" t="s">
        <v>3</v>
      </c>
      <c r="T6" s="214" t="s">
        <v>738</v>
      </c>
      <c r="U6" s="30"/>
      <c r="V6" s="213" t="s">
        <v>3</v>
      </c>
      <c r="W6" s="214" t="s">
        <v>736</v>
      </c>
      <c r="X6" s="169"/>
    </row>
    <row r="7" spans="1:24">
      <c r="A7" s="28"/>
      <c r="N7" s="169"/>
      <c r="O7" s="169"/>
      <c r="P7" s="169"/>
      <c r="Q7" s="169"/>
      <c r="R7" s="169"/>
      <c r="S7" s="169"/>
      <c r="T7" s="169"/>
      <c r="U7" s="169"/>
      <c r="V7" s="169"/>
      <c r="W7" s="169"/>
      <c r="X7" s="169"/>
    </row>
    <row r="8" spans="1:24">
      <c r="A8" s="22" t="s">
        <v>680</v>
      </c>
      <c r="B8" s="213" t="s">
        <v>286</v>
      </c>
      <c r="C8" s="214" t="s">
        <v>622</v>
      </c>
      <c r="D8" s="214" t="s">
        <v>239</v>
      </c>
      <c r="E8" s="214" t="s">
        <v>521</v>
      </c>
      <c r="G8" s="213" t="s">
        <v>286</v>
      </c>
      <c r="H8" s="29" t="s">
        <v>285</v>
      </c>
      <c r="J8" s="213" t="s">
        <v>286</v>
      </c>
      <c r="K8" s="214" t="s">
        <v>623</v>
      </c>
      <c r="L8" s="214" t="s">
        <v>521</v>
      </c>
      <c r="N8" s="213" t="s">
        <v>286</v>
      </c>
      <c r="O8" s="214" t="s">
        <v>622</v>
      </c>
      <c r="P8" s="214" t="s">
        <v>239</v>
      </c>
      <c r="Q8" s="214" t="s">
        <v>521</v>
      </c>
      <c r="R8" s="169"/>
      <c r="S8" s="213" t="s">
        <v>286</v>
      </c>
      <c r="T8" s="29" t="s">
        <v>285</v>
      </c>
      <c r="U8" s="169"/>
      <c r="V8" s="213" t="s">
        <v>286</v>
      </c>
      <c r="W8" s="214" t="s">
        <v>623</v>
      </c>
      <c r="X8" s="214"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C14"/>
  <sheetViews>
    <sheetView workbookViewId="0">
      <selection activeCell="A12" sqref="A12"/>
    </sheetView>
  </sheetViews>
  <sheetFormatPr defaultRowHeight="14.4"/>
  <cols>
    <col min="1" max="1" width="16.44140625" style="214" customWidth="1"/>
    <col min="2" max="2" width="23.44140625" style="214" customWidth="1"/>
    <col min="3" max="3" width="16.33203125" style="214" customWidth="1"/>
    <col min="4" max="4" width="12.6640625" style="214" customWidth="1"/>
    <col min="5" max="5" width="11.33203125" style="214" customWidth="1"/>
    <col min="6" max="6" width="13.6640625" style="214" customWidth="1"/>
    <col min="7" max="10" width="11.33203125" style="214" customWidth="1"/>
    <col min="11" max="11" width="10.77734375" style="214" customWidth="1"/>
    <col min="12" max="12" width="21.6640625" style="214" customWidth="1"/>
    <col min="13" max="13" width="16.33203125" style="214" customWidth="1"/>
    <col min="14" max="14" width="12.6640625" style="214" customWidth="1"/>
    <col min="15" max="15" width="13.6640625" style="214" customWidth="1"/>
    <col min="16" max="16" width="17.44140625" style="214" customWidth="1"/>
    <col min="17" max="17" width="8.88671875" style="214"/>
    <col min="18" max="18" width="16.44140625" style="214" customWidth="1"/>
    <col min="19" max="19" width="33.88671875" style="214" customWidth="1"/>
    <col min="20" max="20" width="7.88671875" style="214" customWidth="1"/>
    <col min="21" max="21" width="7" style="214" customWidth="1"/>
    <col min="22" max="22" width="8.88671875" style="214"/>
    <col min="23" max="23" width="16.44140625" style="214" customWidth="1"/>
    <col min="24" max="24" width="28.33203125" style="214" customWidth="1"/>
    <col min="25" max="25" width="8.88671875" style="214"/>
    <col min="26" max="26" width="16.44140625" style="214" customWidth="1"/>
    <col min="27" max="27" width="30.33203125" style="214" customWidth="1"/>
    <col min="28" max="28" width="7" style="214" customWidth="1"/>
    <col min="29" max="16384" width="8.88671875" style="214"/>
  </cols>
  <sheetData>
    <row r="1" spans="1:29">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c r="A2" s="255"/>
      <c r="B2" s="243"/>
      <c r="C2" s="243"/>
      <c r="D2" s="243"/>
      <c r="E2" s="243"/>
      <c r="F2" s="243"/>
      <c r="G2" s="243"/>
      <c r="H2" s="243"/>
      <c r="I2" s="243"/>
      <c r="J2" s="243"/>
      <c r="K2" s="243"/>
      <c r="L2" s="243"/>
      <c r="M2" s="243"/>
      <c r="N2" s="243"/>
      <c r="O2" s="256"/>
      <c r="P2" s="255"/>
      <c r="Q2" s="243"/>
    </row>
    <row r="3" spans="1:29">
      <c r="A3" s="212"/>
      <c r="B3" s="212"/>
      <c r="C3" s="212"/>
      <c r="D3" s="212"/>
      <c r="E3" s="212"/>
      <c r="F3" s="212"/>
      <c r="G3" s="212"/>
      <c r="H3" s="212"/>
      <c r="I3" s="212"/>
      <c r="J3" s="212"/>
      <c r="K3" s="212"/>
      <c r="L3" s="212"/>
      <c r="M3" s="212"/>
      <c r="N3" s="212"/>
      <c r="O3" s="212"/>
      <c r="P3" s="255"/>
      <c r="Q3" s="243"/>
    </row>
    <row r="4" spans="1:29">
      <c r="A4" s="213" t="s">
        <v>147</v>
      </c>
      <c r="B4" s="214" t="s">
        <v>16</v>
      </c>
      <c r="C4" s="28"/>
      <c r="D4" s="28"/>
      <c r="E4" s="198"/>
      <c r="F4" s="198"/>
      <c r="G4" s="198"/>
      <c r="H4" s="198"/>
      <c r="I4" s="30"/>
      <c r="J4" s="198"/>
      <c r="K4" s="213" t="s">
        <v>147</v>
      </c>
      <c r="L4" s="214" t="s">
        <v>16</v>
      </c>
      <c r="M4" s="198"/>
      <c r="N4" s="28"/>
      <c r="O4" s="28"/>
      <c r="P4" s="28"/>
      <c r="Q4" s="28"/>
    </row>
    <row r="5" spans="1:29">
      <c r="A5" s="213" t="s">
        <v>0</v>
      </c>
      <c r="B5" s="214" t="s">
        <v>16</v>
      </c>
      <c r="C5" s="28"/>
      <c r="D5" s="28"/>
      <c r="E5" s="198"/>
      <c r="F5" s="198"/>
      <c r="G5" s="198"/>
      <c r="H5" s="198"/>
      <c r="I5" s="30"/>
      <c r="J5" s="198"/>
      <c r="K5" s="213" t="s">
        <v>0</v>
      </c>
      <c r="L5" s="214" t="s">
        <v>16</v>
      </c>
      <c r="M5" s="198"/>
      <c r="N5" s="28"/>
      <c r="O5" s="28"/>
      <c r="P5" s="28"/>
      <c r="Q5" s="28"/>
      <c r="V5" s="30"/>
      <c r="Y5" s="30"/>
    </row>
    <row r="6" spans="1:29">
      <c r="A6" s="213" t="s">
        <v>3</v>
      </c>
      <c r="B6" s="214" t="s">
        <v>858</v>
      </c>
      <c r="C6" s="28"/>
      <c r="D6" s="28"/>
      <c r="E6" s="198"/>
      <c r="F6" s="198"/>
      <c r="G6" s="198"/>
      <c r="H6" s="198"/>
      <c r="I6" s="30"/>
      <c r="J6" s="198"/>
      <c r="K6" s="213" t="s">
        <v>1</v>
      </c>
      <c r="L6" s="214" t="s">
        <v>16</v>
      </c>
      <c r="M6" s="198"/>
      <c r="N6" s="28"/>
      <c r="O6" s="28"/>
      <c r="P6" s="28"/>
      <c r="Q6" s="28"/>
      <c r="V6" s="30"/>
      <c r="Y6" s="30"/>
    </row>
    <row r="7" spans="1:29">
      <c r="A7" s="28"/>
      <c r="B7" s="28"/>
      <c r="C7" s="28"/>
      <c r="D7" s="28"/>
      <c r="E7" s="28"/>
      <c r="F7" s="28"/>
      <c r="G7" s="28"/>
      <c r="H7" s="28"/>
      <c r="J7" s="28"/>
      <c r="K7" s="213" t="s">
        <v>2</v>
      </c>
      <c r="L7" s="214" t="s">
        <v>16</v>
      </c>
      <c r="M7" s="28"/>
      <c r="N7" s="28"/>
      <c r="O7" s="28"/>
      <c r="P7" s="28"/>
      <c r="Q7" s="28"/>
    </row>
    <row r="8" spans="1:29">
      <c r="A8" s="213" t="s">
        <v>719</v>
      </c>
      <c r="B8" s="214" t="s">
        <v>861</v>
      </c>
      <c r="C8" s="214" t="s">
        <v>862</v>
      </c>
      <c r="D8" s="214" t="s">
        <v>864</v>
      </c>
      <c r="E8" s="214" t="s">
        <v>285</v>
      </c>
      <c r="F8" s="214" t="s">
        <v>863</v>
      </c>
      <c r="G8" s="33" t="s">
        <v>145</v>
      </c>
      <c r="H8" s="33" t="s">
        <v>146</v>
      </c>
      <c r="J8" s="28"/>
      <c r="K8" s="213" t="s">
        <v>3</v>
      </c>
      <c r="L8" s="214" t="s">
        <v>858</v>
      </c>
      <c r="M8" s="28"/>
      <c r="N8" s="28"/>
      <c r="O8" s="28"/>
      <c r="P8" s="28"/>
      <c r="Q8" s="28"/>
      <c r="X8" s="29"/>
    </row>
    <row r="9" spans="1:29">
      <c r="A9" s="4" t="s">
        <v>47</v>
      </c>
      <c r="B9" s="6">
        <v>488652.69612216944</v>
      </c>
      <c r="C9" s="6">
        <v>194765.02019405365</v>
      </c>
      <c r="D9" s="6">
        <v>52.173611640930176</v>
      </c>
      <c r="E9" s="5">
        <v>5</v>
      </c>
      <c r="F9" s="6">
        <v>973825.10097026825</v>
      </c>
      <c r="G9" s="6">
        <f>F9 / 1024</f>
        <v>951.00107516627759</v>
      </c>
      <c r="H9" s="6">
        <f>G9/1024</f>
        <v>0.92871198746706796</v>
      </c>
      <c r="I9" s="5"/>
      <c r="J9" s="219"/>
      <c r="K9" s="28"/>
      <c r="L9" s="28"/>
      <c r="M9" s="220"/>
      <c r="N9" s="221"/>
      <c r="O9" s="28"/>
      <c r="P9" s="28"/>
      <c r="Q9" s="28"/>
      <c r="R9" s="4"/>
      <c r="S9" s="5"/>
      <c r="T9" s="5"/>
      <c r="U9" s="5"/>
      <c r="V9" s="6"/>
      <c r="W9" s="4"/>
      <c r="X9" s="5"/>
      <c r="Y9" s="6"/>
      <c r="Z9" s="4"/>
      <c r="AA9" s="5"/>
      <c r="AB9" s="5"/>
    </row>
    <row r="10" spans="1:29">
      <c r="A10" s="4" t="s">
        <v>17</v>
      </c>
      <c r="B10" s="6">
        <v>488652.69612216944</v>
      </c>
      <c r="C10" s="6">
        <v>194765.02019405365</v>
      </c>
      <c r="D10" s="6">
        <v>52.173611640930176</v>
      </c>
      <c r="E10" s="5">
        <v>5</v>
      </c>
      <c r="F10" s="6">
        <v>973825.10097026825</v>
      </c>
      <c r="G10" s="6">
        <f>F10 / 1024</f>
        <v>951.00107516627759</v>
      </c>
      <c r="H10" s="6">
        <f>G10/1024</f>
        <v>0.92871198746706796</v>
      </c>
      <c r="I10" s="5"/>
      <c r="J10" s="22" t="s">
        <v>680</v>
      </c>
      <c r="K10" s="213" t="s">
        <v>286</v>
      </c>
      <c r="L10" s="214" t="s">
        <v>865</v>
      </c>
      <c r="M10" s="214" t="s">
        <v>862</v>
      </c>
      <c r="N10" s="214" t="s">
        <v>864</v>
      </c>
      <c r="O10" s="214" t="s">
        <v>863</v>
      </c>
      <c r="P10" s="33" t="s">
        <v>145</v>
      </c>
      <c r="Q10" s="33" t="s">
        <v>146</v>
      </c>
      <c r="R10" s="4"/>
      <c r="S10" s="5"/>
      <c r="T10" s="5"/>
      <c r="U10" s="5"/>
      <c r="V10" s="6"/>
      <c r="W10" s="4"/>
      <c r="X10" s="5"/>
      <c r="Y10" s="6"/>
      <c r="Z10" s="4"/>
      <c r="AA10" s="5"/>
      <c r="AB10" s="5"/>
    </row>
    <row r="11" spans="1:29">
      <c r="A11"/>
      <c r="B11"/>
      <c r="C11"/>
      <c r="D11"/>
      <c r="E11"/>
      <c r="F11"/>
      <c r="J11" s="26" t="str">
        <f>INDEX('OS-Machine Info'!$B:$B,MATCH(K11,'OS-Machine Info'!$A:$A,0))</f>
        <v>TestDC</v>
      </c>
      <c r="K11" s="4" t="s">
        <v>48</v>
      </c>
      <c r="L11" s="218">
        <v>488652.69612216944</v>
      </c>
      <c r="M11" s="218">
        <v>194765.02019405365</v>
      </c>
      <c r="N11" s="218">
        <v>52.173611640930176</v>
      </c>
      <c r="O11" s="218">
        <v>973825.10097026825</v>
      </c>
      <c r="P11" s="6">
        <f>O11 / 1024</f>
        <v>951.00107516627759</v>
      </c>
      <c r="Q11" s="6">
        <f>P11/1024</f>
        <v>0.92871198746706796</v>
      </c>
    </row>
    <row r="12" spans="1:29">
      <c r="A12"/>
      <c r="B12"/>
      <c r="C12"/>
      <c r="D12"/>
      <c r="E12"/>
      <c r="F12"/>
      <c r="K12" s="4" t="s">
        <v>17</v>
      </c>
      <c r="L12" s="218">
        <v>488652.69612216944</v>
      </c>
      <c r="M12" s="218">
        <v>194765.02019405365</v>
      </c>
      <c r="N12" s="218">
        <v>52.173611640930176</v>
      </c>
      <c r="O12" s="218">
        <v>973825.10097026825</v>
      </c>
      <c r="P12" s="6">
        <f>O12 / 1024</f>
        <v>951.00107516627759</v>
      </c>
      <c r="Q12" s="6">
        <f>P12/1024</f>
        <v>0.92871198746706796</v>
      </c>
    </row>
    <row r="13" spans="1:29">
      <c r="O13" s="4"/>
      <c r="P13" s="5"/>
    </row>
    <row r="14" spans="1:29">
      <c r="O14" s="4"/>
      <c r="P14" s="5"/>
    </row>
  </sheetData>
  <mergeCells count="3">
    <mergeCell ref="A2:O2"/>
    <mergeCell ref="P2:Q2"/>
    <mergeCell ref="P3:Q3"/>
  </mergeCells>
  <pageMargins left="0.7" right="0.7" top="0.75" bottom="0.75" header="0.3" footer="0.3"/>
  <pageSetup orientation="portrait" horizontalDpi="0" verticalDpi="0" r:id="rId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V13"/>
  <sheetViews>
    <sheetView workbookViewId="0"/>
  </sheetViews>
  <sheetFormatPr defaultRowHeight="14.4"/>
  <cols>
    <col min="1" max="1" width="16.44140625" style="214" customWidth="1"/>
    <col min="2" max="2" width="26.5546875" style="214" bestFit="1" customWidth="1"/>
    <col min="3" max="3" width="8" style="214" customWidth="1"/>
    <col min="4" max="4" width="7" style="214" customWidth="1"/>
    <col min="5" max="6" width="11.33203125" style="214" customWidth="1"/>
    <col min="7" max="7" width="10.77734375" style="214" customWidth="1"/>
    <col min="8" max="8" width="26.5546875" style="214" bestFit="1" customWidth="1"/>
    <col min="9" max="9" width="8" style="214" customWidth="1"/>
    <col min="10" max="10" width="7" style="214" customWidth="1"/>
    <col min="11" max="11" width="51.33203125" style="214" customWidth="1"/>
    <col min="12" max="12" width="33.88671875" style="214" customWidth="1"/>
    <col min="13" max="13" width="7.88671875" style="214" customWidth="1"/>
    <col min="14" max="14" width="7" style="214" customWidth="1"/>
    <col min="15" max="15" width="8.88671875" style="214"/>
    <col min="16" max="16" width="16.44140625" style="214" customWidth="1"/>
    <col min="17" max="17" width="28.33203125" style="214" customWidth="1"/>
    <col min="18" max="18" width="8.88671875" style="214"/>
    <col min="19" max="19" width="16.44140625" style="214" customWidth="1"/>
    <col min="20" max="20" width="30.33203125" style="214" customWidth="1"/>
    <col min="21" max="21" width="7" style="214" customWidth="1"/>
    <col min="22" max="16384" width="8.88671875" style="214"/>
  </cols>
  <sheetData>
    <row r="1" spans="1:22">
      <c r="A1" s="27"/>
      <c r="B1" s="27"/>
      <c r="C1" s="27"/>
      <c r="D1" s="27"/>
      <c r="E1" s="27"/>
      <c r="F1" s="27"/>
      <c r="G1" s="27"/>
      <c r="H1" s="27"/>
      <c r="I1" s="27"/>
      <c r="J1" s="27"/>
      <c r="K1" s="27"/>
      <c r="L1" s="27"/>
      <c r="M1" s="27"/>
      <c r="N1" s="27"/>
      <c r="O1" s="27"/>
      <c r="P1" s="27"/>
      <c r="Q1" s="27"/>
      <c r="R1" s="27"/>
      <c r="S1" s="27"/>
      <c r="T1" s="27"/>
      <c r="U1" s="27"/>
      <c r="V1" s="27"/>
    </row>
    <row r="2" spans="1:22">
      <c r="A2" s="255"/>
      <c r="B2" s="243"/>
      <c r="C2" s="243"/>
      <c r="D2" s="243"/>
      <c r="E2" s="243"/>
      <c r="F2" s="243"/>
      <c r="G2" s="243"/>
      <c r="H2" s="243"/>
      <c r="I2" s="243"/>
      <c r="J2" s="243"/>
    </row>
    <row r="3" spans="1:22">
      <c r="A3" s="212"/>
      <c r="B3" s="212"/>
      <c r="C3" s="212"/>
      <c r="D3" s="212"/>
      <c r="E3" s="212"/>
      <c r="F3" s="212"/>
      <c r="G3" s="212"/>
      <c r="H3" s="212"/>
      <c r="I3" s="212"/>
      <c r="J3" s="212"/>
    </row>
    <row r="4" spans="1:22" ht="33" customHeight="1">
      <c r="A4" s="213" t="s">
        <v>147</v>
      </c>
      <c r="B4" s="214" t="s">
        <v>16</v>
      </c>
      <c r="C4" s="28"/>
      <c r="D4" s="28"/>
      <c r="E4" s="30"/>
      <c r="F4" s="198"/>
      <c r="G4" s="213" t="s">
        <v>147</v>
      </c>
      <c r="H4" s="214" t="s">
        <v>16</v>
      </c>
      <c r="I4" s="198"/>
      <c r="J4" s="28"/>
      <c r="K4" s="265" t="s">
        <v>868</v>
      </c>
      <c r="L4" s="250"/>
    </row>
    <row r="5" spans="1:22">
      <c r="A5" s="213" t="s">
        <v>0</v>
      </c>
      <c r="B5" s="214" t="s">
        <v>16</v>
      </c>
      <c r="C5" s="28"/>
      <c r="D5" s="28"/>
      <c r="E5" s="30"/>
      <c r="F5" s="28"/>
      <c r="G5" s="213" t="s">
        <v>0</v>
      </c>
      <c r="H5" s="214" t="s">
        <v>16</v>
      </c>
      <c r="I5" s="28"/>
      <c r="J5" s="28"/>
      <c r="O5" s="30"/>
      <c r="R5" s="30"/>
    </row>
    <row r="6" spans="1:22">
      <c r="A6" s="213" t="s">
        <v>3</v>
      </c>
      <c r="B6" s="214" t="s">
        <v>866</v>
      </c>
      <c r="C6" s="28"/>
      <c r="D6" s="28"/>
      <c r="E6" s="30"/>
      <c r="F6" s="28"/>
      <c r="G6" s="213" t="s">
        <v>3</v>
      </c>
      <c r="H6" s="214" t="s">
        <v>866</v>
      </c>
      <c r="I6" s="28"/>
      <c r="J6" s="28"/>
      <c r="O6" s="30"/>
      <c r="R6" s="30"/>
    </row>
    <row r="7" spans="1:22">
      <c r="A7" s="28"/>
      <c r="B7" s="28"/>
      <c r="C7" s="28"/>
      <c r="D7" s="28"/>
      <c r="F7" s="219"/>
      <c r="G7" s="28"/>
      <c r="H7" s="28"/>
      <c r="I7" s="220"/>
      <c r="J7" s="221"/>
    </row>
    <row r="8" spans="1:22">
      <c r="A8" s="213" t="s">
        <v>719</v>
      </c>
      <c r="B8" s="214" t="s">
        <v>867</v>
      </c>
      <c r="C8" s="214" t="s">
        <v>239</v>
      </c>
      <c r="D8" s="214" t="s">
        <v>346</v>
      </c>
      <c r="F8" s="22" t="s">
        <v>680</v>
      </c>
      <c r="G8" s="213" t="s">
        <v>286</v>
      </c>
      <c r="H8" s="214" t="s">
        <v>867</v>
      </c>
      <c r="I8" s="214" t="s">
        <v>239</v>
      </c>
      <c r="J8" s="214" t="s">
        <v>346</v>
      </c>
      <c r="Q8" s="29"/>
    </row>
    <row r="9" spans="1:22">
      <c r="A9" s="4" t="s">
        <v>47</v>
      </c>
      <c r="B9" s="8">
        <v>2</v>
      </c>
      <c r="C9" s="8">
        <v>1.25</v>
      </c>
      <c r="D9" s="8">
        <v>0.5</v>
      </c>
      <c r="E9" s="5"/>
      <c r="F9" s="26" t="str">
        <f>INDEX('OS-Machine Info'!$B:$B,MATCH(G9,'OS-Machine Info'!$A:$A,0))</f>
        <v>TestDC</v>
      </c>
      <c r="G9" s="4" t="s">
        <v>48</v>
      </c>
      <c r="H9" s="222">
        <v>2</v>
      </c>
      <c r="I9" s="222">
        <v>1.25</v>
      </c>
      <c r="J9" s="222">
        <v>0.5</v>
      </c>
      <c r="K9" s="4"/>
      <c r="Q9" s="5"/>
      <c r="R9" s="6"/>
      <c r="S9" s="4"/>
      <c r="T9" s="5"/>
      <c r="U9" s="5"/>
    </row>
    <row r="10" spans="1:22">
      <c r="A10" s="4" t="s">
        <v>17</v>
      </c>
      <c r="B10" s="8">
        <v>2</v>
      </c>
      <c r="C10" s="8">
        <v>1.25</v>
      </c>
      <c r="D10" s="8">
        <v>0.5</v>
      </c>
      <c r="E10" s="5"/>
      <c r="G10" s="4" t="s">
        <v>17</v>
      </c>
      <c r="H10" s="222">
        <v>2</v>
      </c>
      <c r="I10" s="222">
        <v>1.25</v>
      </c>
      <c r="J10" s="222">
        <v>0.5</v>
      </c>
      <c r="K10" s="4"/>
      <c r="Q10" s="5"/>
      <c r="R10" s="6"/>
      <c r="S10" s="4"/>
      <c r="T10" s="5"/>
      <c r="U10" s="5"/>
    </row>
    <row r="11" spans="1:22">
      <c r="F11" s="26"/>
      <c r="G11" s="4"/>
      <c r="H11" s="222"/>
      <c r="I11" s="222"/>
      <c r="J11" s="222"/>
    </row>
    <row r="12" spans="1:22">
      <c r="G12" s="4"/>
      <c r="H12" s="222"/>
      <c r="I12" s="222"/>
      <c r="J12" s="222"/>
    </row>
    <row r="13" spans="1:22">
      <c r="G13"/>
      <c r="H13"/>
      <c r="I13"/>
      <c r="J13"/>
    </row>
  </sheetData>
  <mergeCells count="2">
    <mergeCell ref="A2:J2"/>
    <mergeCell ref="K4:L4"/>
  </mergeCells>
  <pageMargins left="0.7" right="0.7" top="0.75" bottom="0.75" header="0.3" footer="0.3"/>
  <pageSetup orientation="portrait" horizontalDpi="0" verticalDpi="0"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733</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96" t="s">
        <v>842</v>
      </c>
      <c r="B1" s="112"/>
      <c r="C1" s="112"/>
      <c r="D1" s="112"/>
      <c r="E1" s="112"/>
      <c r="F1" s="112"/>
      <c r="G1" s="112"/>
      <c r="H1" s="112"/>
      <c r="I1" s="232" t="s">
        <v>88</v>
      </c>
      <c r="J1" s="267" t="s">
        <v>88</v>
      </c>
      <c r="K1" s="233" t="s">
        <v>88</v>
      </c>
      <c r="L1" s="233" t="s">
        <v>88</v>
      </c>
      <c r="M1" s="268" t="s">
        <v>88</v>
      </c>
      <c r="N1" s="233" t="s">
        <v>88</v>
      </c>
      <c r="O1" s="268" t="s">
        <v>88</v>
      </c>
      <c r="P1" s="233" t="s">
        <v>88</v>
      </c>
      <c r="Q1" s="268" t="s">
        <v>88</v>
      </c>
      <c r="R1" s="268" t="s">
        <v>88</v>
      </c>
      <c r="S1" s="268" t="s">
        <v>88</v>
      </c>
      <c r="T1" s="268" t="s">
        <v>88</v>
      </c>
      <c r="U1" s="268" t="s">
        <v>88</v>
      </c>
      <c r="V1" s="268" t="s">
        <v>88</v>
      </c>
      <c r="W1" s="233" t="s">
        <v>88</v>
      </c>
      <c r="X1" s="269" t="s">
        <v>88</v>
      </c>
      <c r="Y1" s="158"/>
      <c r="Z1" s="266" t="s">
        <v>253</v>
      </c>
      <c r="AA1" s="270" t="s">
        <v>253</v>
      </c>
      <c r="AB1" s="270" t="s">
        <v>253</v>
      </c>
      <c r="AC1" s="271" t="s">
        <v>253</v>
      </c>
      <c r="AD1" s="266" t="s">
        <v>557</v>
      </c>
      <c r="AE1" s="270" t="s">
        <v>557</v>
      </c>
      <c r="AF1" s="268" t="s">
        <v>557</v>
      </c>
      <c r="AG1" s="268" t="s">
        <v>557</v>
      </c>
      <c r="AH1" s="272" t="s">
        <v>557</v>
      </c>
      <c r="AI1" s="266" t="s">
        <v>624</v>
      </c>
      <c r="AJ1" s="273" t="s">
        <v>624</v>
      </c>
      <c r="AK1" s="268" t="s">
        <v>624</v>
      </c>
      <c r="AL1" s="268" t="s">
        <v>624</v>
      </c>
      <c r="AM1" s="272" t="s">
        <v>624</v>
      </c>
      <c r="AN1" s="266" t="s">
        <v>687</v>
      </c>
      <c r="AO1" s="269" t="s">
        <v>687</v>
      </c>
      <c r="AP1" s="266" t="s">
        <v>743</v>
      </c>
      <c r="AQ1" s="236" t="s">
        <v>743</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711</v>
      </c>
      <c r="N2" s="113" t="s">
        <v>712</v>
      </c>
      <c r="O2" s="113" t="s">
        <v>713</v>
      </c>
      <c r="P2" s="113" t="s">
        <v>714</v>
      </c>
      <c r="Q2" s="113" t="s">
        <v>565</v>
      </c>
      <c r="R2" s="113" t="s">
        <v>566</v>
      </c>
      <c r="S2" s="113" t="s">
        <v>715</v>
      </c>
      <c r="T2" s="113" t="s">
        <v>567</v>
      </c>
      <c r="U2" s="113" t="s">
        <v>740</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741</v>
      </c>
      <c r="AQ2" s="16" t="s">
        <v>742</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744</v>
      </c>
      <c r="C8" s="10" t="s">
        <v>50</v>
      </c>
      <c r="D8" s="20" t="s">
        <v>48</v>
      </c>
      <c r="E8" s="10" t="s">
        <v>557</v>
      </c>
      <c r="F8" s="19" t="s">
        <v>47</v>
      </c>
      <c r="G8" s="19" t="s">
        <v>49</v>
      </c>
      <c r="H8" s="118">
        <v>42872.467159942098</v>
      </c>
      <c r="I8" s="10" t="s">
        <v>744</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G99" sqref="G99:G107"/>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t="s">
        <v>704</v>
      </c>
      <c r="I99" s="24"/>
      <c r="J99" s="10" t="b">
        <v>1</v>
      </c>
      <c r="K99" s="10"/>
    </row>
    <row r="100" spans="1:12">
      <c r="A100" s="10" t="s">
        <v>154</v>
      </c>
      <c r="B100" s="153" t="s">
        <v>50</v>
      </c>
      <c r="C100" s="153" t="s">
        <v>48</v>
      </c>
      <c r="D100" s="153" t="s">
        <v>47</v>
      </c>
      <c r="E100" s="153" t="s">
        <v>49</v>
      </c>
      <c r="F100" s="10" t="s">
        <v>703</v>
      </c>
      <c r="G100" s="10" t="s">
        <v>705</v>
      </c>
      <c r="I100" s="24"/>
      <c r="J100" s="10" t="b">
        <v>1</v>
      </c>
      <c r="K100" s="10"/>
    </row>
    <row r="101" spans="1:12">
      <c r="A101" s="10" t="s">
        <v>154</v>
      </c>
      <c r="B101" s="153" t="s">
        <v>50</v>
      </c>
      <c r="C101" s="153" t="s">
        <v>48</v>
      </c>
      <c r="D101" s="153" t="s">
        <v>47</v>
      </c>
      <c r="E101" s="153" t="s">
        <v>49</v>
      </c>
      <c r="F101" s="10" t="s">
        <v>703</v>
      </c>
      <c r="G101" s="10" t="s">
        <v>706</v>
      </c>
      <c r="I101" s="24"/>
      <c r="J101" s="10" t="b">
        <v>1</v>
      </c>
      <c r="K101" s="10"/>
    </row>
    <row r="102" spans="1:12">
      <c r="A102" s="10" t="s">
        <v>154</v>
      </c>
      <c r="B102" s="153" t="s">
        <v>50</v>
      </c>
      <c r="C102" s="153" t="s">
        <v>48</v>
      </c>
      <c r="D102" s="153" t="s">
        <v>47</v>
      </c>
      <c r="E102" s="153" t="s">
        <v>49</v>
      </c>
      <c r="F102" s="10" t="s">
        <v>703</v>
      </c>
      <c r="G102" s="10" t="s">
        <v>707</v>
      </c>
      <c r="I102" s="24"/>
      <c r="J102" s="10" t="b">
        <v>1</v>
      </c>
      <c r="K102" s="10"/>
    </row>
    <row r="103" spans="1:12">
      <c r="A103" s="10" t="s">
        <v>154</v>
      </c>
      <c r="B103" s="153" t="s">
        <v>50</v>
      </c>
      <c r="C103" s="153" t="s">
        <v>48</v>
      </c>
      <c r="D103" s="153" t="s">
        <v>47</v>
      </c>
      <c r="E103" s="153" t="s">
        <v>49</v>
      </c>
      <c r="F103" s="10" t="s">
        <v>703</v>
      </c>
      <c r="G103" s="10" t="s">
        <v>704</v>
      </c>
      <c r="I103" s="24"/>
      <c r="J103" s="10" t="b">
        <v>1</v>
      </c>
      <c r="K103" s="10"/>
    </row>
    <row r="104" spans="1:12">
      <c r="A104" s="10" t="s">
        <v>154</v>
      </c>
      <c r="B104" s="153" t="s">
        <v>50</v>
      </c>
      <c r="C104" s="153" t="s">
        <v>48</v>
      </c>
      <c r="D104" s="153" t="s">
        <v>47</v>
      </c>
      <c r="E104" s="153" t="s">
        <v>49</v>
      </c>
      <c r="F104" s="10" t="s">
        <v>703</v>
      </c>
      <c r="G104" s="10" t="s">
        <v>708</v>
      </c>
      <c r="I104" s="24"/>
      <c r="J104" s="10" t="b">
        <v>1</v>
      </c>
      <c r="K104" s="10"/>
    </row>
    <row r="105" spans="1:12">
      <c r="A105" s="10" t="s">
        <v>154</v>
      </c>
      <c r="B105" s="153" t="s">
        <v>50</v>
      </c>
      <c r="C105" s="153" t="s">
        <v>48</v>
      </c>
      <c r="D105" s="153" t="s">
        <v>47</v>
      </c>
      <c r="E105" s="153" t="s">
        <v>49</v>
      </c>
      <c r="F105" s="10" t="s">
        <v>703</v>
      </c>
      <c r="G105" s="10" t="s">
        <v>704</v>
      </c>
      <c r="I105" s="24"/>
      <c r="J105" s="10" t="b">
        <v>1</v>
      </c>
      <c r="K105" s="10"/>
    </row>
    <row r="106" spans="1:12">
      <c r="A106" s="10" t="s">
        <v>154</v>
      </c>
      <c r="B106" s="153" t="s">
        <v>50</v>
      </c>
      <c r="C106" s="153" t="s">
        <v>48</v>
      </c>
      <c r="D106" s="153" t="s">
        <v>47</v>
      </c>
      <c r="E106" s="153" t="s">
        <v>49</v>
      </c>
      <c r="F106" s="10" t="s">
        <v>703</v>
      </c>
      <c r="G106" s="10" t="s">
        <v>709</v>
      </c>
      <c r="I106" s="24"/>
      <c r="J106" s="10" t="b">
        <v>1</v>
      </c>
      <c r="K106" s="10"/>
    </row>
    <row r="107" spans="1:12">
      <c r="A107" s="10" t="s">
        <v>154</v>
      </c>
      <c r="B107" s="153" t="s">
        <v>50</v>
      </c>
      <c r="C107" s="153" t="s">
        <v>48</v>
      </c>
      <c r="D107" s="153" t="s">
        <v>47</v>
      </c>
      <c r="E107" s="153" t="s">
        <v>49</v>
      </c>
      <c r="F107" s="10" t="s">
        <v>703</v>
      </c>
      <c r="G107" s="10" t="s">
        <v>710</v>
      </c>
      <c r="I107" s="24"/>
      <c r="J107" s="10" t="b">
        <v>1</v>
      </c>
      <c r="K107" s="10"/>
    </row>
    <row r="108" spans="1:12" s="10" customFormat="1">
      <c r="A108" s="10" t="s">
        <v>152</v>
      </c>
      <c r="B108" s="169" t="s">
        <v>50</v>
      </c>
      <c r="C108" s="169" t="s">
        <v>48</v>
      </c>
      <c r="D108" s="169" t="s">
        <v>47</v>
      </c>
      <c r="E108" s="19" t="s">
        <v>739</v>
      </c>
      <c r="F108" s="10" t="s">
        <v>734</v>
      </c>
      <c r="G108" s="10">
        <v>1574</v>
      </c>
      <c r="H108" s="10" t="s">
        <v>34</v>
      </c>
      <c r="I108" s="24"/>
      <c r="J108" s="10" t="b">
        <v>1</v>
      </c>
      <c r="K108" s="10">
        <v>1574</v>
      </c>
      <c r="L108" s="10">
        <v>58</v>
      </c>
    </row>
    <row r="109" spans="1:12" s="10" customFormat="1">
      <c r="A109" s="10" t="s">
        <v>152</v>
      </c>
      <c r="B109" s="169" t="s">
        <v>50</v>
      </c>
      <c r="C109" s="169" t="s">
        <v>48</v>
      </c>
      <c r="D109" s="169" t="s">
        <v>47</v>
      </c>
      <c r="E109" s="19" t="s">
        <v>739</v>
      </c>
      <c r="F109" s="10" t="s">
        <v>735</v>
      </c>
      <c r="G109" s="10">
        <v>111</v>
      </c>
      <c r="H109" s="10" t="s">
        <v>34</v>
      </c>
      <c r="I109" s="24"/>
      <c r="J109" s="10" t="b">
        <v>1</v>
      </c>
      <c r="K109" s="10">
        <v>111</v>
      </c>
      <c r="L109" s="10">
        <v>58</v>
      </c>
    </row>
    <row r="110" spans="1:12" s="10" customFormat="1">
      <c r="A110" s="10" t="s">
        <v>152</v>
      </c>
      <c r="B110" s="169" t="s">
        <v>50</v>
      </c>
      <c r="C110" s="169" t="s">
        <v>48</v>
      </c>
      <c r="D110" s="169" t="s">
        <v>47</v>
      </c>
      <c r="E110" s="19" t="s">
        <v>739</v>
      </c>
      <c r="F110" s="10" t="s">
        <v>736</v>
      </c>
      <c r="G110" s="10">
        <v>550.5</v>
      </c>
      <c r="H110" s="10" t="s">
        <v>34</v>
      </c>
      <c r="I110" s="24"/>
      <c r="J110" s="10" t="b">
        <v>1</v>
      </c>
      <c r="K110" s="10">
        <v>550.5</v>
      </c>
      <c r="L110" s="10">
        <v>58</v>
      </c>
    </row>
    <row r="111" spans="1:12" s="10" customFormat="1">
      <c r="A111" s="10" t="s">
        <v>152</v>
      </c>
      <c r="B111" s="169" t="s">
        <v>50</v>
      </c>
      <c r="C111" s="169" t="s">
        <v>48</v>
      </c>
      <c r="D111" s="169" t="s">
        <v>47</v>
      </c>
      <c r="E111" s="19" t="s">
        <v>739</v>
      </c>
      <c r="F111" s="10" t="s">
        <v>737</v>
      </c>
      <c r="G111" s="10">
        <v>441.62229336843944</v>
      </c>
      <c r="H111" s="10" t="s">
        <v>34</v>
      </c>
      <c r="I111" s="24"/>
      <c r="J111" s="10" t="b">
        <v>1</v>
      </c>
      <c r="K111" s="10">
        <v>441.62229336843944</v>
      </c>
      <c r="L111" s="10">
        <v>58</v>
      </c>
    </row>
    <row r="112" spans="1:12" s="10" customFormat="1">
      <c r="A112" s="10" t="s">
        <v>152</v>
      </c>
      <c r="B112" s="169" t="s">
        <v>50</v>
      </c>
      <c r="C112" s="169" t="s">
        <v>48</v>
      </c>
      <c r="D112" s="169" t="s">
        <v>47</v>
      </c>
      <c r="E112" s="19" t="s">
        <v>739</v>
      </c>
      <c r="F112" s="10" t="s">
        <v>738</v>
      </c>
      <c r="G112" s="10">
        <v>8</v>
      </c>
      <c r="I112" s="24"/>
      <c r="J112" s="10" t="b">
        <v>1</v>
      </c>
      <c r="K112" s="10">
        <v>8</v>
      </c>
      <c r="L112" s="10">
        <v>58</v>
      </c>
    </row>
    <row r="113" spans="1:12" s="10" customFormat="1">
      <c r="A113" s="10" t="s">
        <v>152</v>
      </c>
      <c r="B113" s="169" t="s">
        <v>50</v>
      </c>
      <c r="C113" s="169" t="s">
        <v>48</v>
      </c>
      <c r="D113" s="169" t="s">
        <v>47</v>
      </c>
      <c r="E113" s="19" t="s">
        <v>739</v>
      </c>
      <c r="F113" s="10" t="s">
        <v>734</v>
      </c>
      <c r="G113" s="10">
        <v>240</v>
      </c>
      <c r="H113" s="10" t="s">
        <v>34</v>
      </c>
      <c r="I113" s="24"/>
      <c r="J113" s="10" t="b">
        <v>1</v>
      </c>
      <c r="K113" s="10">
        <v>240</v>
      </c>
      <c r="L113" s="10">
        <v>45</v>
      </c>
    </row>
    <row r="114" spans="1:12" s="10" customFormat="1">
      <c r="A114" s="10" t="s">
        <v>152</v>
      </c>
      <c r="B114" s="169" t="s">
        <v>50</v>
      </c>
      <c r="C114" s="169" t="s">
        <v>48</v>
      </c>
      <c r="D114" s="169" t="s">
        <v>47</v>
      </c>
      <c r="E114" s="19" t="s">
        <v>739</v>
      </c>
      <c r="F114" s="10" t="s">
        <v>735</v>
      </c>
      <c r="G114" s="10">
        <v>166</v>
      </c>
      <c r="H114" s="10" t="s">
        <v>34</v>
      </c>
      <c r="I114" s="24"/>
      <c r="J114" s="10" t="b">
        <v>1</v>
      </c>
      <c r="K114" s="10">
        <v>166</v>
      </c>
      <c r="L114" s="10">
        <v>45</v>
      </c>
    </row>
    <row r="115" spans="1:12" s="10" customFormat="1">
      <c r="A115" s="10" t="s">
        <v>152</v>
      </c>
      <c r="B115" s="169" t="s">
        <v>50</v>
      </c>
      <c r="C115" s="169" t="s">
        <v>48</v>
      </c>
      <c r="D115" s="169" t="s">
        <v>47</v>
      </c>
      <c r="E115" s="19" t="s">
        <v>739</v>
      </c>
      <c r="F115" s="10" t="s">
        <v>736</v>
      </c>
      <c r="G115" s="10">
        <v>201.33333333333334</v>
      </c>
      <c r="H115" s="10" t="s">
        <v>34</v>
      </c>
      <c r="I115" s="24"/>
      <c r="J115" s="10" t="b">
        <v>1</v>
      </c>
      <c r="K115" s="10">
        <v>201.33333333333334</v>
      </c>
      <c r="L115" s="10">
        <v>45</v>
      </c>
    </row>
    <row r="116" spans="1:12" s="10" customFormat="1">
      <c r="A116" s="10" t="s">
        <v>152</v>
      </c>
      <c r="B116" s="169" t="s">
        <v>50</v>
      </c>
      <c r="C116" s="169" t="s">
        <v>48</v>
      </c>
      <c r="D116" s="169" t="s">
        <v>47</v>
      </c>
      <c r="E116" s="19" t="s">
        <v>739</v>
      </c>
      <c r="F116" s="10" t="s">
        <v>737</v>
      </c>
      <c r="G116" s="10">
        <v>30.302181806302698</v>
      </c>
      <c r="H116" s="10" t="s">
        <v>34</v>
      </c>
      <c r="I116" s="24"/>
      <c r="J116" s="10" t="b">
        <v>1</v>
      </c>
      <c r="K116" s="10">
        <v>30.302181806302698</v>
      </c>
      <c r="L116" s="10">
        <v>45</v>
      </c>
    </row>
    <row r="117" spans="1:12" s="10" customFormat="1">
      <c r="A117" s="10" t="s">
        <v>152</v>
      </c>
      <c r="B117" s="169" t="s">
        <v>50</v>
      </c>
      <c r="C117" s="169" t="s">
        <v>48</v>
      </c>
      <c r="D117" s="169" t="s">
        <v>47</v>
      </c>
      <c r="E117" s="19" t="s">
        <v>739</v>
      </c>
      <c r="F117" s="10" t="s">
        <v>738</v>
      </c>
      <c r="G117" s="10">
        <v>3</v>
      </c>
      <c r="I117" s="24"/>
      <c r="J117" s="10" t="b">
        <v>1</v>
      </c>
      <c r="K117" s="10">
        <v>3</v>
      </c>
      <c r="L117" s="10">
        <v>45</v>
      </c>
    </row>
    <row r="118" spans="1:12" s="10" customFormat="1">
      <c r="A118" s="10" t="s">
        <v>152</v>
      </c>
      <c r="B118" s="171" t="s">
        <v>50</v>
      </c>
      <c r="C118" s="171" t="s">
        <v>48</v>
      </c>
      <c r="F118" s="10" t="s">
        <v>749</v>
      </c>
      <c r="G118" s="10">
        <v>1</v>
      </c>
      <c r="I118" s="24"/>
      <c r="K118" s="10">
        <v>1</v>
      </c>
      <c r="L118" s="10">
        <v>27</v>
      </c>
    </row>
    <row r="119" spans="1:12" s="10" customFormat="1">
      <c r="A119" s="10" t="s">
        <v>152</v>
      </c>
      <c r="B119" s="171" t="s">
        <v>50</v>
      </c>
      <c r="C119" s="171" t="s">
        <v>48</v>
      </c>
      <c r="D119" s="171" t="s">
        <v>47</v>
      </c>
      <c r="F119" s="10" t="s">
        <v>750</v>
      </c>
      <c r="G119" s="10">
        <v>1</v>
      </c>
      <c r="I119" s="24"/>
      <c r="K119" s="10">
        <v>1</v>
      </c>
      <c r="L119" s="10">
        <v>19</v>
      </c>
    </row>
    <row r="120" spans="1:12" s="10" customFormat="1">
      <c r="A120" s="10" t="s">
        <v>152</v>
      </c>
      <c r="B120" s="171" t="s">
        <v>50</v>
      </c>
      <c r="C120" s="171" t="s">
        <v>48</v>
      </c>
      <c r="D120" s="171" t="s">
        <v>47</v>
      </c>
      <c r="E120" s="171" t="s">
        <v>49</v>
      </c>
      <c r="F120" s="10" t="s">
        <v>751</v>
      </c>
      <c r="G120" s="10">
        <v>1</v>
      </c>
      <c r="I120" s="24"/>
      <c r="J120" s="10" t="b">
        <v>1</v>
      </c>
      <c r="K120" s="10">
        <v>1</v>
      </c>
      <c r="L120" s="10">
        <v>33</v>
      </c>
    </row>
    <row r="121" spans="1:12" s="10" customFormat="1">
      <c r="A121" s="10" t="s">
        <v>152</v>
      </c>
      <c r="B121" s="173" t="s">
        <v>50</v>
      </c>
      <c r="C121" s="173" t="s">
        <v>48</v>
      </c>
      <c r="D121" s="173" t="s">
        <v>47</v>
      </c>
      <c r="E121" s="173" t="s">
        <v>49</v>
      </c>
      <c r="F121" s="10" t="s">
        <v>757</v>
      </c>
      <c r="G121" s="10">
        <v>16107106</v>
      </c>
      <c r="H121" s="10" t="s">
        <v>153</v>
      </c>
      <c r="I121" s="24"/>
      <c r="J121" s="10" t="b">
        <v>1</v>
      </c>
      <c r="K121" s="10">
        <v>16107106</v>
      </c>
      <c r="L121" s="10">
        <v>5</v>
      </c>
    </row>
    <row r="122" spans="1:12" s="10" customFormat="1">
      <c r="A122" s="10" t="s">
        <v>152</v>
      </c>
      <c r="B122" s="173" t="s">
        <v>50</v>
      </c>
      <c r="C122" s="173" t="s">
        <v>48</v>
      </c>
      <c r="D122" s="173" t="s">
        <v>47</v>
      </c>
      <c r="E122" s="173" t="s">
        <v>49</v>
      </c>
      <c r="F122" s="10" t="s">
        <v>758</v>
      </c>
      <c r="G122" s="10">
        <v>216159</v>
      </c>
      <c r="H122" s="10" t="s">
        <v>153</v>
      </c>
      <c r="I122" s="24"/>
      <c r="J122" s="10" t="b">
        <v>1</v>
      </c>
      <c r="K122" s="10">
        <v>216159</v>
      </c>
      <c r="L122" s="10">
        <v>5</v>
      </c>
    </row>
    <row r="123" spans="1:12" s="10" customFormat="1">
      <c r="A123" s="10" t="s">
        <v>152</v>
      </c>
      <c r="B123" s="173" t="s">
        <v>50</v>
      </c>
      <c r="C123" s="173" t="s">
        <v>48</v>
      </c>
      <c r="D123" s="173" t="s">
        <v>47</v>
      </c>
      <c r="E123" s="173" t="s">
        <v>49</v>
      </c>
      <c r="F123" s="10" t="s">
        <v>759</v>
      </c>
      <c r="G123" s="10">
        <v>7522042</v>
      </c>
      <c r="H123" s="10" t="s">
        <v>153</v>
      </c>
      <c r="I123" s="24"/>
      <c r="J123" s="10" t="b">
        <v>1</v>
      </c>
      <c r="K123" s="10">
        <v>7522042</v>
      </c>
      <c r="L123" s="10">
        <v>5</v>
      </c>
    </row>
    <row r="124" spans="1:12" s="10" customFormat="1">
      <c r="A124" s="10" t="s">
        <v>152</v>
      </c>
      <c r="B124" s="173" t="s">
        <v>50</v>
      </c>
      <c r="C124" s="173" t="s">
        <v>48</v>
      </c>
      <c r="D124" s="173" t="s">
        <v>47</v>
      </c>
      <c r="E124" s="173" t="s">
        <v>49</v>
      </c>
      <c r="F124" s="10" t="s">
        <v>760</v>
      </c>
      <c r="G124" s="10">
        <v>94</v>
      </c>
      <c r="I124" s="24"/>
      <c r="J124" s="10" t="b">
        <v>1</v>
      </c>
      <c r="K124" s="10">
        <v>94</v>
      </c>
      <c r="L124" s="10">
        <v>5</v>
      </c>
    </row>
    <row r="125" spans="1:12" s="10" customFormat="1">
      <c r="A125" s="10" t="s">
        <v>152</v>
      </c>
      <c r="B125" s="173" t="s">
        <v>50</v>
      </c>
      <c r="C125" s="173" t="s">
        <v>48</v>
      </c>
      <c r="D125" s="173" t="s">
        <v>47</v>
      </c>
      <c r="E125" s="173" t="s">
        <v>49</v>
      </c>
      <c r="F125" s="10" t="s">
        <v>761</v>
      </c>
      <c r="G125" s="10">
        <v>692979776</v>
      </c>
      <c r="H125" s="10" t="s">
        <v>107</v>
      </c>
      <c r="I125" s="24">
        <v>660.87701416015625</v>
      </c>
      <c r="J125" s="10" t="b">
        <v>1</v>
      </c>
      <c r="L125" s="10">
        <v>5</v>
      </c>
    </row>
    <row r="126" spans="1:12" s="10" customFormat="1">
      <c r="A126" s="10" t="s">
        <v>152</v>
      </c>
      <c r="B126" s="173" t="s">
        <v>50</v>
      </c>
      <c r="C126" s="173" t="s">
        <v>48</v>
      </c>
      <c r="D126" s="173" t="s">
        <v>47</v>
      </c>
      <c r="E126" s="173" t="s">
        <v>49</v>
      </c>
      <c r="F126" s="10" t="s">
        <v>762</v>
      </c>
      <c r="G126" s="10">
        <v>8286272</v>
      </c>
      <c r="H126" s="10" t="s">
        <v>107</v>
      </c>
      <c r="I126" s="24">
        <v>7.90240478515625</v>
      </c>
      <c r="J126" s="10" t="b">
        <v>1</v>
      </c>
      <c r="L126" s="10">
        <v>5</v>
      </c>
    </row>
    <row r="127" spans="1:12" s="10" customFormat="1">
      <c r="A127" s="10" t="s">
        <v>152</v>
      </c>
      <c r="B127" s="173" t="s">
        <v>50</v>
      </c>
      <c r="C127" s="173" t="s">
        <v>48</v>
      </c>
      <c r="D127" s="173" t="s">
        <v>47</v>
      </c>
      <c r="E127" s="173" t="s">
        <v>49</v>
      </c>
      <c r="F127" s="10" t="s">
        <v>763</v>
      </c>
      <c r="G127" s="10">
        <v>329273688</v>
      </c>
      <c r="H127" s="10" t="s">
        <v>107</v>
      </c>
      <c r="I127" s="24">
        <v>314.01985947629237</v>
      </c>
      <c r="J127" s="10" t="b">
        <v>1</v>
      </c>
      <c r="L127" s="10">
        <v>5</v>
      </c>
    </row>
    <row r="128" spans="1:12" s="10" customFormat="1">
      <c r="A128" s="10" t="s">
        <v>152</v>
      </c>
      <c r="B128" s="173" t="s">
        <v>50</v>
      </c>
      <c r="C128" s="173" t="s">
        <v>48</v>
      </c>
      <c r="D128" s="173" t="s">
        <v>47</v>
      </c>
      <c r="E128" s="173" t="s">
        <v>49</v>
      </c>
      <c r="F128" s="10" t="s">
        <v>764</v>
      </c>
      <c r="G128" s="10">
        <v>10149889</v>
      </c>
      <c r="H128" s="10" t="s">
        <v>153</v>
      </c>
      <c r="I128" s="24"/>
      <c r="J128" s="10" t="b">
        <v>1</v>
      </c>
      <c r="K128" s="10">
        <v>10149889</v>
      </c>
      <c r="L128" s="10">
        <v>5</v>
      </c>
    </row>
    <row r="129" spans="1:12" s="10" customFormat="1">
      <c r="A129" s="10" t="s">
        <v>152</v>
      </c>
      <c r="B129" s="173" t="s">
        <v>50</v>
      </c>
      <c r="C129" s="173" t="s">
        <v>48</v>
      </c>
      <c r="D129" s="173" t="s">
        <v>47</v>
      </c>
      <c r="E129" s="173" t="s">
        <v>49</v>
      </c>
      <c r="F129" s="10" t="s">
        <v>765</v>
      </c>
      <c r="G129" s="10">
        <v>216159</v>
      </c>
      <c r="H129" s="10" t="s">
        <v>153</v>
      </c>
      <c r="I129" s="24"/>
      <c r="J129" s="10" t="b">
        <v>1</v>
      </c>
      <c r="K129" s="10">
        <v>216159</v>
      </c>
      <c r="L129" s="10">
        <v>5</v>
      </c>
    </row>
    <row r="130" spans="1:12" s="10" customFormat="1">
      <c r="A130" s="10" t="s">
        <v>152</v>
      </c>
      <c r="B130" s="173" t="s">
        <v>50</v>
      </c>
      <c r="C130" s="173" t="s">
        <v>48</v>
      </c>
      <c r="D130" s="173" t="s">
        <v>47</v>
      </c>
      <c r="E130" s="173" t="s">
        <v>49</v>
      </c>
      <c r="F130" s="10" t="s">
        <v>766</v>
      </c>
      <c r="G130" s="10">
        <v>5706858</v>
      </c>
      <c r="H130" s="10" t="s">
        <v>153</v>
      </c>
      <c r="I130" s="24"/>
      <c r="J130" s="10" t="b">
        <v>1</v>
      </c>
      <c r="K130" s="10">
        <v>5706858</v>
      </c>
      <c r="L130" s="10">
        <v>5</v>
      </c>
    </row>
    <row r="131" spans="1:12" s="10" customFormat="1">
      <c r="A131" s="10" t="s">
        <v>152</v>
      </c>
      <c r="B131" s="173" t="s">
        <v>50</v>
      </c>
      <c r="C131" s="173" t="s">
        <v>48</v>
      </c>
      <c r="D131" s="173" t="s">
        <v>47</v>
      </c>
      <c r="E131" s="173" t="s">
        <v>49</v>
      </c>
      <c r="F131" s="20" t="s">
        <v>771</v>
      </c>
      <c r="G131" s="10">
        <v>80</v>
      </c>
      <c r="I131" s="24"/>
      <c r="J131" s="10" t="b">
        <v>1</v>
      </c>
      <c r="K131" s="10">
        <v>80</v>
      </c>
      <c r="L131" s="10">
        <v>5</v>
      </c>
    </row>
    <row r="132" spans="1:12" s="10" customFormat="1">
      <c r="A132" s="10" t="s">
        <v>152</v>
      </c>
      <c r="B132" s="173" t="s">
        <v>50</v>
      </c>
      <c r="C132" s="173" t="s">
        <v>48</v>
      </c>
      <c r="D132" s="173" t="s">
        <v>47</v>
      </c>
      <c r="E132" s="173" t="s">
        <v>49</v>
      </c>
      <c r="F132" s="10" t="s">
        <v>767</v>
      </c>
      <c r="G132" s="10">
        <v>444342300</v>
      </c>
      <c r="H132" s="10" t="s">
        <v>107</v>
      </c>
      <c r="I132" s="24">
        <v>240.49652033003522</v>
      </c>
      <c r="J132" s="10" t="b">
        <v>1</v>
      </c>
      <c r="L132" s="10">
        <v>5</v>
      </c>
    </row>
    <row r="133" spans="1:12" s="10" customFormat="1">
      <c r="A133" s="10" t="s">
        <v>152</v>
      </c>
      <c r="B133" s="173" t="s">
        <v>50</v>
      </c>
      <c r="C133" s="173" t="s">
        <v>48</v>
      </c>
      <c r="D133" s="173" t="s">
        <v>47</v>
      </c>
      <c r="E133" s="173" t="s">
        <v>49</v>
      </c>
      <c r="F133" s="10" t="s">
        <v>768</v>
      </c>
      <c r="G133" s="10">
        <v>8286272</v>
      </c>
      <c r="H133" s="10" t="s">
        <v>107</v>
      </c>
      <c r="I133" s="24">
        <v>7.90240478515625</v>
      </c>
      <c r="J133" s="10" t="b">
        <v>1</v>
      </c>
      <c r="L133" s="10">
        <v>5</v>
      </c>
    </row>
    <row r="134" spans="1:12" s="10" customFormat="1">
      <c r="A134" s="10" t="s">
        <v>152</v>
      </c>
      <c r="B134" s="173" t="s">
        <v>50</v>
      </c>
      <c r="C134" s="173" t="s">
        <v>48</v>
      </c>
      <c r="D134" s="173" t="s">
        <v>47</v>
      </c>
      <c r="E134" s="173" t="s">
        <v>49</v>
      </c>
      <c r="F134" s="10" t="s">
        <v>769</v>
      </c>
      <c r="G134" s="10">
        <v>252178879.30158731</v>
      </c>
      <c r="H134" s="10" t="s">
        <v>107</v>
      </c>
      <c r="I134" s="24">
        <v>240.49652033003522</v>
      </c>
      <c r="J134" s="10" t="b">
        <v>1</v>
      </c>
      <c r="L134" s="10">
        <v>5</v>
      </c>
    </row>
    <row r="135" spans="1:12" s="10" customFormat="1">
      <c r="A135" s="10" t="s">
        <v>152</v>
      </c>
      <c r="B135" s="173" t="s">
        <v>50</v>
      </c>
      <c r="C135" s="173" t="s">
        <v>48</v>
      </c>
      <c r="D135" s="173" t="s">
        <v>47</v>
      </c>
      <c r="E135" s="173" t="s">
        <v>49</v>
      </c>
      <c r="F135" s="10" t="s">
        <v>770</v>
      </c>
      <c r="G135" s="10">
        <v>15887269396</v>
      </c>
      <c r="H135" s="10" t="s">
        <v>107</v>
      </c>
      <c r="I135" s="24">
        <v>15151.280780792236</v>
      </c>
      <c r="J135" s="10" t="b">
        <v>1</v>
      </c>
      <c r="L135" s="10">
        <v>5</v>
      </c>
    </row>
    <row r="136" spans="1:12">
      <c r="A136" s="10" t="s">
        <v>152</v>
      </c>
      <c r="B136" s="195" t="s">
        <v>50</v>
      </c>
      <c r="C136" s="195" t="s">
        <v>48</v>
      </c>
      <c r="D136" s="195" t="s">
        <v>47</v>
      </c>
      <c r="E136" s="195" t="s">
        <v>49</v>
      </c>
      <c r="F136" s="20" t="s">
        <v>836</v>
      </c>
      <c r="G136" s="10">
        <v>30</v>
      </c>
      <c r="H136" s="10" t="s">
        <v>149</v>
      </c>
      <c r="I136" s="83"/>
      <c r="J136" s="11"/>
      <c r="K136" s="10"/>
    </row>
    <row r="137" spans="1:12">
      <c r="A137" s="10" t="s">
        <v>152</v>
      </c>
      <c r="B137" s="195" t="s">
        <v>50</v>
      </c>
      <c r="C137" s="195" t="s">
        <v>48</v>
      </c>
      <c r="D137" s="195" t="s">
        <v>47</v>
      </c>
      <c r="E137" s="195" t="s">
        <v>49</v>
      </c>
      <c r="F137" s="20" t="s">
        <v>837</v>
      </c>
      <c r="G137" s="10">
        <v>15</v>
      </c>
      <c r="H137" s="10" t="s">
        <v>149</v>
      </c>
      <c r="I137" s="83"/>
      <c r="J137" s="11"/>
      <c r="K137" s="10"/>
    </row>
    <row r="138" spans="1:12">
      <c r="A138" s="10" t="s">
        <v>152</v>
      </c>
      <c r="B138" s="195" t="s">
        <v>50</v>
      </c>
      <c r="C138" s="195" t="s">
        <v>48</v>
      </c>
      <c r="D138" s="195" t="s">
        <v>47</v>
      </c>
      <c r="E138" s="195" t="s">
        <v>49</v>
      </c>
      <c r="F138" s="20" t="s">
        <v>838</v>
      </c>
      <c r="G138" s="10">
        <v>3.4</v>
      </c>
      <c r="H138" s="10" t="s">
        <v>149</v>
      </c>
      <c r="I138" s="83"/>
      <c r="J138" s="11"/>
      <c r="K138" s="10"/>
    </row>
    <row r="139" spans="1:12">
      <c r="A139" s="10" t="s">
        <v>152</v>
      </c>
      <c r="B139" s="195" t="s">
        <v>50</v>
      </c>
      <c r="C139" s="195" t="s">
        <v>48</v>
      </c>
      <c r="D139" s="195" t="s">
        <v>47</v>
      </c>
      <c r="E139" s="195" t="s">
        <v>49</v>
      </c>
      <c r="F139" s="10" t="s">
        <v>841</v>
      </c>
      <c r="G139" s="10">
        <v>1</v>
      </c>
      <c r="H139" s="10"/>
      <c r="I139" s="83"/>
      <c r="J139" s="11"/>
      <c r="K139" s="10"/>
    </row>
    <row r="140" spans="1:12" s="10" customFormat="1">
      <c r="A140" s="10" t="s">
        <v>152</v>
      </c>
      <c r="B140" s="197" t="s">
        <v>50</v>
      </c>
      <c r="C140" s="197" t="s">
        <v>48</v>
      </c>
      <c r="D140" s="197" t="s">
        <v>47</v>
      </c>
      <c r="E140" s="197" t="s">
        <v>49</v>
      </c>
      <c r="F140" s="10" t="s">
        <v>848</v>
      </c>
      <c r="G140" s="10">
        <v>62111</v>
      </c>
      <c r="I140" s="24"/>
      <c r="J140" s="10" t="b">
        <v>1</v>
      </c>
      <c r="K140" s="10">
        <v>62111</v>
      </c>
      <c r="L140" s="10">
        <v>52</v>
      </c>
    </row>
    <row r="141" spans="1:12" s="10" customFormat="1">
      <c r="A141" s="10" t="s">
        <v>152</v>
      </c>
      <c r="B141" s="197" t="s">
        <v>50</v>
      </c>
      <c r="C141" s="197" t="s">
        <v>48</v>
      </c>
      <c r="D141" s="197" t="s">
        <v>47</v>
      </c>
      <c r="E141" s="197" t="s">
        <v>49</v>
      </c>
      <c r="F141" s="10" t="s">
        <v>845</v>
      </c>
      <c r="G141" s="10">
        <v>20405</v>
      </c>
      <c r="I141" s="24"/>
      <c r="J141" s="10" t="b">
        <v>1</v>
      </c>
      <c r="K141" s="10">
        <v>20405</v>
      </c>
      <c r="L141" s="10">
        <v>52</v>
      </c>
    </row>
    <row r="142" spans="1:12" s="10" customFormat="1">
      <c r="A142" s="10" t="s">
        <v>152</v>
      </c>
      <c r="B142" s="197" t="s">
        <v>50</v>
      </c>
      <c r="C142" s="197" t="s">
        <v>48</v>
      </c>
      <c r="D142" s="197" t="s">
        <v>47</v>
      </c>
      <c r="E142" s="197" t="s">
        <v>49</v>
      </c>
      <c r="F142" s="10" t="s">
        <v>849</v>
      </c>
      <c r="G142" s="10">
        <v>13252</v>
      </c>
      <c r="I142" s="24"/>
      <c r="J142" s="10" t="b">
        <v>1</v>
      </c>
      <c r="K142" s="10">
        <v>13252</v>
      </c>
      <c r="L142" s="10">
        <v>52</v>
      </c>
    </row>
    <row r="143" spans="1:12" s="10" customFormat="1">
      <c r="A143" s="10" t="s">
        <v>152</v>
      </c>
      <c r="B143" s="197" t="s">
        <v>50</v>
      </c>
      <c r="C143" s="197" t="s">
        <v>48</v>
      </c>
      <c r="D143" s="197" t="s">
        <v>47</v>
      </c>
      <c r="E143" s="197" t="s">
        <v>49</v>
      </c>
      <c r="F143" s="10" t="s">
        <v>846</v>
      </c>
      <c r="G143" s="10">
        <v>15527</v>
      </c>
      <c r="I143" s="24"/>
      <c r="J143" s="10" t="b">
        <v>1</v>
      </c>
      <c r="K143" s="10">
        <v>15527</v>
      </c>
      <c r="L143" s="10">
        <v>52</v>
      </c>
    </row>
    <row r="144" spans="1:12" s="10" customFormat="1">
      <c r="A144" s="10" t="s">
        <v>152</v>
      </c>
      <c r="B144" s="197" t="s">
        <v>50</v>
      </c>
      <c r="C144" s="197" t="s">
        <v>48</v>
      </c>
      <c r="D144" s="197" t="s">
        <v>47</v>
      </c>
      <c r="E144" s="197" t="s">
        <v>49</v>
      </c>
      <c r="F144" s="10" t="s">
        <v>847</v>
      </c>
      <c r="G144" s="10">
        <v>4</v>
      </c>
      <c r="I144" s="24"/>
      <c r="J144" s="10" t="b">
        <v>1</v>
      </c>
      <c r="K144" s="10">
        <v>4</v>
      </c>
      <c r="L144" s="10">
        <v>52</v>
      </c>
    </row>
    <row r="145" spans="1:11">
      <c r="A145" s="215" t="s">
        <v>860</v>
      </c>
      <c r="B145" s="214" t="s">
        <v>50</v>
      </c>
      <c r="C145" s="214" t="s">
        <v>48</v>
      </c>
      <c r="D145" s="214" t="s">
        <v>47</v>
      </c>
      <c r="E145" s="214" t="s">
        <v>49</v>
      </c>
      <c r="F145" s="215" t="s">
        <v>858</v>
      </c>
      <c r="G145" s="215">
        <v>55318147</v>
      </c>
      <c r="H145" s="215" t="s">
        <v>859</v>
      </c>
      <c r="I145" s="217">
        <v>52.755496025085442</v>
      </c>
      <c r="J145" s="215" t="b">
        <v>1</v>
      </c>
      <c r="K145" s="215">
        <v>55318147</v>
      </c>
    </row>
    <row r="146" spans="1:11">
      <c r="A146" s="216" t="s">
        <v>860</v>
      </c>
      <c r="B146" s="214" t="s">
        <v>50</v>
      </c>
      <c r="C146" s="214" t="s">
        <v>48</v>
      </c>
      <c r="D146" s="214" t="s">
        <v>47</v>
      </c>
      <c r="E146" s="214" t="s">
        <v>49</v>
      </c>
      <c r="F146" s="215" t="s">
        <v>858</v>
      </c>
      <c r="G146" s="215">
        <v>508575176751</v>
      </c>
      <c r="H146" s="215" t="s">
        <v>859</v>
      </c>
      <c r="I146" s="217">
        <v>485015.08402919769</v>
      </c>
      <c r="J146" s="215" t="b">
        <v>1</v>
      </c>
      <c r="K146" s="215">
        <v>508575176751</v>
      </c>
    </row>
    <row r="147" spans="1:11">
      <c r="A147" s="216" t="s">
        <v>860</v>
      </c>
      <c r="B147" s="214" t="s">
        <v>50</v>
      </c>
      <c r="C147" s="214" t="s">
        <v>48</v>
      </c>
      <c r="D147" s="214" t="s">
        <v>47</v>
      </c>
      <c r="E147" s="214" t="s">
        <v>49</v>
      </c>
      <c r="F147" s="215" t="s">
        <v>858</v>
      </c>
      <c r="G147" s="215">
        <v>54707997</v>
      </c>
      <c r="H147" s="215" t="s">
        <v>859</v>
      </c>
      <c r="I147" s="217">
        <v>52.173611640930176</v>
      </c>
      <c r="J147" s="215" t="b">
        <v>1</v>
      </c>
      <c r="K147" s="215">
        <v>54707997</v>
      </c>
    </row>
    <row r="148" spans="1:11">
      <c r="A148" s="216" t="s">
        <v>860</v>
      </c>
      <c r="B148" s="214" t="s">
        <v>50</v>
      </c>
      <c r="C148" s="214" t="s">
        <v>48</v>
      </c>
      <c r="D148" s="214" t="s">
        <v>47</v>
      </c>
      <c r="E148" s="214" t="s">
        <v>49</v>
      </c>
      <c r="F148" s="215" t="s">
        <v>858</v>
      </c>
      <c r="G148" s="215">
        <v>512389489489</v>
      </c>
      <c r="H148" s="215" t="s">
        <v>859</v>
      </c>
      <c r="I148" s="217">
        <v>488652.69612216944</v>
      </c>
      <c r="J148" s="215" t="b">
        <v>1</v>
      </c>
      <c r="K148" s="215">
        <v>512389489489</v>
      </c>
    </row>
    <row r="149" spans="1:11">
      <c r="A149" s="216" t="s">
        <v>860</v>
      </c>
      <c r="B149" s="214" t="s">
        <v>50</v>
      </c>
      <c r="C149" s="214" t="s">
        <v>48</v>
      </c>
      <c r="D149" s="214" t="s">
        <v>47</v>
      </c>
      <c r="E149" s="214" t="s">
        <v>49</v>
      </c>
      <c r="F149" s="215" t="s">
        <v>858</v>
      </c>
      <c r="G149" s="215">
        <v>54936691</v>
      </c>
      <c r="H149" s="215" t="s">
        <v>859</v>
      </c>
      <c r="I149" s="217">
        <v>52.391711235046387</v>
      </c>
      <c r="J149" s="215" t="b">
        <v>1</v>
      </c>
      <c r="K149" s="215">
        <v>54936691</v>
      </c>
    </row>
    <row r="150" spans="1:11" s="214" customFormat="1">
      <c r="A150" s="216" t="s">
        <v>857</v>
      </c>
      <c r="B150" s="214" t="s">
        <v>50</v>
      </c>
      <c r="C150" s="214" t="s">
        <v>48</v>
      </c>
      <c r="D150" s="214" t="s">
        <v>47</v>
      </c>
      <c r="E150" s="214" t="s">
        <v>49</v>
      </c>
      <c r="F150" s="216" t="s">
        <v>866</v>
      </c>
      <c r="G150" s="216">
        <v>2</v>
      </c>
      <c r="H150" s="216" t="s">
        <v>732</v>
      </c>
      <c r="I150" s="217"/>
      <c r="J150" s="216" t="b">
        <v>1</v>
      </c>
      <c r="K150" s="216">
        <v>2</v>
      </c>
    </row>
    <row r="151" spans="1:11" s="214" customFormat="1">
      <c r="A151" s="216" t="s">
        <v>857</v>
      </c>
      <c r="B151" s="214" t="s">
        <v>50</v>
      </c>
      <c r="C151" s="214" t="s">
        <v>48</v>
      </c>
      <c r="D151" s="214" t="s">
        <v>47</v>
      </c>
      <c r="E151" s="214" t="s">
        <v>49</v>
      </c>
      <c r="F151" s="216" t="s">
        <v>866</v>
      </c>
      <c r="G151" s="216">
        <v>0.5</v>
      </c>
      <c r="H151" s="216" t="s">
        <v>732</v>
      </c>
      <c r="I151" s="217"/>
      <c r="J151" s="216" t="b">
        <v>1</v>
      </c>
      <c r="K151" s="216">
        <v>0.5</v>
      </c>
    </row>
    <row r="152" spans="1:11">
      <c r="B152" s="10"/>
      <c r="C152" s="10"/>
      <c r="D152" s="10"/>
      <c r="E152" s="10"/>
      <c r="F152" s="10"/>
      <c r="G152" s="10"/>
      <c r="H152" s="10"/>
      <c r="I152" s="83"/>
      <c r="J152" s="11"/>
      <c r="K152" s="10"/>
    </row>
    <row r="153" spans="1:11">
      <c r="B153" s="10"/>
      <c r="C153" s="10"/>
      <c r="D153" s="10"/>
      <c r="E153" s="10"/>
      <c r="F153" s="10"/>
      <c r="G153" s="10"/>
      <c r="H153" s="10"/>
      <c r="I153" s="83"/>
      <c r="J153" s="11"/>
      <c r="K153" s="10"/>
    </row>
    <row r="154" spans="1:11">
      <c r="B154" s="10"/>
      <c r="C154" s="10"/>
      <c r="D154" s="10"/>
      <c r="E154" s="10"/>
      <c r="F154" s="10"/>
      <c r="G154" s="10"/>
      <c r="H154" s="10"/>
      <c r="I154" s="83"/>
      <c r="J154" s="11"/>
      <c r="K154" s="10"/>
    </row>
    <row r="155" spans="1:11">
      <c r="B155" s="10"/>
      <c r="C155" s="10"/>
      <c r="D155" s="10"/>
      <c r="E155" s="10"/>
      <c r="F155" s="10"/>
      <c r="G155" s="10"/>
      <c r="H155" s="10"/>
      <c r="I155" s="83"/>
      <c r="J155" s="11"/>
      <c r="K155" s="10"/>
    </row>
    <row r="156" spans="1:11">
      <c r="B156" s="10"/>
      <c r="C156" s="10"/>
      <c r="D156" s="10"/>
      <c r="E156" s="10"/>
      <c r="F156" s="10"/>
      <c r="G156" s="10"/>
      <c r="H156" s="10"/>
      <c r="I156" s="83"/>
      <c r="J156" s="11"/>
      <c r="K156" s="10"/>
    </row>
    <row r="157" spans="1:11">
      <c r="B157" s="10"/>
      <c r="C157" s="10"/>
      <c r="D157" s="10"/>
      <c r="E157" s="10"/>
      <c r="F157" s="10"/>
      <c r="G157" s="10"/>
      <c r="H157" s="10"/>
      <c r="I157" s="83"/>
      <c r="J157" s="11"/>
      <c r="K157" s="10"/>
    </row>
    <row r="158" spans="1:11">
      <c r="B158" s="10"/>
      <c r="C158" s="10"/>
      <c r="D158" s="10"/>
      <c r="E158" s="10"/>
      <c r="F158" s="10"/>
      <c r="G158" s="10"/>
      <c r="H158" s="10"/>
      <c r="I158" s="83"/>
      <c r="J158" s="11"/>
      <c r="K158" s="10"/>
    </row>
    <row r="159" spans="1:11">
      <c r="B159" s="10"/>
      <c r="C159" s="10"/>
      <c r="D159" s="10"/>
      <c r="E159" s="10"/>
      <c r="F159" s="10"/>
      <c r="G159" s="10"/>
      <c r="H159" s="10"/>
      <c r="I159" s="83"/>
      <c r="J159" s="11"/>
      <c r="K159" s="10"/>
    </row>
    <row r="160" spans="1: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151"/>
  <pageMargins left="0.7" right="0.7" top="0.75" bottom="0.75" header="0.3" footer="0.3"/>
  <pageSetup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747</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748</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806</v>
      </c>
      <c r="L181" s="11">
        <v>45</v>
      </c>
    </row>
    <row r="182" spans="1:18">
      <c r="A182" s="10" t="s">
        <v>152</v>
      </c>
      <c r="B182" s="10" t="s">
        <v>50</v>
      </c>
      <c r="C182" s="10" t="s">
        <v>48</v>
      </c>
      <c r="D182" t="s">
        <v>810</v>
      </c>
      <c r="L182" s="11">
        <v>45</v>
      </c>
    </row>
  </sheetData>
  <autoFilter ref="A1:M170"/>
  <pageMargins left="0.7" right="0.7" top="0.75" bottom="0.75" header="0.3" footer="0.3"/>
  <pageSetup orientation="portrait" r:id="rId1"/>
  <legacy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memtable Flush Node Chart</vt:lpstr>
      <vt:lpstr>Compaction</vt:lpstr>
      <vt:lpstr>Compaction by Node</vt:lpstr>
      <vt:lpstr>Compaction Node Chart</vt:lpstr>
      <vt:lpstr>AntiCompaction</vt:lpstr>
      <vt:lpstr>AntiCompaction by Node</vt:lpstr>
      <vt:lpstr>Concurrent CompactionFlushes</vt:lpstr>
      <vt:lpstr>Concurrent Node Chart</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Solr Index Sizes</vt:lpstr>
      <vt:lpstr>Solr Index Sizes Ratios</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2018-06-23T16:24:51Z</dcterms:modified>
</cp:coreProperties>
</file>