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75.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76.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pivotTables/pivotTable188.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252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Changes" sheetId="62" r:id="rId8"/>
    <sheet name="Changes by Node" sheetId="63"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Query" sheetId="24" r:id="rId19"/>
    <sheet name="Repair" sheetId="56" r:id="rId20"/>
    <sheet name="Read-Repair by Node" sheetId="25" r:id="rId21"/>
    <sheet name="Partitions" sheetId="12" r:id="rId22"/>
    <sheet name="Partitions by Node" sheetId="29" r:id="rId23"/>
    <sheet name="GC" sheetId="23" r:id="rId24"/>
    <sheet name="Pauses-JVM" sheetId="31" r:id="rId25"/>
    <sheet name="Node Not Responding" sheetId="69" r:id="rId26"/>
    <sheet name="memtable Flush" sheetId="57" r:id="rId27"/>
    <sheet name="memtable Flush by Node" sheetId="59" r:id="rId28"/>
    <sheet name="Compaction" sheetId="19" r:id="rId29"/>
    <sheet name="Compaction by Node" sheetId="30" r:id="rId30"/>
    <sheet name="AntiCompaction" sheetId="51" r:id="rId31"/>
    <sheet name="AntiCompaction by Node" sheetId="53" r:id="rId32"/>
    <sheet name="Concurrent CompactionFlushes" sheetId="60" r:id="rId33"/>
    <sheet name="Droppable" sheetId="26" r:id="rId34"/>
    <sheet name="Storage-Size" sheetId="15"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Application" sheetId="27" r:id="rId50"/>
    <sheet name="--Marker--" sheetId="42" r:id="rId51"/>
    <sheet name="Read Repair History" sheetId="49" r:id="rId52"/>
    <sheet name="CFStats" sheetId="4" r:id="rId53"/>
    <sheet name="NodeStats" sheetId="16" r:id="rId54"/>
    <sheet name="TableHistogram" sheetId="32" r:id="rId55"/>
  </sheets>
  <functionGroups builtInGroupCount="18"/>
  <definedNames>
    <definedName name="_xlnm._FilterDatabase" localSheetId="46" hidden="1">'Cassandra Summary Logs'!$A$2:$H$2</definedName>
    <definedName name="_xlnm._FilterDatabase" localSheetId="52" hidden="1">CFStats!$A$1:$K$61</definedName>
    <definedName name="_xlnm._FilterDatabase" localSheetId="5" hidden="1">'DDL Keyspaces'!$A$1:$E$1</definedName>
    <definedName name="_xlnm._FilterDatabase" localSheetId="53" hidden="1">NodeStats!$A$1:$M$170</definedName>
    <definedName name="_xlnm._FilterDatabase" localSheetId="4" hidden="1">'Settings-Yamls'!$A$1:$E$1</definedName>
    <definedName name="_xlnm._FilterDatabase" localSheetId="5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56"/>
    <pivotCache cacheId="1" r:id="rId57"/>
    <pivotCache cacheId="2" r:id="rId58"/>
    <pivotCache cacheId="3" r:id="rId59"/>
    <pivotCache cacheId="4" r:id="rId60"/>
    <pivotCache cacheId="5" r:id="rId61"/>
    <pivotCache cacheId="12"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69" l="1"/>
  <c r="K2" i="18" l="1"/>
  <c r="Q9" i="28" l="1"/>
  <c r="O9" i="22"/>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<sst xmlns="http://schemas.openxmlformats.org/spreadsheetml/2006/main" count="5227" uniqueCount="838">
  <si>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</si>
  <si>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</si>
  <si>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</si>
  <si>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</si>
  <si>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</si>
  <si>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</si>
  <si>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</si>
  <si>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</si>
  <si>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</si>
  <si>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</si>
  <si>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</si>
  <si>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</si>
  <si>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</si>
  <si>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</si>
  <si>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</si>
  <si>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</si>
  <si>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</si>
  <si>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</si>
  <si>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</si>
  <si>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</si>
  <si>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</si>
  <si>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</si>
  <si>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</si>
  <si>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</si>
  <si>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</si>
  <si>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</si>
  <si>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</si>
  <si>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</si>
  <si>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</si>
  <si>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</si>
  <si>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</si>
  <si>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</si>
  <si>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</si>
  <si>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</si>
  <si>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</si>
  <si>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</si>
  <si>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</si>
  <si>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</si>
  <si>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</si>
  <si>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</si>
  <si>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</si>
  <si>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</si>
  <si>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</si>
  <si>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</si>
  <si>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</si>
  <si>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</si>
  <si>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</si>
  <si>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</si>
  <si>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</si>
  <si>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</si>
  <si>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</si>
  <si>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</si>
  <si>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</si>
  <si>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</si>
  <si>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</si>
  <si>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</si>
  <si>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</si>
  <si>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</si>
  <si>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</si>
  <si>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</si>
  <si>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</si>
  <si>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</si>
  <si>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</si>
  <si>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</si>
  <si>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</si>
  <si>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</si>
  <si>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</si>
  <si>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</si>
  <si>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</si>
  <si>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</si>
  <si>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</si>
  <si>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</si>
  <si>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</si>
  <si>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</si>
  <si>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</si>
  <si>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</si>
  <si>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</si>
  <si>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</si>
  <si>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</si>
  <si>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</si>
  <si>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</si>
  <si>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</si>
  <si>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</si>
  <si>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</si>
  <si>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</si>
  <si>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</si>
  <si>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</si>
  <si>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</si>
  <si>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</si>
  <si>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</si>
  <si>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</si>
  <si>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</si>
  <si>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</si>
  <si>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</si>
  <si>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</si>
  <si>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</si>
  <si>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</si>
  <si>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</si>
  <si>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</si>
  <si>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</si>
  <si>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</si>
  <si>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</si>
  <si>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</si>
  <si>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</si>
  <si>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</si>
  <si>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</si>
  <si>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</si>
  <si>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</si>
  <si>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</si>
  <si>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</si>
  <si>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</si>
  <si>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</si>
  <si>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</si>
  <si>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</si>
  <si>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</si>
  <si>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</si>
  <si>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</si>
  <si>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</si>
  <si>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</si>
  <si>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</si>
  <si>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</si>
  <si>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</si>
  <si>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</si>
  <si>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</si>
  <si>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</si>
  <si>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</si>
  <si>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</si>
  <si>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</si>
  <si>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</si>
  <si>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</si>
  <si>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</si>
  <si>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</si>
  <si>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</si>
  <si>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</si>
  <si>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</si>
  <si>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</si>
  <si>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</si>
  <si>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</si>
  <si>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</si>
  <si>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</si>
  <si>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</si>
  <si>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</si>
  <si>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</si>
  <si>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</si>
  <si>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</si>
  <si>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</si>
  <si>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</si>
  <si>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</si>
  <si>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</si>
  <si>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</si>
  <si>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</si>
  <si>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</si>
  <si>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</si>
  <si>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</si>
  <si>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</si>
  <si>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</si>
  <si>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</si>
  <si>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</si>
  <si>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</si>
  <si>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</si>
  <si>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</si>
  <si>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</si>
  <si>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</si>
  <si>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</si>
  <si>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</si>
  <si>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</si>
  <si>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</si>
  <si>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</si>
  <si>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</si>
  <si>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</si>
  <si>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</si>
  <si>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</si>
  <si>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</si>
  <si>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</si>
  <si>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</si>
  <si>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</si>
  <si>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</si>
  <si>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</si>
  <si>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</si>
  <si>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</si>
  <si>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</si>
  <si>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</si>
  <si>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</si>
  <si>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</si>
  <si>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</si>
  <si>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</si>
  <si>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</si>
  <si>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</si>
  <si>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</si>
  <si>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</si>
  <si>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</si>
  <si>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</si>
  <si>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</si>
  <si>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</si>
  <si>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</si>
  <si>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</si>
  <si>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</si>
  <si>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</si>
  <si>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</si>
  <si>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</si>
  <si>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</si>
  <si>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</si>
  <si>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</si>
  <si>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</si>
  <si>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</si>
  <si>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</si>
  <si>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</si>
  <si>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</si>
  <si>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</si>
  <si>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</si>
  <si>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</si>
  <si>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</si>
  <si>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</si>
  <si>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</si>
  <si>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</si>
  <si>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</si>
  <si>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</si>
  <si>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</si>
  <si>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</si>
  <si>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</si>
  <si>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</si>
  <si>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</si>
  <si>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</si>
  <si>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</si>
  <si>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</si>
  <si>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</si>
  <si>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</si>
  <si>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</si>
  <si>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</si>
  <si>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</si>
  <si>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</si>
  <si>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</si>
  <si>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</si>
  <si>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</si>
  <si>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</si>
  <si>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</si>
  <si>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</si>
  <si>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</si>
  <si>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</si>
  <si>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</si>
  <si>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</si>
  <si>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</si>
  <si>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</si>
  <si>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</si>
  <si>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</si>
  <si>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</si>
  <si>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</si>
  <si>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</si>
  <si>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</si>
  <si>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</si>
  <si>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</si>
  <si>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</si>
  <si>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</si>
  <si>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</si>
  <si>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</si>
  <si>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</si>
  <si>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</si>
  <si>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</si>
  <si>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</si>
  <si>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</si>
  <si>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</si>
  <si>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</si>
  <si>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</si>
  <si>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</si>
  <si>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</si>
  <si>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</si>
  <si>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</si>
  <si>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</si>
  <si>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</si>
  <si>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</si>
  <si>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</si>
  <si>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</si>
  <si>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</si>
  <si>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</si>
  <si>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</si>
  <si>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</si>
  <si>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</si>
  <si>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</si>
  <si>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</si>
  <si>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</si>
  <si>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</si>
  <si>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</si>
  <si>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</si>
  <si>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</si>
  <si>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</si>
  <si>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</si>
  <si>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</si>
  <si>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</si>
  <si>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</si>
  <si>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</si>
  <si>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</si>
  <si>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</si>
  <si>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</si>
  <si>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</si>
  <si>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</si>
  <si>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</si>
  <si>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</si>
  <si>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</si>
  <si>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</si>
  <si>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</si>
  <si>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</si>
  <si>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</si>
  <si>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</si>
  <si>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</si>
  <si>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</si>
  <si>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</si>
  <si>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</si>
  <si>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</si>
  <si>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</si>
  <si>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</si>
  <si>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</si>
  <si>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</si>
  <si>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</si>
  <si>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</si>
  <si>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</si>
  <si>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</si>
  <si>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</si>
  <si>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</si>
  <si>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</si>
  <si>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</si>
  <si>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</si>
  <si>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</si>
  <si>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</si>
  <si>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</si>
  <si>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</si>
  <si>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</si>
  <si>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</si>
  <si>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</si>
  <si>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</si>
  <si>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</si>
  <si>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</si>
  <si>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</si>
  <si>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</si>
  <si>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</si>
  <si>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</si>
  <si>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</si>
  <si>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</si>
  <si>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</si>
  <si>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</si>
  <si>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</si>
  <si>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</si>
  <si>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</si>
  <si>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</si>
  <si>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</si>
  <si>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</si>
  <si>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</si>
  <si>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</si>
  <si>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</si>
  <si>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</si>
  <si>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</si>
  <si>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</si>
  <si>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</si>
  <si>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</si>
  <si>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</si>
  <si>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</si>
  <si>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</si>
  <si>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</si>
  <si>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</si>
  <si>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</si>
  <si>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</si>
  <si>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</si>
  <si>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</si>
  <si>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</si>
  <si>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</si>
  <si>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</si>
  <si>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</si>
  <si>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</si>
  <si>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</si>
  <si>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</si>
  <si>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</si>
  <si>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</si>
  <si>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</si>
  <si>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</si>
  <si>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</si>
  <si>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</si>
  <si>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</si>
  <si>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</si>
  <si>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</si>
  <si>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</si>
  <si>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</si>
  <si>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</si>
  <si>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</si>
  <si>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</si>
  <si>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</si>
  <si>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</si>
  <si>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</si>
  <si>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</si>
  <si>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</si>
  <si>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</si>
  <si>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</si>
  <si>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</si>
  <si>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</si>
  <si>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</si>
  <si>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</si>
  <si>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</si>
  <si>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</si>
  <si>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</si>
  <si>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</si>
  <si>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</si>
  <si>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</si>
  <si>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</si>
  <si>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</si>
  <si>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</si>
  <si>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</si>
  <si>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</si>
  <si>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</si>
  <si>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</si>
  <si>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</si>
  <si>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</si>
  <si>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</si>
  <si>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</si>
  <si>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</si>
  <si>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</si>
  <si>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</si>
  <si>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</si>
  <si>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</si>
  <si>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</si>
  <si>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</si>
  <si>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</si>
  <si>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</si>
  <si>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</si>
  <si>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</si>
  <si>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</si>
  <si>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</si>
  <si>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</si>
  <si>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</si>
  <si>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</si>
  <si>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</si>
  <si>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</si>
  <si>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</si>
  <si>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</si>
  <si>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</si>
  <si>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</si>
  <si>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</si>
  <si>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</si>
  <si>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</si>
  <si>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</si>
  <si>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</si>
  <si>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</si>
  <si>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</si>
  <si>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</si>
  <si>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</si>
  <si>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</si>
  <si>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</si>
  <si>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</si>
  <si>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</si>
  <si>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</si>
  <si>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</si>
  <si>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</si>
  <si>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</si>
  <si>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</si>
  <si>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</si>
  <si>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</si>
  <si>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</si>
  <si>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</si>
  <si>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</si>
  <si>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</si>
  <si>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</si>
  <si>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</si>
  <si>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</si>
  <si>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</si>
  <si>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</si>
  <si>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</si>
  <si>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</si>
  <si>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</si>
  <si>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</si>
  <si>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</si>
  <si>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</si>
  <si>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</si>
  <si>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</si>
  <si>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</si>
  <si>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</si>
  <si>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</si>
  <si>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</si>
  <si>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</si>
  <si>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</si>
  <si>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</si>
  <si>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</si>
  <si>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</si>
  <si>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</si>
  <si>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</si>
  <si>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</si>
  <si>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</si>
  <si>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</si>
  <si>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</si>
  <si>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</si>
  <si>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</si>
  <si>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</si>
  <si>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</si>
  <si>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</si>
  <si>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</si>
  <si>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</si>
  <si>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</si>
  <si>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</si>
  <si>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</si>
  <si>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</si>
  <si>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</si>
  <si>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</si>
  <si>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</si>
  <si>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</si>
  <si>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</si>
  <si>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</si>
  <si>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</si>
  <si>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</si>
  <si>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</si>
  <si>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</si>
  <si>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</si>
  <si>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</si>
  <si>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</si>
  <si>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</si>
  <si>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</si>
  <si>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</si>
  <si>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</si>
  <si>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</si>
  <si>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</si>
  <si>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</si>
  <si>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</si>
  <si>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</si>
  <si>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</si>
  <si>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</si>
  <si>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</si>
  <si>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</si>
  <si>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</si>
  <si>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</si>
  <si>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</si>
  <si>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</si>
  <si>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</si>
  <si>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</si>
  <si>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</si>
  <si>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</si>
  <si>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</si>
  <si>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</si>
  <si>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</si>
  <si>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</si>
  <si>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</si>
  <si>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</si>
  <si>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</si>
  <si>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</si>
  <si>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</si>
  <si>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</si>
  <si>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</si>
  <si>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</si>
  <si>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</si>
  <si>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</si>
  <si>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</si>
  <si>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</si>
  <si>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</si>
  <si>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</si>
  <si>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</si>
  <si>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</si>
  <si>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</si>
  <si>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</si>
  <si>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</si>
  <si>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</si>
  <si>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</si>
  <si>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</si>
  <si>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</si>
  <si>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</si>
  <si>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</si>
  <si>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</si>
  <si>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</si>
  <si>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</si>
  <si>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</si>
  <si>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</si>
  <si>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</si>
  <si>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</si>
  <si>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</si>
  <si>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</si>
  <si>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</si>
  <si>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</si>
  <si>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</si>
  <si>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</si>
  <si>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</si>
  <si>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</si>
  <si>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</si>
  <si>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</si>
  <si>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</si>
  <si>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</si>
  <si>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</si>
  <si>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</si>
  <si>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</si>
  <si>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</si>
  <si>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</si>
  <si>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</si>
  <si>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</si>
  <si>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</si>
  <si>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</si>
  <si>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</si>
  <si>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</si>
  <si>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</si>
  <si>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</si>
  <si>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</si>
  <si>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</si>
  <si>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</si>
  <si>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</si>
  <si>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</si>
  <si>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</si>
  <si>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</si>
  <si>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</si>
  <si>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</si>
  <si>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</si>
  <si>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</si>
  <si>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</si>
  <si>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</si>
  <si>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</si>
  <si>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</si>
  <si>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</si>
  <si>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</si>
  <si>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</si>
  <si>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</si>
  <si>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</si>
  <si>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</si>
  <si>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</si>
  <si>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</si>
  <si>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</si>
  <si>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</si>
  <si>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</si>
  <si>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</si>
  <si>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</si>
  <si>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</si>
  <si>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</si>
  <si>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</si>
  <si>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</si>
  <si>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</si>
  <si>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</si>
  <si>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</si>
  <si>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</si>
  <si>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</si>
  <si>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</si>
  <si>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</si>
  <si>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</si>
  <si>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</si>
  <si>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</si>
  <si>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</si>
  <si>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</si>
  <si>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</si>
  <si>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</si>
  <si>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</si>
  <si>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</si>
  <si>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</si>
  <si>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</si>
  <si>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</si>
  <si>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</si>
  <si>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</si>
  <si>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</si>
  <si>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</si>
  <si>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</si>
  <si>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</si>
  <si>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</si>
  <si>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</si>
  <si>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</si>
  <si>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</si>
  <si>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</si>
  <si>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</si>
  <si>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</si>
  <si>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</si>
  <si>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</si>
  <si>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</si>
  <si>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</si>
  <si>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</si>
  <si>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</si>
  <si>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</si>
  <si>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</si>
  <si>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</si>
  <si>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</si>
  <si>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</si>
  <si>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</si>
  <si>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</si>
  <si>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</si>
  <si>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</si>
  <si>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</si>
  <si>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</si>
  <si>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</si>
  <si>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</si>
  <si>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</si>
  <si>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</si>
  <si>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</si>
  <si>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</si>
  <si>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</si>
  <si>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</si>
  <si>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</si>
  <si>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</si>
  <si>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</si>
  <si>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</si>
  <si>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</si>
  <si>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</si>
  <si>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</si>
  <si>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</si>
  <si>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</si>
  <si>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</si>
  <si>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</si>
  <si>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</si>
  <si>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</si>
  <si>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</si>
  <si>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</si>
  <si>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</si>
  <si>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</si>
  <si>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</si>
  <si>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</si>
  <si>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</si>
  <si>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</si>
  <si>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</si>
  <si>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</si>
  <si>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</si>
  <si>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</si>
  <si>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</si>
  <si>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</si>
  <si>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</si>
  <si>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</si>
  <si>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</si>
  <si>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</si>
  <si>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</si>
  <si>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</si>
  <si>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</si>
  <si>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</si>
  <si>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</si>
  <si>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</si>
  <si>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</si>
  <si>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</si>
  <si>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</si>
  <si>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</si>
  <si>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</si>
  <si>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</si>
  <si>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</si>
  <si>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</si>
  <si>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</si>
  <si>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</si>
  <si>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</si>
  <si>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</si>
  <si>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</si>
  <si>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</si>
  <si>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</si>
  <si>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</si>
  <si>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</si>
  <si>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</si>
  <si>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</si>
  <si>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</si>
  <si>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</si>
  <si>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</si>
  <si>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</si>
  <si>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</si>
  <si>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</si>
  <si>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</si>
  <si>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</si>
  <si>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</si>
  <si>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</si>
  <si>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</si>
  <si>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MemTable Events</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</si>
  <si>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</si>
  <si>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</si>
  <si>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</si>
  <si>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</si>
  <si>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</si>
  <si>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</si>
  <si>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</si>
  <si>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</si>
  <si>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</si>
  <si>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</si>
  <si>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</si>
  <si>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</si>
  <si>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</si>
  <si>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</si>
  <si>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</si>
  <si>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</si>
  <si>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</si>
  <si>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</si>
  <si>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</si>
  <si>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</si>
  <si>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</si>
  <si>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</si>
  <si>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</si>
  <si>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</si>
  <si>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</si>
  <si>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</si>
  <si>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</si>
  <si>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</si>
  <si>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</si>
  <si>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</si>
  <si>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</si>
  <si>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</si>
  <si>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</si>
  <si>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</si>
  <si>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</si>
  <si>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</si>
  <si>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</si>
  <si>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</si>
  <si>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</si>
  <si>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</si>
  <si>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</si>
  <si>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</si>
  <si>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</si>
  <si>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</si>
  <si>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</si>
  <si>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</si>
  <si>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</si>
  <si>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</si>
  <si>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</si>
  <si>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</si>
  <si>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</si>
  <si>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</si>
  <si>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</si>
  <si>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</si>
  <si>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</si>
  <si>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</si>
  <si>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</si>
  <si>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</si>
  <si>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</si>
  <si>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DC1 Total</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</si>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</sst>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54">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cellXfs>
  <cellStyles count="2">
    <cellStyle name="Normal" xfId="0" builtinId="0"/>
    <cellStyle name="Normal 2" xfId="1"/>
  </cellStyles>
  <dxfs count="430">
    <dxf>
      <numFmt numFmtId="3" formatCode="#,##0"/>
    </dxf>
    <dxf>
      <numFmt numFmtId="3" formatCode="#,##0"/>
    </dxf>
    <dxf>
      <numFmt numFmtId="3" formatCode="#,##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1" formatCode="#,##0.0000"/>
    </dxf>
    <dxf>
      <numFmt numFmtId="4" formatCode="#,##0.00"/>
    </dxf>
    <dxf>
      <numFmt numFmtId="171" formatCode="#,##0.0000"/>
    </dxf>
    <dxf>
      <numFmt numFmtId="4" formatCode="#,##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1" formatCode="#,##0.0000"/>
    </dxf>
    <dxf>
      <alignment wrapText="1" readingOrder="0"/>
    </dxf>
    <dxf>
      <alignment wrapText="1" readingOrder="0"/>
    </dxf>
    <dxf>
      <alignment wrapText="1" readingOrder="0"/>
    </dxf>
    <dxf>
      <alignment wrapText="1" readingOrder="0"/>
    </dxf>
    <dxf>
      <numFmt numFmtId="4" formatCode="#,##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numFmt numFmtId="171" formatCode="#,##0.000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84" Type="http://schemas.microsoft.com/office/2007/relationships/slicerCache" Target="slicerCaches/slicerCache22.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74" Type="http://schemas.microsoft.com/office/2007/relationships/slicerCache" Target="slicerCaches/slicerCache12.xml"/><Relationship Id="rId79" Type="http://schemas.microsoft.com/office/2007/relationships/slicerCache" Target="slicerCaches/slicerCache17.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microsoft.com/office/2007/relationships/slicerCache" Target="slicerCaches/slicerCache2.xml"/><Relationship Id="rId69" Type="http://schemas.microsoft.com/office/2007/relationships/slicerCache" Target="slicerCaches/slicerCache7.xml"/><Relationship Id="rId77" Type="http://schemas.microsoft.com/office/2007/relationships/slicerCache" Target="slicerCaches/slicerCache1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0.xml"/><Relationship Id="rId80" Type="http://schemas.microsoft.com/office/2007/relationships/slicerCache" Target="slicerCaches/slicerCache18.xml"/><Relationship Id="rId85"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7.xml"/><Relationship Id="rId70" Type="http://schemas.microsoft.com/office/2007/relationships/slicerCache" Target="slicerCaches/slicerCache8.xml"/><Relationship Id="rId75" Type="http://schemas.microsoft.com/office/2007/relationships/slicerCache" Target="slicerCaches/slicerCache13.xml"/><Relationship Id="rId83" Type="http://schemas.microsoft.com/office/2007/relationships/slicerCache" Target="slicerCaches/slicerCache21.xml"/><Relationship Id="rId88" Type="http://schemas.openxmlformats.org/officeDocument/2006/relationships/styles" Target="style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microsoft.com/office/2007/relationships/slicerCache" Target="slicerCaches/slicerCache3.xml"/><Relationship Id="rId73" Type="http://schemas.microsoft.com/office/2007/relationships/slicerCache" Target="slicerCaches/slicerCache11.xml"/><Relationship Id="rId78" Type="http://schemas.microsoft.com/office/2007/relationships/slicerCache" Target="slicerCaches/slicerCache16.xml"/><Relationship Id="rId81" Type="http://schemas.microsoft.com/office/2007/relationships/slicerCache" Target="slicerCaches/slicerCache19.xml"/><Relationship Id="rId86" Type="http://schemas.microsoft.com/office/2007/relationships/slicerCache" Target="slicerCaches/slicerCache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4.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4.xml"/><Relationship Id="rId87" Type="http://schemas.openxmlformats.org/officeDocument/2006/relationships/theme" Target="theme/theme1.xml"/><Relationship Id="rId61" Type="http://schemas.openxmlformats.org/officeDocument/2006/relationships/pivotCacheDefinition" Target="pivotCache/pivotCacheDefinition6.xml"/><Relationship Id="rId82" Type="http://schemas.microsoft.com/office/2007/relationships/slicerCache" Target="slicerCaches/slicerCache20.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multiLvlStrRef>
              <c:f>'Log Events State by Node'!$A$8:$A$11</c:f>
              <c:multiLvlStrCache>
                <c:ptCount val="1"/>
                <c:lvl>
                  <c:pt idx="0">
                    <c:v>0.0.0.0</c:v>
                  </c:pt>
                </c:lvl>
                <c:lvl>
                  <c:pt idx="0">
                    <c:v>DC1</c:v>
                  </c:pt>
                </c:lvl>
              </c:multiLvlStrCache>
            </c:multiLvlStrRef>
          </c:cat>
          <c:val>
            <c:numRef>
              <c:f>'Log Events State by Node'!$B$8:$B$11</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94.442738078702" createdVersion="5" refreshedVersion="6" minRefreshableVersion="3" recordCount="3154">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2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950.240146412034" createdVersion="5" refreshedVersion="6" minRefreshableVersion="3" recordCount="182">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3154">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pivotCacheRecords>
</file>

<file path=xl/pivotCache/pivotCacheRecords7.xml><?xml version="1.0" encoding="utf-8"?>
<pivotCacheRecords xmlns="http://schemas.openxmlformats.org/spreadsheetml/2006/main" xmlns:r="http://schemas.openxmlformats.org/officeDocument/2006/relationships"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LatencyMax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Count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Nbr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CntMax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LocalReadCount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Latency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28">
      <pivotArea dataOnly="0" labelOnly="1" outline="0" axis="axisValues" fieldPosition="0"/>
    </format>
    <format dxfId="42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1"/>
    <dataField name="Average SSTables Read" fld="6" subtotal="average"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LatencyMax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Count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Count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CntMaxin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LocalWriteLatency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TMaxTombStonesSlice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TAvgTombStones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TMaxTombStones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NbrTombStonesWarnings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MaxTombStonesSlice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NbrTombStonesWarning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MaxTombStone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AvgNbrTombStone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TSlowQueryOccurrences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2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22">
      <pivotArea collapsedLevelsAreSubtotals="1" fieldPosition="0">
        <references count="2">
          <reference field="4294967294" count="1" selected="0">
            <x v="0"/>
          </reference>
          <reference field="2" count="1">
            <x v="0"/>
          </reference>
        </references>
      </pivotArea>
    </format>
    <format dxfId="42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Events" fld="18" subtotal="count"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19">
      <pivotArea field="3" type="button" dataOnly="0" labelOnly="1" outline="0" axis="axisRow" fieldPosition="1"/>
    </format>
    <format dxfId="418">
      <pivotArea dataOnly="0" labelOnly="1" outline="0" fieldPosition="0">
        <references count="1">
          <reference field="4294967294" count="8">
            <x v="0"/>
            <x v="1"/>
            <x v="2"/>
            <x v="4"/>
            <x v="6"/>
            <x v="11"/>
            <x v="14"/>
            <x v="15"/>
          </reference>
        </references>
      </pivotArea>
    </format>
    <format dxfId="417">
      <pivotArea outline="0" fieldPosition="0">
        <references count="1">
          <reference field="4294967294" count="1">
            <x v="7"/>
          </reference>
        </references>
      </pivotArea>
    </format>
    <format dxfId="416">
      <pivotArea dataOnly="0" labelOnly="1" outline="0" fieldPosition="0">
        <references count="1">
          <reference field="4294967294" count="1">
            <x v="7"/>
          </reference>
        </references>
      </pivotArea>
    </format>
    <format dxfId="415">
      <pivotArea outline="0" fieldPosition="0">
        <references count="1">
          <reference field="4294967294" count="1">
            <x v="3"/>
          </reference>
        </references>
      </pivotArea>
    </format>
    <format dxfId="414">
      <pivotArea outline="0" fieldPosition="0">
        <references count="1">
          <reference field="4294967294" count="1">
            <x v="8"/>
          </reference>
        </references>
      </pivotArea>
    </format>
    <format dxfId="413">
      <pivotArea outline="0" fieldPosition="0">
        <references count="1">
          <reference field="4294967294" count="1">
            <x v="9"/>
          </reference>
        </references>
      </pivotArea>
    </format>
    <format dxfId="412">
      <pivotArea outline="0" fieldPosition="0">
        <references count="1">
          <reference field="4294967294" count="1">
            <x v="10"/>
          </reference>
        </references>
      </pivotArea>
    </format>
    <format dxfId="411">
      <pivotArea outline="0" fieldPosition="0">
        <references count="1">
          <reference field="4294967294" count="1">
            <x v="13"/>
          </reference>
        </references>
      </pivotArea>
    </format>
    <format dxfId="410">
      <pivotArea outline="0" fieldPosition="0">
        <references count="1">
          <reference field="4294967294" count="1">
            <x v="5"/>
          </reference>
        </references>
      </pivotArea>
    </format>
    <format dxfId="409">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TTPReadRepairMax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TTPReadRepairDigestQryNbr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TTPReadRepairDigestQryMax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TTPReadRepairNbr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08">
      <pivotArea field="3" type="button" dataOnly="0" labelOnly="1" outline="0" axis="axisRow" fieldPosition="0"/>
    </format>
    <format dxfId="407">
      <pivotArea dataOnly="0" labelOnly="1" outline="0" fieldPosition="0">
        <references count="1">
          <reference field="4294967294" count="8">
            <x v="0"/>
            <x v="1"/>
            <x v="2"/>
            <x v="4"/>
            <x v="6"/>
            <x v="10"/>
            <x v="13"/>
            <x v="14"/>
          </reference>
        </references>
      </pivotArea>
    </format>
    <format dxfId="406">
      <pivotArea outline="0" fieldPosition="0">
        <references count="1">
          <reference field="4294967294" count="1">
            <x v="5"/>
          </reference>
        </references>
      </pivotArea>
    </format>
    <format dxfId="405">
      <pivotArea outline="0" fieldPosition="0">
        <references count="1">
          <reference field="4294967294" count="1">
            <x v="7"/>
          </reference>
        </references>
      </pivotArea>
    </format>
    <format dxfId="404">
      <pivotArea dataOnly="0" labelOnly="1" outline="0" fieldPosition="0">
        <references count="1">
          <reference field="4294967294" count="1">
            <x v="7"/>
          </reference>
        </references>
      </pivotArea>
    </format>
    <format dxfId="403">
      <pivotArea dataOnly="0" labelOnly="1" outline="0" fieldPosition="0">
        <references count="1">
          <reference field="4294967294" count="1">
            <x v="5"/>
          </reference>
        </references>
      </pivotArea>
    </format>
    <format dxfId="402">
      <pivotArea outline="0" fieldPosition="0">
        <references count="1">
          <reference field="4294967294" count="1">
            <x v="3"/>
          </reference>
        </references>
      </pivotArea>
    </format>
    <format dxfId="401">
      <pivotArea outline="0" fieldPosition="0">
        <references count="1">
          <reference field="4294967294" count="1">
            <x v="9"/>
          </reference>
        </references>
      </pivotArea>
    </format>
    <format dxfId="400">
      <pivotArea outline="0" fieldPosition="0">
        <references count="1">
          <reference field="4294967294" count="1">
            <x v="12"/>
          </reference>
        </references>
      </pivotArea>
    </format>
    <format dxfId="399">
      <pivotArea outline="0" fieldPosition="0">
        <references count="1">
          <reference field="4294967294" count="1">
            <x v="8"/>
          </reference>
        </references>
      </pivotArea>
    </format>
    <format dxfId="398">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87">
      <pivotArea dataOnly="0" labelOnly="1" outline="0" axis="axisValues" fieldPosition="0"/>
    </format>
    <format dxfId="386">
      <pivotArea dataOnly="0" outline="0" axis="axisValues" fieldPosition="0"/>
    </format>
    <format dxfId="38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89">
      <pivotArea dataOnly="0" labelOnly="1" outline="0" fieldPosition="0">
        <references count="1">
          <reference field="4294967294" count="1">
            <x v="0"/>
          </reference>
        </references>
      </pivotArea>
    </format>
    <format dxfId="38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9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9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93">
      <pivotArea dataOnly="0" labelOnly="1" outline="0" fieldPosition="0">
        <references count="1">
          <reference field="4294967294" count="1">
            <x v="0"/>
          </reference>
        </references>
      </pivotArea>
    </format>
    <format dxfId="39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95">
      <pivotArea dataOnly="0" labelOnly="1" outline="0" fieldPosition="0">
        <references count="1">
          <reference field="4294967294" count="1">
            <x v="1"/>
          </reference>
        </references>
      </pivotArea>
    </format>
    <format dxfId="394">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97">
      <pivotArea dataOnly="0" labelOnly="1" outline="0" fieldPosition="0">
        <references count="1">
          <reference field="4294967294" count="1">
            <x v="0"/>
          </reference>
        </references>
      </pivotArea>
    </format>
    <format dxfId="39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2">
      <pivotArea dataOnly="0" labelOnly="1" outline="0" fieldPosition="0">
        <references count="1">
          <reference field="4294967294" count="1">
            <x v="0"/>
          </reference>
        </references>
      </pivotArea>
    </format>
    <format dxfId="37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75">
      <pivotArea dataOnly="0" labelOnly="1" outline="0" axis="axisValues" fieldPosition="0"/>
    </format>
    <format dxfId="374">
      <pivotArea dataOnly="0" outline="0" axis="axisValues" fieldPosition="0"/>
    </format>
    <format dxfId="37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377">
      <pivotArea dataOnly="0" labelOnly="1" outline="0" fieldPosition="0">
        <references count="1">
          <reference field="4294967294" count="1">
            <x v="0"/>
          </reference>
        </references>
      </pivotArea>
    </format>
    <format dxfId="37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7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80">
      <pivotArea dataOnly="0" labelOnly="1" outline="0" fieldPosition="0">
        <references count="1">
          <reference field="4294967294" count="1">
            <x v="1"/>
          </reference>
        </references>
      </pivotArea>
    </format>
    <format dxfId="379">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82">
      <pivotArea dataOnly="0" labelOnly="1" outline="0" fieldPosition="0">
        <references count="1">
          <reference field="4294967294" count="1">
            <x v="0"/>
          </reference>
        </references>
      </pivotArea>
    </format>
    <format dxfId="38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84">
      <pivotArea dataOnly="0" labelOnly="1" outline="0" fieldPosition="0">
        <references count="1">
          <reference field="4294967294" count="1">
            <x v="1"/>
          </reference>
        </references>
      </pivotArea>
    </format>
    <format dxfId="383">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2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2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1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357">
      <pivotArea collapsedLevelsAreSubtotals="1" fieldPosition="0">
        <references count="1">
          <reference field="4" count="1">
            <x v="1"/>
          </reference>
        </references>
      </pivotArea>
    </format>
    <format dxfId="35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364">
      <pivotArea dataOnly="0" labelOnly="1" outline="0" axis="axisValues" fieldPosition="0"/>
    </format>
    <format dxfId="363">
      <pivotArea collapsedLevelsAreSubtotals="1" fieldPosition="0">
        <references count="1">
          <reference field="4" count="1">
            <x v="1"/>
          </reference>
        </references>
      </pivotArea>
    </format>
    <format dxfId="362">
      <pivotArea outline="0" fieldPosition="0">
        <references count="1">
          <reference field="4294967294" count="1">
            <x v="0"/>
          </reference>
        </references>
      </pivotArea>
    </format>
    <format dxfId="361">
      <pivotArea outline="0" fieldPosition="0">
        <references count="1">
          <reference field="4294967294" count="1">
            <x v="3"/>
          </reference>
        </references>
      </pivotArea>
    </format>
    <format dxfId="360">
      <pivotArea outline="0" fieldPosition="0">
        <references count="1">
          <reference field="4294967294" count="1">
            <x v="3"/>
          </reference>
        </references>
      </pivotArea>
    </format>
    <format dxfId="359">
      <pivotArea outline="0" fieldPosition="0">
        <references count="1">
          <reference field="4294967294" count="1">
            <x v="1"/>
          </reference>
        </references>
      </pivotArea>
    </format>
    <format dxfId="358">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370">
      <pivotArea dataOnly="0" labelOnly="1" outline="0" axis="axisValues" fieldPosition="0"/>
    </format>
    <format dxfId="369">
      <pivotArea collapsedLevelsAreSubtotals="1" fieldPosition="0">
        <references count="1">
          <reference field="4" count="1">
            <x v="1"/>
          </reference>
        </references>
      </pivotArea>
    </format>
    <format dxfId="368">
      <pivotArea outline="0" fieldPosition="0">
        <references count="1">
          <reference field="4294967294" count="1">
            <x v="0"/>
          </reference>
        </references>
      </pivotArea>
    </format>
    <format dxfId="367">
      <pivotArea outline="0" fieldPosition="0">
        <references count="1">
          <reference field="4294967294" count="1">
            <x v="3"/>
          </reference>
        </references>
      </pivotArea>
    </format>
    <format dxfId="366">
      <pivotArea outline="0" fieldPosition="0">
        <references count="1">
          <reference field="4294967294" count="1">
            <x v="1"/>
          </reference>
        </references>
      </pivotArea>
    </format>
    <format dxfId="365">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6"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355">
      <pivotArea collapsedLevelsAreSubtotals="1" fieldPosition="0">
        <references count="1">
          <reference field="4" count="1">
            <x v="1"/>
          </reference>
        </references>
      </pivotArea>
    </format>
    <format dxfId="35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1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1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1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353">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6"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50">
      <pivotArea dataOnly="0" labelOnly="1" outline="0" fieldPosition="0">
        <references count="1">
          <reference field="4294967294" count="1">
            <x v="0"/>
          </reference>
        </references>
      </pivotArea>
    </format>
    <format dxfId="34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52">
      <pivotArea dataOnly="0" labelOnly="1" outline="0" fieldPosition="0">
        <references count="1">
          <reference field="4294967294" count="1">
            <x v="0"/>
          </reference>
        </references>
      </pivotArea>
    </format>
    <format dxfId="35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6"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41">
      <pivotArea dataOnly="0" labelOnly="1" outline="0" axis="axisValues" fieldPosition="0"/>
    </format>
    <format dxfId="340">
      <pivotArea dataOnly="0" outline="0" axis="axisValues" fieldPosition="0"/>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3">
      <pivotArea dataOnly="0" labelOnly="1" outline="0" axis="axisValues" fieldPosition="0"/>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45">
      <pivotArea dataOnly="0" labelOnly="1" outline="0" axis="axisValues" fieldPosition="0"/>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8">
      <pivotArea dataOnly="0" labelOnly="1" outline="0" axis="axisValues" fieldPosition="0"/>
    </format>
    <format dxfId="347">
      <pivotArea dataOnly="0" outline="0" axis="axisValues" fieldPosition="0"/>
    </format>
    <format dxfId="34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20">
      <pivotArea dataOnly="0" labelOnly="1" outline="0" fieldPosition="0">
        <references count="1">
          <reference field="4294967294" count="3">
            <x v="3"/>
            <x v="4"/>
            <x v="5"/>
          </reference>
        </references>
      </pivotArea>
    </format>
    <format dxfId="319">
      <pivotArea dataOnly="0" labelOnly="1" outline="0" fieldPosition="0">
        <references count="1">
          <reference field="4294967294" count="3">
            <x v="9"/>
            <x v="10"/>
            <x v="11"/>
          </reference>
        </references>
      </pivotArea>
    </format>
    <format dxfId="318">
      <pivotArea dataOnly="0" labelOnly="1" outline="0" fieldPosition="0">
        <references count="1">
          <reference field="4294967294" count="3">
            <x v="15"/>
            <x v="16"/>
            <x v="17"/>
          </reference>
        </references>
      </pivotArea>
    </format>
    <format dxfId="317">
      <pivotArea field="4" type="button" dataOnly="0" labelOnly="1" outline="0" axis="axisPage" fieldPosition="2"/>
    </format>
    <format dxfId="316">
      <pivotArea dataOnly="0" labelOnly="1" fieldPosition="0">
        <references count="1">
          <reference field="4" count="1">
            <x v="0"/>
          </reference>
        </references>
      </pivotArea>
    </format>
    <format dxfId="315">
      <pivotArea dataOnly="0" labelOnly="1" outline="0" fieldPosition="0">
        <references count="1">
          <reference field="4294967294" count="1">
            <x v="0"/>
          </reference>
        </references>
      </pivotArea>
    </format>
    <format dxfId="314">
      <pivotArea field="4" type="button" dataOnly="0" labelOnly="1" outline="0" axis="axisPage" fieldPosition="2"/>
    </format>
    <format dxfId="313">
      <pivotArea field="2" type="button" dataOnly="0" labelOnly="1" outline="0" axis="axisRow" fieldPosition="0"/>
    </format>
    <format dxfId="312">
      <pivotArea dataOnly="0" labelOnly="1" fieldPosition="0">
        <references count="1">
          <reference field="2" count="1">
            <x v="0"/>
          </reference>
        </references>
      </pivotArea>
    </format>
    <format dxfId="311">
      <pivotArea dataOnly="0" labelOnly="1" grandRow="1" outline="0" fieldPosition="0"/>
    </format>
    <format dxfId="310">
      <pivotArea outline="0" collapsedLevelsAreSubtotals="1" fieldPosition="0">
        <references count="1">
          <reference field="4294967294" count="1" selected="0">
            <x v="3"/>
          </reference>
        </references>
      </pivotArea>
    </format>
    <format dxfId="309">
      <pivotArea dataOnly="0" labelOnly="1" outline="0" fieldPosition="0">
        <references count="1">
          <reference field="4294967294" count="1">
            <x v="3"/>
          </reference>
        </references>
      </pivotArea>
    </format>
    <format dxfId="308">
      <pivotArea outline="0" collapsedLevelsAreSubtotals="1" fieldPosition="0">
        <references count="1">
          <reference field="4294967294" count="1" selected="0">
            <x v="6"/>
          </reference>
        </references>
      </pivotArea>
    </format>
    <format dxfId="307">
      <pivotArea dataOnly="0" labelOnly="1" outline="0" fieldPosition="0">
        <references count="1">
          <reference field="4294967294" count="1">
            <x v="6"/>
          </reference>
        </references>
      </pivotArea>
    </format>
    <format dxfId="306">
      <pivotArea outline="0" collapsedLevelsAreSubtotals="1" fieldPosition="0">
        <references count="1">
          <reference field="4294967294" count="1" selected="0">
            <x v="9"/>
          </reference>
        </references>
      </pivotArea>
    </format>
    <format dxfId="305">
      <pivotArea dataOnly="0" labelOnly="1" outline="0" fieldPosition="0">
        <references count="1">
          <reference field="4294967294" count="1">
            <x v="9"/>
          </reference>
        </references>
      </pivotArea>
    </format>
    <format dxfId="304">
      <pivotArea outline="0" collapsedLevelsAreSubtotals="1" fieldPosition="0">
        <references count="1">
          <reference field="4294967294" count="1" selected="0">
            <x v="12"/>
          </reference>
        </references>
      </pivotArea>
    </format>
    <format dxfId="303">
      <pivotArea dataOnly="0" labelOnly="1" outline="0" fieldPosition="0">
        <references count="1">
          <reference field="4294967294" count="1">
            <x v="12"/>
          </reference>
        </references>
      </pivotArea>
    </format>
    <format dxfId="302">
      <pivotArea outline="0" collapsedLevelsAreSubtotals="1" fieldPosition="0">
        <references count="1">
          <reference field="4294967294" count="1" selected="0">
            <x v="15"/>
          </reference>
        </references>
      </pivotArea>
    </format>
    <format dxfId="301">
      <pivotArea dataOnly="0" labelOnly="1" outline="0" fieldPosition="0">
        <references count="1">
          <reference field="4294967294" count="1">
            <x v="15"/>
          </reference>
        </references>
      </pivotArea>
    </format>
    <format dxfId="300">
      <pivotArea outline="0" collapsedLevelsAreSubtotals="1" fieldPosition="0">
        <references count="1">
          <reference field="4294967294" count="1" selected="0">
            <x v="17"/>
          </reference>
        </references>
      </pivotArea>
    </format>
    <format dxfId="299">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38">
      <pivotArea outline="0" collapsedLevelsAreSubtotals="1" fieldPosition="0">
        <references count="1">
          <reference field="4294967294" count="1" selected="0">
            <x v="3"/>
          </reference>
        </references>
      </pivotArea>
    </format>
    <format dxfId="337">
      <pivotArea dataOnly="0" labelOnly="1" outline="0" fieldPosition="0">
        <references count="1">
          <reference field="4294967294" count="1">
            <x v="3"/>
          </reference>
        </references>
      </pivotArea>
    </format>
    <format dxfId="336">
      <pivotArea outline="0" collapsedLevelsAreSubtotals="1" fieldPosition="0">
        <references count="1">
          <reference field="4294967294" count="1" selected="0">
            <x v="6"/>
          </reference>
        </references>
      </pivotArea>
    </format>
    <format dxfId="335">
      <pivotArea dataOnly="0" labelOnly="1" outline="0" fieldPosition="0">
        <references count="1">
          <reference field="4294967294" count="1">
            <x v="6"/>
          </reference>
        </references>
      </pivotArea>
    </format>
    <format dxfId="334">
      <pivotArea outline="0" collapsedLevelsAreSubtotals="1" fieldPosition="0">
        <references count="1">
          <reference field="4294967294" count="1" selected="0">
            <x v="9"/>
          </reference>
        </references>
      </pivotArea>
    </format>
    <format dxfId="333">
      <pivotArea dataOnly="0" labelOnly="1" outline="0" fieldPosition="0">
        <references count="1">
          <reference field="4294967294" count="1">
            <x v="9"/>
          </reference>
        </references>
      </pivotArea>
    </format>
    <format dxfId="332">
      <pivotArea outline="0" collapsedLevelsAreSubtotals="1" fieldPosition="0">
        <references count="1">
          <reference field="4294967294" count="1" selected="0">
            <x v="12"/>
          </reference>
        </references>
      </pivotArea>
    </format>
    <format dxfId="331">
      <pivotArea dataOnly="0" labelOnly="1" outline="0" fieldPosition="0">
        <references count="1">
          <reference field="4294967294" count="1">
            <x v="12"/>
          </reference>
        </references>
      </pivotArea>
    </format>
    <format dxfId="330">
      <pivotArea outline="0" collapsedLevelsAreSubtotals="1" fieldPosition="0">
        <references count="1">
          <reference field="4294967294" count="1" selected="0">
            <x v="15"/>
          </reference>
        </references>
      </pivotArea>
    </format>
    <format dxfId="329">
      <pivotArea dataOnly="0" labelOnly="1" outline="0" fieldPosition="0">
        <references count="1">
          <reference field="4294967294" count="1">
            <x v="15"/>
          </reference>
        </references>
      </pivotArea>
    </format>
    <format dxfId="328">
      <pivotArea dataOnly="0" labelOnly="1" outline="0" fieldPosition="0">
        <references count="1">
          <reference field="4294967294" count="3">
            <x v="3"/>
            <x v="4"/>
            <x v="5"/>
          </reference>
        </references>
      </pivotArea>
    </format>
    <format dxfId="327">
      <pivotArea dataOnly="0" labelOnly="1" outline="0" fieldPosition="0">
        <references count="1">
          <reference field="4294967294" count="3">
            <x v="9"/>
            <x v="10"/>
            <x v="11"/>
          </reference>
        </references>
      </pivotArea>
    </format>
    <format dxfId="326">
      <pivotArea dataOnly="0" labelOnly="1" outline="0" fieldPosition="0">
        <references count="1">
          <reference field="4294967294" count="3">
            <x v="15"/>
            <x v="16"/>
            <x v="17"/>
          </reference>
        </references>
      </pivotArea>
    </format>
    <format dxfId="325">
      <pivotArea field="4" type="button" dataOnly="0" labelOnly="1" outline="0" axis="axisRow" fieldPosition="1"/>
    </format>
    <format dxfId="324">
      <pivotArea dataOnly="0" labelOnly="1" fieldPosition="0">
        <references count="1">
          <reference field="4" count="1">
            <x v="0"/>
          </reference>
        </references>
      </pivotArea>
    </format>
    <format dxfId="323">
      <pivotArea dataOnly="0" labelOnly="1" grandRow="1" outline="0" fieldPosition="0"/>
    </format>
    <format dxfId="322">
      <pivotArea dataOnly="0" labelOnly="1" outline="0" fieldPosition="0">
        <references count="1">
          <reference field="4294967294" count="1">
            <x v="0"/>
          </reference>
        </references>
      </pivotArea>
    </format>
    <format dxfId="321">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62">
      <pivotArea dataOnly="0" labelOnly="1" outline="0" fieldPosition="0">
        <references count="1">
          <reference field="4294967294" count="3">
            <x v="3"/>
            <x v="4"/>
            <x v="5"/>
          </reference>
        </references>
      </pivotArea>
    </format>
    <format dxfId="261">
      <pivotArea dataOnly="0" labelOnly="1" outline="0" fieldPosition="0">
        <references count="1">
          <reference field="4294967294" count="3">
            <x v="9"/>
            <x v="10"/>
            <x v="11"/>
          </reference>
        </references>
      </pivotArea>
    </format>
    <format dxfId="260">
      <pivotArea dataOnly="0" labelOnly="1" outline="0" fieldPosition="0">
        <references count="1">
          <reference field="4294967294" count="3">
            <x v="15"/>
            <x v="16"/>
            <x v="17"/>
          </reference>
        </references>
      </pivotArea>
    </format>
    <format dxfId="259">
      <pivotArea field="4" type="button" dataOnly="0" labelOnly="1" outline="0" axis="axisPage" fieldPosition="2"/>
    </format>
    <format dxfId="258">
      <pivotArea dataOnly="0" labelOnly="1" fieldPosition="0">
        <references count="1">
          <reference field="4" count="1">
            <x v="0"/>
          </reference>
        </references>
      </pivotArea>
    </format>
    <format dxfId="257">
      <pivotArea dataOnly="0" labelOnly="1" outline="0" fieldPosition="0">
        <references count="1">
          <reference field="4294967294" count="1">
            <x v="0"/>
          </reference>
        </references>
      </pivotArea>
    </format>
    <format dxfId="256">
      <pivotArea field="4" type="button" dataOnly="0" labelOnly="1" outline="0" axis="axisPage" fieldPosition="2"/>
    </format>
    <format dxfId="255">
      <pivotArea field="2" type="button" dataOnly="0" labelOnly="1" outline="0" axis="axisRow" fieldPosition="0"/>
    </format>
    <format dxfId="254">
      <pivotArea dataOnly="0" labelOnly="1" fieldPosition="0">
        <references count="1">
          <reference field="2" count="1">
            <x v="0"/>
          </reference>
        </references>
      </pivotArea>
    </format>
    <format dxfId="253">
      <pivotArea dataOnly="0" labelOnly="1" grandRow="1" outline="0" fieldPosition="0"/>
    </format>
    <format dxfId="252">
      <pivotArea outline="0" collapsedLevelsAreSubtotals="1" fieldPosition="0">
        <references count="1">
          <reference field="4294967294" count="1" selected="0">
            <x v="3"/>
          </reference>
        </references>
      </pivotArea>
    </format>
    <format dxfId="251">
      <pivotArea dataOnly="0" labelOnly="1" outline="0" fieldPosition="0">
        <references count="1">
          <reference field="4294967294" count="1">
            <x v="3"/>
          </reference>
        </references>
      </pivotArea>
    </format>
    <format dxfId="250">
      <pivotArea outline="0" collapsedLevelsAreSubtotals="1" fieldPosition="0">
        <references count="1">
          <reference field="4294967294" count="1" selected="0">
            <x v="6"/>
          </reference>
        </references>
      </pivotArea>
    </format>
    <format dxfId="249">
      <pivotArea dataOnly="0" labelOnly="1" outline="0" fieldPosition="0">
        <references count="1">
          <reference field="4294967294" count="1">
            <x v="6"/>
          </reference>
        </references>
      </pivotArea>
    </format>
    <format dxfId="248">
      <pivotArea outline="0" collapsedLevelsAreSubtotals="1" fieldPosition="0">
        <references count="1">
          <reference field="4294967294" count="1" selected="0">
            <x v="9"/>
          </reference>
        </references>
      </pivotArea>
    </format>
    <format dxfId="247">
      <pivotArea dataOnly="0" labelOnly="1" outline="0" fieldPosition="0">
        <references count="1">
          <reference field="4294967294" count="1">
            <x v="9"/>
          </reference>
        </references>
      </pivotArea>
    </format>
    <format dxfId="246">
      <pivotArea outline="0" collapsedLevelsAreSubtotals="1" fieldPosition="0">
        <references count="1">
          <reference field="4294967294" count="1" selected="0">
            <x v="12"/>
          </reference>
        </references>
      </pivotArea>
    </format>
    <format dxfId="245">
      <pivotArea dataOnly="0" labelOnly="1" outline="0" fieldPosition="0">
        <references count="1">
          <reference field="4294967294" count="1">
            <x v="12"/>
          </reference>
        </references>
      </pivotArea>
    </format>
    <format dxfId="244">
      <pivotArea outline="0" collapsedLevelsAreSubtotals="1" fieldPosition="0">
        <references count="1">
          <reference field="4294967294" count="1" selected="0">
            <x v="15"/>
          </reference>
        </references>
      </pivotArea>
    </format>
    <format dxfId="243">
      <pivotArea dataOnly="0" labelOnly="1" outline="0" fieldPosition="0">
        <references count="1">
          <reference field="4294967294" count="1">
            <x v="15"/>
          </reference>
        </references>
      </pivotArea>
    </format>
    <format dxfId="242">
      <pivotArea outline="0" collapsedLevelsAreSubtotals="1" fieldPosition="0">
        <references count="1">
          <reference field="4294967294" count="1" selected="0">
            <x v="17"/>
          </reference>
        </references>
      </pivotArea>
    </format>
    <format dxfId="241">
      <pivotArea dataOnly="0" labelOnly="1" outline="0" fieldPosition="0">
        <references count="1">
          <reference field="4294967294" count="1">
            <x v="17"/>
          </reference>
        </references>
      </pivotArea>
    </format>
    <format dxfId="240">
      <pivotArea outline="0" fieldPosition="0">
        <references count="1">
          <reference field="4294967294" count="1">
            <x v="0"/>
          </reference>
        </references>
      </pivotArea>
    </format>
    <format dxfId="239">
      <pivotArea outline="0" fieldPosition="0">
        <references count="1">
          <reference field="4294967294" count="1">
            <x v="1"/>
          </reference>
        </references>
      </pivotArea>
    </format>
    <format dxfId="238">
      <pivotArea outline="0" fieldPosition="0">
        <references count="1">
          <reference field="4294967294" count="1">
            <x v="2"/>
          </reference>
        </references>
      </pivotArea>
    </format>
    <format dxfId="237">
      <pivotArea outline="0" fieldPosition="0">
        <references count="1">
          <reference field="4294967294" count="1">
            <x v="3"/>
          </reference>
        </references>
      </pivotArea>
    </format>
    <format dxfId="236">
      <pivotArea outline="0" fieldPosition="0">
        <references count="1">
          <reference field="4294967294" count="1">
            <x v="4"/>
          </reference>
        </references>
      </pivotArea>
    </format>
    <format dxfId="235">
      <pivotArea outline="0" fieldPosition="0">
        <references count="1">
          <reference field="4294967294" count="1">
            <x v="5"/>
          </reference>
        </references>
      </pivotArea>
    </format>
    <format dxfId="234">
      <pivotArea outline="0" fieldPosition="0">
        <references count="1">
          <reference field="4294967294" count="1">
            <x v="6"/>
          </reference>
        </references>
      </pivotArea>
    </format>
    <format dxfId="233">
      <pivotArea outline="0" fieldPosition="0">
        <references count="1">
          <reference field="4294967294" count="1">
            <x v="7"/>
          </reference>
        </references>
      </pivotArea>
    </format>
    <format dxfId="232">
      <pivotArea outline="0" fieldPosition="0">
        <references count="1">
          <reference field="4294967294" count="1">
            <x v="8"/>
          </reference>
        </references>
      </pivotArea>
    </format>
    <format dxfId="231">
      <pivotArea outline="0" fieldPosition="0">
        <references count="1">
          <reference field="4294967294" count="1">
            <x v="9"/>
          </reference>
        </references>
      </pivotArea>
    </format>
    <format dxfId="230">
      <pivotArea outline="0" fieldPosition="0">
        <references count="1">
          <reference field="4294967294" count="1">
            <x v="10"/>
          </reference>
        </references>
      </pivotArea>
    </format>
    <format dxfId="229">
      <pivotArea outline="0" fieldPosition="0">
        <references count="1">
          <reference field="4294967294" count="1">
            <x v="11"/>
          </reference>
        </references>
      </pivotArea>
    </format>
    <format dxfId="228">
      <pivotArea outline="0" fieldPosition="0">
        <references count="1">
          <reference field="4294967294" count="1">
            <x v="12"/>
          </reference>
        </references>
      </pivotArea>
    </format>
    <format dxfId="227">
      <pivotArea outline="0" fieldPosition="0">
        <references count="1">
          <reference field="4294967294" count="1">
            <x v="13"/>
          </reference>
        </references>
      </pivotArea>
    </format>
    <format dxfId="226">
      <pivotArea outline="0" fieldPosition="0">
        <references count="1">
          <reference field="4294967294" count="1">
            <x v="14"/>
          </reference>
        </references>
      </pivotArea>
    </format>
    <format dxfId="225">
      <pivotArea outline="0" fieldPosition="0">
        <references count="1">
          <reference field="4294967294" count="1">
            <x v="15"/>
          </reference>
        </references>
      </pivotArea>
    </format>
    <format dxfId="224">
      <pivotArea outline="0" fieldPosition="0">
        <references count="1">
          <reference field="4294967294" count="1">
            <x v="16"/>
          </reference>
        </references>
      </pivotArea>
    </format>
    <format dxfId="223">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98">
      <pivotArea outline="0" collapsedLevelsAreSubtotals="1" fieldPosition="0">
        <references count="1">
          <reference field="4294967294" count="1" selected="0">
            <x v="3"/>
          </reference>
        </references>
      </pivotArea>
    </format>
    <format dxfId="297">
      <pivotArea dataOnly="0" labelOnly="1" outline="0" fieldPosition="0">
        <references count="1">
          <reference field="4294967294" count="1">
            <x v="3"/>
          </reference>
        </references>
      </pivotArea>
    </format>
    <format dxfId="296">
      <pivotArea outline="0" collapsedLevelsAreSubtotals="1" fieldPosition="0">
        <references count="1">
          <reference field="4294967294" count="1" selected="0">
            <x v="6"/>
          </reference>
        </references>
      </pivotArea>
    </format>
    <format dxfId="295">
      <pivotArea dataOnly="0" labelOnly="1" outline="0" fieldPosition="0">
        <references count="1">
          <reference field="4294967294" count="1">
            <x v="6"/>
          </reference>
        </references>
      </pivotArea>
    </format>
    <format dxfId="294">
      <pivotArea outline="0" collapsedLevelsAreSubtotals="1" fieldPosition="0">
        <references count="1">
          <reference field="4294967294" count="1" selected="0">
            <x v="9"/>
          </reference>
        </references>
      </pivotArea>
    </format>
    <format dxfId="293">
      <pivotArea dataOnly="0" labelOnly="1" outline="0" fieldPosition="0">
        <references count="1">
          <reference field="4294967294" count="1">
            <x v="9"/>
          </reference>
        </references>
      </pivotArea>
    </format>
    <format dxfId="292">
      <pivotArea outline="0" collapsedLevelsAreSubtotals="1" fieldPosition="0">
        <references count="1">
          <reference field="4294967294" count="1" selected="0">
            <x v="12"/>
          </reference>
        </references>
      </pivotArea>
    </format>
    <format dxfId="291">
      <pivotArea dataOnly="0" labelOnly="1" outline="0" fieldPosition="0">
        <references count="1">
          <reference field="4294967294" count="1">
            <x v="12"/>
          </reference>
        </references>
      </pivotArea>
    </format>
    <format dxfId="290">
      <pivotArea outline="0" collapsedLevelsAreSubtotals="1" fieldPosition="0">
        <references count="1">
          <reference field="4294967294" count="1" selected="0">
            <x v="15"/>
          </reference>
        </references>
      </pivotArea>
    </format>
    <format dxfId="289">
      <pivotArea dataOnly="0" labelOnly="1" outline="0" fieldPosition="0">
        <references count="1">
          <reference field="4294967294" count="1">
            <x v="15"/>
          </reference>
        </references>
      </pivotArea>
    </format>
    <format dxfId="288">
      <pivotArea dataOnly="0" labelOnly="1" outline="0" fieldPosition="0">
        <references count="1">
          <reference field="4294967294" count="3">
            <x v="3"/>
            <x v="4"/>
            <x v="5"/>
          </reference>
        </references>
      </pivotArea>
    </format>
    <format dxfId="287">
      <pivotArea dataOnly="0" labelOnly="1" outline="0" fieldPosition="0">
        <references count="1">
          <reference field="4294967294" count="3">
            <x v="9"/>
            <x v="10"/>
            <x v="11"/>
          </reference>
        </references>
      </pivotArea>
    </format>
    <format dxfId="286">
      <pivotArea dataOnly="0" labelOnly="1" outline="0" fieldPosition="0">
        <references count="1">
          <reference field="4294967294" count="3">
            <x v="15"/>
            <x v="16"/>
            <x v="17"/>
          </reference>
        </references>
      </pivotArea>
    </format>
    <format dxfId="285">
      <pivotArea field="4" type="button" dataOnly="0" labelOnly="1" outline="0" axis="axisRow" fieldPosition="1"/>
    </format>
    <format dxfId="284">
      <pivotArea dataOnly="0" labelOnly="1" fieldPosition="0">
        <references count="1">
          <reference field="4" count="1">
            <x v="0"/>
          </reference>
        </references>
      </pivotArea>
    </format>
    <format dxfId="283">
      <pivotArea dataOnly="0" labelOnly="1" grandRow="1" outline="0" fieldPosition="0"/>
    </format>
    <format dxfId="282">
      <pivotArea dataOnly="0" labelOnly="1" outline="0" fieldPosition="0">
        <references count="1">
          <reference field="4294967294" count="1">
            <x v="0"/>
          </reference>
        </references>
      </pivotArea>
    </format>
    <format dxfId="281">
      <pivotArea field="4" type="button" dataOnly="0" labelOnly="1" outline="0" axis="axisRow" fieldPosition="1"/>
    </format>
    <format dxfId="280">
      <pivotArea outline="0" fieldPosition="0">
        <references count="1">
          <reference field="4294967294" count="1">
            <x v="0"/>
          </reference>
        </references>
      </pivotArea>
    </format>
    <format dxfId="279">
      <pivotArea outline="0" fieldPosition="0">
        <references count="1">
          <reference field="4294967294" count="1">
            <x v="1"/>
          </reference>
        </references>
      </pivotArea>
    </format>
    <format dxfId="278">
      <pivotArea outline="0" fieldPosition="0">
        <references count="1">
          <reference field="4294967294" count="1">
            <x v="2"/>
          </reference>
        </references>
      </pivotArea>
    </format>
    <format dxfId="277">
      <pivotArea outline="0" fieldPosition="0">
        <references count="1">
          <reference field="4294967294" count="1">
            <x v="3"/>
          </reference>
        </references>
      </pivotArea>
    </format>
    <format dxfId="276">
      <pivotArea outline="0" fieldPosition="0">
        <references count="1">
          <reference field="4294967294" count="1">
            <x v="4"/>
          </reference>
        </references>
      </pivotArea>
    </format>
    <format dxfId="275">
      <pivotArea outline="0" fieldPosition="0">
        <references count="1">
          <reference field="4294967294" count="1">
            <x v="5"/>
          </reference>
        </references>
      </pivotArea>
    </format>
    <format dxfId="274">
      <pivotArea outline="0" fieldPosition="0">
        <references count="1">
          <reference field="4294967294" count="1">
            <x v="6"/>
          </reference>
        </references>
      </pivotArea>
    </format>
    <format dxfId="273">
      <pivotArea outline="0" fieldPosition="0">
        <references count="1">
          <reference field="4294967294" count="1">
            <x v="7"/>
          </reference>
        </references>
      </pivotArea>
    </format>
    <format dxfId="272">
      <pivotArea outline="0" fieldPosition="0">
        <references count="1">
          <reference field="4294967294" count="1">
            <x v="8"/>
          </reference>
        </references>
      </pivotArea>
    </format>
    <format dxfId="271">
      <pivotArea outline="0" fieldPosition="0">
        <references count="1">
          <reference field="4294967294" count="1">
            <x v="9"/>
          </reference>
        </references>
      </pivotArea>
    </format>
    <format dxfId="270">
      <pivotArea outline="0" fieldPosition="0">
        <references count="1">
          <reference field="4294967294" count="1">
            <x v="10"/>
          </reference>
        </references>
      </pivotArea>
    </format>
    <format dxfId="269">
      <pivotArea outline="0" fieldPosition="0">
        <references count="1">
          <reference field="4294967294" count="1">
            <x v="11"/>
          </reference>
        </references>
      </pivotArea>
    </format>
    <format dxfId="268">
      <pivotArea outline="0" fieldPosition="0">
        <references count="1">
          <reference field="4294967294" count="1">
            <x v="12"/>
          </reference>
        </references>
      </pivotArea>
    </format>
    <format dxfId="267">
      <pivotArea outline="0" fieldPosition="0">
        <references count="1">
          <reference field="4294967294" count="1">
            <x v="13"/>
          </reference>
        </references>
      </pivotArea>
    </format>
    <format dxfId="266">
      <pivotArea outline="0" fieldPosition="0">
        <references count="1">
          <reference field="4294967294" count="1">
            <x v="14"/>
          </reference>
        </references>
      </pivotArea>
    </format>
    <format dxfId="265">
      <pivotArea outline="0" fieldPosition="0">
        <references count="1">
          <reference field="4294967294" count="1">
            <x v="15"/>
          </reference>
        </references>
      </pivotArea>
    </format>
    <format dxfId="264">
      <pivotArea outline="0" fieldPosition="0">
        <references count="1">
          <reference field="4294967294" count="1">
            <x v="16"/>
          </reference>
        </references>
      </pivotArea>
    </format>
    <format dxfId="263">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4">
      <pivotArea dataOnly="0" labelOnly="1" outline="0" fieldPosition="0">
        <references count="1">
          <reference field="4294967294" count="3">
            <x v="3"/>
            <x v="4"/>
            <x v="5"/>
          </reference>
        </references>
      </pivotArea>
    </format>
    <format dxfId="203">
      <pivotArea dataOnly="0" labelOnly="1" outline="0" fieldPosition="0">
        <references count="1">
          <reference field="4294967294" count="3">
            <x v="9"/>
            <x v="10"/>
            <x v="11"/>
          </reference>
        </references>
      </pivotArea>
    </format>
    <format dxfId="202">
      <pivotArea dataOnly="0" labelOnly="1" outline="0" fieldPosition="0">
        <references count="1">
          <reference field="4294967294" count="3">
            <x v="15"/>
            <x v="16"/>
            <x v="17"/>
          </reference>
        </references>
      </pivotArea>
    </format>
    <format dxfId="201">
      <pivotArea field="4" type="button" dataOnly="0" labelOnly="1" outline="0" axis="axisPage" fieldPosition="2"/>
    </format>
    <format dxfId="200">
      <pivotArea dataOnly="0" labelOnly="1" fieldPosition="0">
        <references count="1">
          <reference field="4" count="1">
            <x v="0"/>
          </reference>
        </references>
      </pivotArea>
    </format>
    <format dxfId="199">
      <pivotArea dataOnly="0" labelOnly="1" outline="0" fieldPosition="0">
        <references count="1">
          <reference field="4294967294" count="1">
            <x v="0"/>
          </reference>
        </references>
      </pivotArea>
    </format>
    <format dxfId="198">
      <pivotArea field="4" type="button" dataOnly="0" labelOnly="1" outline="0" axis="axisPage" fieldPosition="2"/>
    </format>
    <format dxfId="197">
      <pivotArea field="2" type="button" dataOnly="0" labelOnly="1" outline="0" axis="axisRow" fieldPosition="0"/>
    </format>
    <format dxfId="196">
      <pivotArea dataOnly="0" labelOnly="1" fieldPosition="0">
        <references count="1">
          <reference field="2" count="1">
            <x v="0"/>
          </reference>
        </references>
      </pivotArea>
    </format>
    <format dxfId="195">
      <pivotArea dataOnly="0" labelOnly="1" grandRow="1" outline="0" fieldPosition="0"/>
    </format>
    <format dxfId="194">
      <pivotArea outline="0" collapsedLevelsAreSubtotals="1" fieldPosition="0">
        <references count="1">
          <reference field="4294967294" count="1" selected="0">
            <x v="3"/>
          </reference>
        </references>
      </pivotArea>
    </format>
    <format dxfId="193">
      <pivotArea dataOnly="0" labelOnly="1" outline="0" fieldPosition="0">
        <references count="1">
          <reference field="4294967294" count="1">
            <x v="3"/>
          </reference>
        </references>
      </pivotArea>
    </format>
    <format dxfId="192">
      <pivotArea outline="0" collapsedLevelsAreSubtotals="1" fieldPosition="0">
        <references count="1">
          <reference field="4294967294" count="1" selected="0">
            <x v="6"/>
          </reference>
        </references>
      </pivotArea>
    </format>
    <format dxfId="191">
      <pivotArea dataOnly="0" labelOnly="1" outline="0" fieldPosition="0">
        <references count="1">
          <reference field="4294967294" count="1">
            <x v="6"/>
          </reference>
        </references>
      </pivotArea>
    </format>
    <format dxfId="190">
      <pivotArea outline="0" collapsedLevelsAreSubtotals="1" fieldPosition="0">
        <references count="1">
          <reference field="4294967294" count="1" selected="0">
            <x v="9"/>
          </reference>
        </references>
      </pivotArea>
    </format>
    <format dxfId="189">
      <pivotArea dataOnly="0" labelOnly="1" outline="0" fieldPosition="0">
        <references count="1">
          <reference field="4294967294" count="1">
            <x v="9"/>
          </reference>
        </references>
      </pivotArea>
    </format>
    <format dxfId="188">
      <pivotArea outline="0" collapsedLevelsAreSubtotals="1" fieldPosition="0">
        <references count="1">
          <reference field="4294967294" count="1" selected="0">
            <x v="12"/>
          </reference>
        </references>
      </pivotArea>
    </format>
    <format dxfId="187">
      <pivotArea dataOnly="0" labelOnly="1" outline="0" fieldPosition="0">
        <references count="1">
          <reference field="4294967294" count="1">
            <x v="12"/>
          </reference>
        </references>
      </pivotArea>
    </format>
    <format dxfId="186">
      <pivotArea outline="0" collapsedLevelsAreSubtotals="1" fieldPosition="0">
        <references count="1">
          <reference field="4294967294" count="1" selected="0">
            <x v="15"/>
          </reference>
        </references>
      </pivotArea>
    </format>
    <format dxfId="185">
      <pivotArea dataOnly="0" labelOnly="1" outline="0" fieldPosition="0">
        <references count="1">
          <reference field="4294967294" count="1">
            <x v="15"/>
          </reference>
        </references>
      </pivotArea>
    </format>
    <format dxfId="184">
      <pivotArea outline="0" collapsedLevelsAreSubtotals="1" fieldPosition="0">
        <references count="1">
          <reference field="4294967294" count="1" selected="0">
            <x v="17"/>
          </reference>
        </references>
      </pivotArea>
    </format>
    <format dxfId="183">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22">
      <pivotArea outline="0" collapsedLevelsAreSubtotals="1" fieldPosition="0">
        <references count="1">
          <reference field="4294967294" count="1" selected="0">
            <x v="3"/>
          </reference>
        </references>
      </pivotArea>
    </format>
    <format dxfId="221">
      <pivotArea dataOnly="0" labelOnly="1" outline="0" fieldPosition="0">
        <references count="1">
          <reference field="4294967294" count="1">
            <x v="3"/>
          </reference>
        </references>
      </pivotArea>
    </format>
    <format dxfId="220">
      <pivotArea outline="0" collapsedLevelsAreSubtotals="1" fieldPosition="0">
        <references count="1">
          <reference field="4294967294" count="1" selected="0">
            <x v="6"/>
          </reference>
        </references>
      </pivotArea>
    </format>
    <format dxfId="219">
      <pivotArea dataOnly="0" labelOnly="1" outline="0" fieldPosition="0">
        <references count="1">
          <reference field="4294967294" count="1">
            <x v="6"/>
          </reference>
        </references>
      </pivotArea>
    </format>
    <format dxfId="218">
      <pivotArea outline="0" collapsedLevelsAreSubtotals="1" fieldPosition="0">
        <references count="1">
          <reference field="4294967294" count="1" selected="0">
            <x v="9"/>
          </reference>
        </references>
      </pivotArea>
    </format>
    <format dxfId="217">
      <pivotArea dataOnly="0" labelOnly="1" outline="0" fieldPosition="0">
        <references count="1">
          <reference field="4294967294" count="1">
            <x v="9"/>
          </reference>
        </references>
      </pivotArea>
    </format>
    <format dxfId="216">
      <pivotArea outline="0" collapsedLevelsAreSubtotals="1" fieldPosition="0">
        <references count="1">
          <reference field="4294967294" count="1" selected="0">
            <x v="12"/>
          </reference>
        </references>
      </pivotArea>
    </format>
    <format dxfId="215">
      <pivotArea dataOnly="0" labelOnly="1" outline="0" fieldPosition="0">
        <references count="1">
          <reference field="4294967294" count="1">
            <x v="12"/>
          </reference>
        </references>
      </pivotArea>
    </format>
    <format dxfId="214">
      <pivotArea outline="0" collapsedLevelsAreSubtotals="1" fieldPosition="0">
        <references count="1">
          <reference field="4294967294" count="1" selected="0">
            <x v="15"/>
          </reference>
        </references>
      </pivotArea>
    </format>
    <format dxfId="213">
      <pivotArea dataOnly="0" labelOnly="1" outline="0" fieldPosition="0">
        <references count="1">
          <reference field="4294967294" count="1">
            <x v="15"/>
          </reference>
        </references>
      </pivotArea>
    </format>
    <format dxfId="212">
      <pivotArea dataOnly="0" labelOnly="1" outline="0" fieldPosition="0">
        <references count="1">
          <reference field="4294967294" count="3">
            <x v="3"/>
            <x v="4"/>
            <x v="5"/>
          </reference>
        </references>
      </pivotArea>
    </format>
    <format dxfId="211">
      <pivotArea dataOnly="0" labelOnly="1" outline="0" fieldPosition="0">
        <references count="1">
          <reference field="4294967294" count="3">
            <x v="9"/>
            <x v="10"/>
            <x v="11"/>
          </reference>
        </references>
      </pivotArea>
    </format>
    <format dxfId="210">
      <pivotArea dataOnly="0" labelOnly="1" outline="0" fieldPosition="0">
        <references count="1">
          <reference field="4294967294" count="3">
            <x v="15"/>
            <x v="16"/>
            <x v="17"/>
          </reference>
        </references>
      </pivotArea>
    </format>
    <format dxfId="209">
      <pivotArea field="4" type="button" dataOnly="0" labelOnly="1" outline="0" axis="axisRow" fieldPosition="1"/>
    </format>
    <format dxfId="208">
      <pivotArea dataOnly="0" labelOnly="1" fieldPosition="0">
        <references count="1">
          <reference field="4" count="1">
            <x v="0"/>
          </reference>
        </references>
      </pivotArea>
    </format>
    <format dxfId="207">
      <pivotArea dataOnly="0" labelOnly="1" grandRow="1" outline="0" fieldPosition="0"/>
    </format>
    <format dxfId="206">
      <pivotArea dataOnly="0" labelOnly="1" outline="0" fieldPosition="0">
        <references count="1">
          <reference field="4294967294" count="1">
            <x v="0"/>
          </reference>
        </references>
      </pivotArea>
    </format>
    <format dxfId="205">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6">
      <pivotArea dataOnly="0" labelOnly="1" outline="0" fieldPosition="0">
        <references count="1">
          <reference field="4294967294" count="3">
            <x v="3"/>
            <x v="4"/>
            <x v="5"/>
          </reference>
        </references>
      </pivotArea>
    </format>
    <format dxfId="145">
      <pivotArea dataOnly="0" labelOnly="1" outline="0" fieldPosition="0">
        <references count="1">
          <reference field="4294967294" count="3">
            <x v="9"/>
            <x v="10"/>
            <x v="11"/>
          </reference>
        </references>
      </pivotArea>
    </format>
    <format dxfId="144">
      <pivotArea dataOnly="0" labelOnly="1" outline="0" fieldPosition="0">
        <references count="1">
          <reference field="4294967294" count="3">
            <x v="15"/>
            <x v="16"/>
            <x v="17"/>
          </reference>
        </references>
      </pivotArea>
    </format>
    <format dxfId="143">
      <pivotArea field="4" type="button" dataOnly="0" labelOnly="1" outline="0" axis="axisPage" fieldPosition="2"/>
    </format>
    <format dxfId="142">
      <pivotArea dataOnly="0" labelOnly="1" fieldPosition="0">
        <references count="1">
          <reference field="4" count="1">
            <x v="0"/>
          </reference>
        </references>
      </pivotArea>
    </format>
    <format dxfId="141">
      <pivotArea dataOnly="0" labelOnly="1" outline="0" fieldPosition="0">
        <references count="1">
          <reference field="4294967294" count="1">
            <x v="0"/>
          </reference>
        </references>
      </pivotArea>
    </format>
    <format dxfId="140">
      <pivotArea field="4" type="button" dataOnly="0" labelOnly="1" outline="0" axis="axisPage" fieldPosition="2"/>
    </format>
    <format dxfId="139">
      <pivotArea field="2" type="button" dataOnly="0" labelOnly="1" outline="0" axis="axisRow" fieldPosition="0"/>
    </format>
    <format dxfId="138">
      <pivotArea dataOnly="0" labelOnly="1" fieldPosition="0">
        <references count="1">
          <reference field="2" count="1">
            <x v="0"/>
          </reference>
        </references>
      </pivotArea>
    </format>
    <format dxfId="137">
      <pivotArea dataOnly="0" labelOnly="1" grandRow="1" outline="0" fieldPosition="0"/>
    </format>
    <format dxfId="136">
      <pivotArea outline="0" collapsedLevelsAreSubtotals="1" fieldPosition="0">
        <references count="1">
          <reference field="4294967294" count="1" selected="0">
            <x v="3"/>
          </reference>
        </references>
      </pivotArea>
    </format>
    <format dxfId="135">
      <pivotArea dataOnly="0" labelOnly="1" outline="0" fieldPosition="0">
        <references count="1">
          <reference field="4294967294" count="1">
            <x v="3"/>
          </reference>
        </references>
      </pivotArea>
    </format>
    <format dxfId="134">
      <pivotArea outline="0" collapsedLevelsAreSubtotals="1" fieldPosition="0">
        <references count="1">
          <reference field="4294967294" count="1" selected="0">
            <x v="6"/>
          </reference>
        </references>
      </pivotArea>
    </format>
    <format dxfId="133">
      <pivotArea dataOnly="0" labelOnly="1" outline="0" fieldPosition="0">
        <references count="1">
          <reference field="4294967294" count="1">
            <x v="6"/>
          </reference>
        </references>
      </pivotArea>
    </format>
    <format dxfId="132">
      <pivotArea outline="0" collapsedLevelsAreSubtotals="1" fieldPosition="0">
        <references count="1">
          <reference field="4294967294" count="1" selected="0">
            <x v="9"/>
          </reference>
        </references>
      </pivotArea>
    </format>
    <format dxfId="131">
      <pivotArea dataOnly="0" labelOnly="1" outline="0" fieldPosition="0">
        <references count="1">
          <reference field="4294967294" count="1">
            <x v="9"/>
          </reference>
        </references>
      </pivotArea>
    </format>
    <format dxfId="130">
      <pivotArea outline="0" collapsedLevelsAreSubtotals="1" fieldPosition="0">
        <references count="1">
          <reference field="4294967294" count="1" selected="0">
            <x v="12"/>
          </reference>
        </references>
      </pivotArea>
    </format>
    <format dxfId="129">
      <pivotArea dataOnly="0" labelOnly="1" outline="0" fieldPosition="0">
        <references count="1">
          <reference field="4294967294" count="1">
            <x v="12"/>
          </reference>
        </references>
      </pivotArea>
    </format>
    <format dxfId="128">
      <pivotArea outline="0" collapsedLevelsAreSubtotals="1" fieldPosition="0">
        <references count="1">
          <reference field="4294967294" count="1" selected="0">
            <x v="15"/>
          </reference>
        </references>
      </pivotArea>
    </format>
    <format dxfId="127">
      <pivotArea dataOnly="0" labelOnly="1" outline="0" fieldPosition="0">
        <references count="1">
          <reference field="4294967294" count="1">
            <x v="15"/>
          </reference>
        </references>
      </pivotArea>
    </format>
    <format dxfId="126">
      <pivotArea outline="0" collapsedLevelsAreSubtotals="1" fieldPosition="0">
        <references count="1">
          <reference field="4294967294" count="1" selected="0">
            <x v="17"/>
          </reference>
        </references>
      </pivotArea>
    </format>
    <format dxfId="125">
      <pivotArea dataOnly="0" labelOnly="1" outline="0" fieldPosition="0">
        <references count="1">
          <reference field="4294967294" count="1">
            <x v="17"/>
          </reference>
        </references>
      </pivotArea>
    </format>
    <format dxfId="124">
      <pivotArea outline="0" fieldPosition="0">
        <references count="1">
          <reference field="4294967294" count="1">
            <x v="0"/>
          </reference>
        </references>
      </pivotArea>
    </format>
    <format dxfId="123">
      <pivotArea outline="0" fieldPosition="0">
        <references count="1">
          <reference field="4294967294" count="1">
            <x v="1"/>
          </reference>
        </references>
      </pivotArea>
    </format>
    <format dxfId="122">
      <pivotArea outline="0" fieldPosition="0">
        <references count="1">
          <reference field="4294967294" count="1">
            <x v="2"/>
          </reference>
        </references>
      </pivotArea>
    </format>
    <format dxfId="121">
      <pivotArea outline="0" fieldPosition="0">
        <references count="1">
          <reference field="4294967294" count="1">
            <x v="3"/>
          </reference>
        </references>
      </pivotArea>
    </format>
    <format dxfId="120">
      <pivotArea outline="0" fieldPosition="0">
        <references count="1">
          <reference field="4294967294" count="1">
            <x v="4"/>
          </reference>
        </references>
      </pivotArea>
    </format>
    <format dxfId="119">
      <pivotArea outline="0" fieldPosition="0">
        <references count="1">
          <reference field="4294967294" count="1">
            <x v="5"/>
          </reference>
        </references>
      </pivotArea>
    </format>
    <format dxfId="118">
      <pivotArea outline="0" fieldPosition="0">
        <references count="1">
          <reference field="4294967294" count="1">
            <x v="6"/>
          </reference>
        </references>
      </pivotArea>
    </format>
    <format dxfId="117">
      <pivotArea outline="0" fieldPosition="0">
        <references count="1">
          <reference field="4294967294" count="1">
            <x v="7"/>
          </reference>
        </references>
      </pivotArea>
    </format>
    <format dxfId="116">
      <pivotArea outline="0" fieldPosition="0">
        <references count="1">
          <reference field="4294967294" count="1">
            <x v="8"/>
          </reference>
        </references>
      </pivotArea>
    </format>
    <format dxfId="115">
      <pivotArea outline="0" fieldPosition="0">
        <references count="1">
          <reference field="4294967294" count="1">
            <x v="9"/>
          </reference>
        </references>
      </pivotArea>
    </format>
    <format dxfId="114">
      <pivotArea outline="0" fieldPosition="0">
        <references count="1">
          <reference field="4294967294" count="1">
            <x v="10"/>
          </reference>
        </references>
      </pivotArea>
    </format>
    <format dxfId="113">
      <pivotArea outline="0" fieldPosition="0">
        <references count="1">
          <reference field="4294967294" count="1">
            <x v="11"/>
          </reference>
        </references>
      </pivotArea>
    </format>
    <format dxfId="112">
      <pivotArea outline="0" fieldPosition="0">
        <references count="1">
          <reference field="4294967294" count="1">
            <x v="12"/>
          </reference>
        </references>
      </pivotArea>
    </format>
    <format dxfId="111">
      <pivotArea outline="0" fieldPosition="0">
        <references count="1">
          <reference field="4294967294" count="1">
            <x v="13"/>
          </reference>
        </references>
      </pivotArea>
    </format>
    <format dxfId="110">
      <pivotArea outline="0" fieldPosition="0">
        <references count="1">
          <reference field="4294967294" count="1">
            <x v="14"/>
          </reference>
        </references>
      </pivotArea>
    </format>
    <format dxfId="109">
      <pivotArea outline="0" fieldPosition="0">
        <references count="1">
          <reference field="4294967294" count="1">
            <x v="15"/>
          </reference>
        </references>
      </pivotArea>
    </format>
    <format dxfId="108">
      <pivotArea outline="0" fieldPosition="0">
        <references count="1">
          <reference field="4294967294" count="1">
            <x v="16"/>
          </reference>
        </references>
      </pivotArea>
    </format>
    <format dxfId="107">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82">
      <pivotArea outline="0" collapsedLevelsAreSubtotals="1" fieldPosition="0">
        <references count="1">
          <reference field="4294967294" count="1" selected="0">
            <x v="3"/>
          </reference>
        </references>
      </pivotArea>
    </format>
    <format dxfId="181">
      <pivotArea dataOnly="0" labelOnly="1" outline="0" fieldPosition="0">
        <references count="1">
          <reference field="4294967294" count="1">
            <x v="3"/>
          </reference>
        </references>
      </pivotArea>
    </format>
    <format dxfId="180">
      <pivotArea outline="0" collapsedLevelsAreSubtotals="1" fieldPosition="0">
        <references count="1">
          <reference field="4294967294" count="1" selected="0">
            <x v="6"/>
          </reference>
        </references>
      </pivotArea>
    </format>
    <format dxfId="179">
      <pivotArea dataOnly="0" labelOnly="1" outline="0" fieldPosition="0">
        <references count="1">
          <reference field="4294967294" count="1">
            <x v="6"/>
          </reference>
        </references>
      </pivotArea>
    </format>
    <format dxfId="178">
      <pivotArea outline="0" collapsedLevelsAreSubtotals="1" fieldPosition="0">
        <references count="1">
          <reference field="4294967294" count="1" selected="0">
            <x v="9"/>
          </reference>
        </references>
      </pivotArea>
    </format>
    <format dxfId="177">
      <pivotArea dataOnly="0" labelOnly="1" outline="0" fieldPosition="0">
        <references count="1">
          <reference field="4294967294" count="1">
            <x v="9"/>
          </reference>
        </references>
      </pivotArea>
    </format>
    <format dxfId="176">
      <pivotArea outline="0" collapsedLevelsAreSubtotals="1" fieldPosition="0">
        <references count="1">
          <reference field="4294967294" count="1" selected="0">
            <x v="12"/>
          </reference>
        </references>
      </pivotArea>
    </format>
    <format dxfId="175">
      <pivotArea dataOnly="0" labelOnly="1" outline="0" fieldPosition="0">
        <references count="1">
          <reference field="4294967294" count="1">
            <x v="12"/>
          </reference>
        </references>
      </pivotArea>
    </format>
    <format dxfId="174">
      <pivotArea outline="0" collapsedLevelsAreSubtotals="1" fieldPosition="0">
        <references count="1">
          <reference field="4294967294" count="1" selected="0">
            <x v="15"/>
          </reference>
        </references>
      </pivotArea>
    </format>
    <format dxfId="173">
      <pivotArea dataOnly="0" labelOnly="1" outline="0" fieldPosition="0">
        <references count="1">
          <reference field="4294967294" count="1">
            <x v="15"/>
          </reference>
        </references>
      </pivotArea>
    </format>
    <format dxfId="172">
      <pivotArea dataOnly="0" labelOnly="1" outline="0" fieldPosition="0">
        <references count="1">
          <reference field="4294967294" count="3">
            <x v="3"/>
            <x v="4"/>
            <x v="5"/>
          </reference>
        </references>
      </pivotArea>
    </format>
    <format dxfId="171">
      <pivotArea dataOnly="0" labelOnly="1" outline="0" fieldPosition="0">
        <references count="1">
          <reference field="4294967294" count="3">
            <x v="9"/>
            <x v="10"/>
            <x v="11"/>
          </reference>
        </references>
      </pivotArea>
    </format>
    <format dxfId="170">
      <pivotArea dataOnly="0" labelOnly="1" outline="0" fieldPosition="0">
        <references count="1">
          <reference field="4294967294" count="3">
            <x v="15"/>
            <x v="16"/>
            <x v="17"/>
          </reference>
        </references>
      </pivotArea>
    </format>
    <format dxfId="169">
      <pivotArea field="4" type="button" dataOnly="0" labelOnly="1" outline="0" axis="axisRow" fieldPosition="1"/>
    </format>
    <format dxfId="168">
      <pivotArea dataOnly="0" labelOnly="1" fieldPosition="0">
        <references count="1">
          <reference field="4" count="1">
            <x v="0"/>
          </reference>
        </references>
      </pivotArea>
    </format>
    <format dxfId="167">
      <pivotArea dataOnly="0" labelOnly="1" grandRow="1" outline="0" fieldPosition="0"/>
    </format>
    <format dxfId="166">
      <pivotArea dataOnly="0" labelOnly="1" outline="0" fieldPosition="0">
        <references count="1">
          <reference field="4294967294" count="1">
            <x v="0"/>
          </reference>
        </references>
      </pivotArea>
    </format>
    <format dxfId="165">
      <pivotArea field="4" type="button" dataOnly="0" labelOnly="1" outline="0" axis="axisRow" fieldPosition="1"/>
    </format>
    <format dxfId="164">
      <pivotArea outline="0" fieldPosition="0">
        <references count="1">
          <reference field="4294967294" count="1">
            <x v="0"/>
          </reference>
        </references>
      </pivotArea>
    </format>
    <format dxfId="163">
      <pivotArea outline="0" fieldPosition="0">
        <references count="1">
          <reference field="4294967294" count="1">
            <x v="1"/>
          </reference>
        </references>
      </pivotArea>
    </format>
    <format dxfId="162">
      <pivotArea outline="0" fieldPosition="0">
        <references count="1">
          <reference field="4294967294" count="1">
            <x v="2"/>
          </reference>
        </references>
      </pivotArea>
    </format>
    <format dxfId="161">
      <pivotArea outline="0" fieldPosition="0">
        <references count="1">
          <reference field="4294967294" count="1">
            <x v="3"/>
          </reference>
        </references>
      </pivotArea>
    </format>
    <format dxfId="160">
      <pivotArea outline="0" fieldPosition="0">
        <references count="1">
          <reference field="4294967294" count="1">
            <x v="4"/>
          </reference>
        </references>
      </pivotArea>
    </format>
    <format dxfId="159">
      <pivotArea outline="0" fieldPosition="0">
        <references count="1">
          <reference field="4294967294" count="1">
            <x v="5"/>
          </reference>
        </references>
      </pivotArea>
    </format>
    <format dxfId="158">
      <pivotArea outline="0" fieldPosition="0">
        <references count="1">
          <reference field="4294967294" count="1">
            <x v="6"/>
          </reference>
        </references>
      </pivotArea>
    </format>
    <format dxfId="157">
      <pivotArea outline="0" fieldPosition="0">
        <references count="1">
          <reference field="4294967294" count="1">
            <x v="7"/>
          </reference>
        </references>
      </pivotArea>
    </format>
    <format dxfId="156">
      <pivotArea outline="0" fieldPosition="0">
        <references count="1">
          <reference field="4294967294" count="1">
            <x v="8"/>
          </reference>
        </references>
      </pivotArea>
    </format>
    <format dxfId="155">
      <pivotArea outline="0" fieldPosition="0">
        <references count="1">
          <reference field="4294967294" count="1">
            <x v="9"/>
          </reference>
        </references>
      </pivotArea>
    </format>
    <format dxfId="154">
      <pivotArea outline="0" fieldPosition="0">
        <references count="1">
          <reference field="4294967294" count="1">
            <x v="10"/>
          </reference>
        </references>
      </pivotArea>
    </format>
    <format dxfId="153">
      <pivotArea outline="0" fieldPosition="0">
        <references count="1">
          <reference field="4294967294" count="1">
            <x v="11"/>
          </reference>
        </references>
      </pivotArea>
    </format>
    <format dxfId="152">
      <pivotArea outline="0" fieldPosition="0">
        <references count="1">
          <reference field="4294967294" count="1">
            <x v="12"/>
          </reference>
        </references>
      </pivotArea>
    </format>
    <format dxfId="151">
      <pivotArea outline="0" fieldPosition="0">
        <references count="1">
          <reference field="4294967294" count="1">
            <x v="13"/>
          </reference>
        </references>
      </pivotArea>
    </format>
    <format dxfId="150">
      <pivotArea outline="0" fieldPosition="0">
        <references count="1">
          <reference field="4294967294" count="1">
            <x v="14"/>
          </reference>
        </references>
      </pivotArea>
    </format>
    <format dxfId="149">
      <pivotArea outline="0" fieldPosition="0">
        <references count="1">
          <reference field="4294967294" count="1">
            <x v="15"/>
          </reference>
        </references>
      </pivotArea>
    </format>
    <format dxfId="148">
      <pivotArea outline="0" fieldPosition="0">
        <references count="1">
          <reference field="4294967294" count="1">
            <x v="16"/>
          </reference>
        </references>
      </pivotArea>
    </format>
    <format dxfId="147">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70">
      <pivotArea dataOnly="0" labelOnly="1" outline="0" fieldPosition="0">
        <references count="1">
          <reference field="4294967294" count="3">
            <x v="3"/>
            <x v="4"/>
            <x v="5"/>
          </reference>
        </references>
      </pivotArea>
    </format>
    <format dxfId="69">
      <pivotArea dataOnly="0" labelOnly="1" outline="0" fieldPosition="0">
        <references count="1">
          <reference field="4294967294" count="3">
            <x v="9"/>
            <x v="10"/>
            <x v="11"/>
          </reference>
        </references>
      </pivotArea>
    </format>
    <format dxfId="68">
      <pivotArea dataOnly="0" labelOnly="1" outline="0" fieldPosition="0">
        <references count="1">
          <reference field="4294967294" count="3">
            <x v="15"/>
            <x v="16"/>
            <x v="17"/>
          </reference>
        </references>
      </pivotArea>
    </format>
    <format dxfId="67">
      <pivotArea field="4" type="button" dataOnly="0" labelOnly="1" outline="0" axis="axisPage" fieldPosition="2"/>
    </format>
    <format dxfId="66">
      <pivotArea dataOnly="0" labelOnly="1" fieldPosition="0">
        <references count="1">
          <reference field="4" count="1">
            <x v="0"/>
          </reference>
        </references>
      </pivotArea>
    </format>
    <format dxfId="65">
      <pivotArea dataOnly="0" labelOnly="1" outline="0" fieldPosition="0">
        <references count="1">
          <reference field="4294967294" count="1">
            <x v="0"/>
          </reference>
        </references>
      </pivotArea>
    </format>
    <format dxfId="64">
      <pivotArea field="4" type="button" dataOnly="0" labelOnly="1" outline="0" axis="axisPage" fieldPosition="2"/>
    </format>
    <format dxfId="63">
      <pivotArea field="2" type="button" dataOnly="0" labelOnly="1" outline="0" axis="axisRow" fieldPosition="0"/>
    </format>
    <format dxfId="62">
      <pivotArea dataOnly="0" labelOnly="1" fieldPosition="0">
        <references count="1">
          <reference field="2" count="1">
            <x v="0"/>
          </reference>
        </references>
      </pivotArea>
    </format>
    <format dxfId="61">
      <pivotArea dataOnly="0" labelOnly="1" grandRow="1" outline="0" fieldPosition="0"/>
    </format>
    <format dxfId="60">
      <pivotArea outline="0" collapsedLevelsAreSubtotals="1" fieldPosition="0">
        <references count="1">
          <reference field="4294967294" count="1" selected="0">
            <x v="3"/>
          </reference>
        </references>
      </pivotArea>
    </format>
    <format dxfId="59">
      <pivotArea dataOnly="0" labelOnly="1" outline="0" fieldPosition="0">
        <references count="1">
          <reference field="4294967294" count="1">
            <x v="3"/>
          </reference>
        </references>
      </pivotArea>
    </format>
    <format dxfId="58">
      <pivotArea outline="0" collapsedLevelsAreSubtotals="1" fieldPosition="0">
        <references count="1">
          <reference field="4294967294" count="1" selected="0">
            <x v="6"/>
          </reference>
        </references>
      </pivotArea>
    </format>
    <format dxfId="57">
      <pivotArea dataOnly="0" labelOnly="1" outline="0" fieldPosition="0">
        <references count="1">
          <reference field="4294967294" count="1">
            <x v="6"/>
          </reference>
        </references>
      </pivotArea>
    </format>
    <format dxfId="56">
      <pivotArea outline="0" collapsedLevelsAreSubtotals="1" fieldPosition="0">
        <references count="1">
          <reference field="4294967294" count="1" selected="0">
            <x v="9"/>
          </reference>
        </references>
      </pivotArea>
    </format>
    <format dxfId="55">
      <pivotArea dataOnly="0" labelOnly="1" outline="0" fieldPosition="0">
        <references count="1">
          <reference field="4294967294" count="1">
            <x v="9"/>
          </reference>
        </references>
      </pivotArea>
    </format>
    <format dxfId="54">
      <pivotArea outline="0" collapsedLevelsAreSubtotals="1" fieldPosition="0">
        <references count="1">
          <reference field="4294967294" count="1" selected="0">
            <x v="12"/>
          </reference>
        </references>
      </pivotArea>
    </format>
    <format dxfId="53">
      <pivotArea dataOnly="0" labelOnly="1" outline="0" fieldPosition="0">
        <references count="1">
          <reference field="4294967294" count="1">
            <x v="12"/>
          </reference>
        </references>
      </pivotArea>
    </format>
    <format dxfId="52">
      <pivotArea outline="0" collapsedLevelsAreSubtotals="1" fieldPosition="0">
        <references count="1">
          <reference field="4294967294" count="1" selected="0">
            <x v="15"/>
          </reference>
        </references>
      </pivotArea>
    </format>
    <format dxfId="51">
      <pivotArea dataOnly="0" labelOnly="1" outline="0" fieldPosition="0">
        <references count="1">
          <reference field="4294967294" count="1">
            <x v="15"/>
          </reference>
        </references>
      </pivotArea>
    </format>
    <format dxfId="50">
      <pivotArea outline="0" collapsedLevelsAreSubtotals="1" fieldPosition="0">
        <references count="1">
          <reference field="4294967294" count="1" selected="0">
            <x v="17"/>
          </reference>
        </references>
      </pivotArea>
    </format>
    <format dxfId="49">
      <pivotArea dataOnly="0" labelOnly="1" outline="0" fieldPosition="0">
        <references count="1">
          <reference field="4294967294" count="1">
            <x v="17"/>
          </reference>
        </references>
      </pivotArea>
    </format>
    <format dxfId="48">
      <pivotArea outline="0" fieldPosition="0">
        <references count="1">
          <reference field="4294967294" count="1">
            <x v="0"/>
          </reference>
        </references>
      </pivotArea>
    </format>
    <format dxfId="47">
      <pivotArea outline="0" fieldPosition="0">
        <references count="1">
          <reference field="4294967294" count="1">
            <x v="1"/>
          </reference>
        </references>
      </pivotArea>
    </format>
    <format dxfId="46">
      <pivotArea collapsedLevelsAreSubtotals="1" fieldPosition="0">
        <references count="2">
          <reference field="4294967294" count="1" selected="0">
            <x v="0"/>
          </reference>
          <reference field="2" count="1">
            <x v="2"/>
          </reference>
        </references>
      </pivotArea>
    </format>
    <format dxfId="45">
      <pivotArea collapsedLevelsAreSubtotals="1" fieldPosition="0">
        <references count="2">
          <reference field="4294967294" count="1" selected="0">
            <x v="1"/>
          </reference>
          <reference field="2" count="1">
            <x v="2"/>
          </reference>
        </references>
      </pivotArea>
    </format>
    <format dxfId="44">
      <pivotArea outline="0" fieldPosition="0">
        <references count="1">
          <reference field="4294967294" count="1">
            <x v="2"/>
          </reference>
        </references>
      </pivotArea>
    </format>
    <format dxfId="43">
      <pivotArea outline="0" fieldPosition="0">
        <references count="1">
          <reference field="4294967294" count="1">
            <x v="3"/>
          </reference>
        </references>
      </pivotArea>
    </format>
    <format dxfId="42">
      <pivotArea outline="0" fieldPosition="0">
        <references count="1">
          <reference field="4294967294" count="1">
            <x v="4"/>
          </reference>
        </references>
      </pivotArea>
    </format>
    <format dxfId="41">
      <pivotArea outline="0" fieldPosition="0">
        <references count="1">
          <reference field="4294967294" count="1">
            <x v="5"/>
          </reference>
        </references>
      </pivotArea>
    </format>
    <format dxfId="40">
      <pivotArea outline="0" fieldPosition="0">
        <references count="1">
          <reference field="4294967294" count="1">
            <x v="6"/>
          </reference>
        </references>
      </pivotArea>
    </format>
    <format dxfId="39">
      <pivotArea outline="0" fieldPosition="0">
        <references count="1">
          <reference field="4294967294" count="1">
            <x v="7"/>
          </reference>
        </references>
      </pivotArea>
    </format>
    <format dxfId="38">
      <pivotArea outline="0" fieldPosition="0">
        <references count="1">
          <reference field="4294967294" count="1">
            <x v="8"/>
          </reference>
        </references>
      </pivotArea>
    </format>
    <format dxfId="37">
      <pivotArea outline="0" fieldPosition="0">
        <references count="1">
          <reference field="4294967294" count="1">
            <x v="9"/>
          </reference>
        </references>
      </pivotArea>
    </format>
    <format dxfId="36">
      <pivotArea outline="0" fieldPosition="0">
        <references count="1">
          <reference field="4294967294" count="1">
            <x v="10"/>
          </reference>
        </references>
      </pivotArea>
    </format>
    <format dxfId="35">
      <pivotArea outline="0" fieldPosition="0">
        <references count="1">
          <reference field="4294967294" count="1">
            <x v="11"/>
          </reference>
        </references>
      </pivotArea>
    </format>
    <format dxfId="34">
      <pivotArea outline="0" fieldPosition="0">
        <references count="1">
          <reference field="4294967294" count="1">
            <x v="12"/>
          </reference>
        </references>
      </pivotArea>
    </format>
    <format dxfId="33">
      <pivotArea outline="0" fieldPosition="0">
        <references count="1">
          <reference field="4294967294" count="1">
            <x v="13"/>
          </reference>
        </references>
      </pivotArea>
    </format>
    <format dxfId="32">
      <pivotArea outline="0" fieldPosition="0">
        <references count="1">
          <reference field="4294967294" count="1">
            <x v="14"/>
          </reference>
        </references>
      </pivotArea>
    </format>
    <format dxfId="31">
      <pivotArea outline="0" fieldPosition="0">
        <references count="1">
          <reference field="4294967294" count="1">
            <x v="15"/>
          </reference>
        </references>
      </pivotArea>
    </format>
    <format dxfId="30">
      <pivotArea outline="0" fieldPosition="0">
        <references count="1">
          <reference field="4294967294" count="1">
            <x v="16"/>
          </reference>
        </references>
      </pivotArea>
    </format>
    <format dxfId="2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106">
      <pivotArea outline="0" collapsedLevelsAreSubtotals="1" fieldPosition="0">
        <references count="1">
          <reference field="4294967294" count="1" selected="0">
            <x v="3"/>
          </reference>
        </references>
      </pivotArea>
    </format>
    <format dxfId="105">
      <pivotArea dataOnly="0" labelOnly="1" outline="0" fieldPosition="0">
        <references count="1">
          <reference field="4294967294" count="1">
            <x v="3"/>
          </reference>
        </references>
      </pivotArea>
    </format>
    <format dxfId="104">
      <pivotArea outline="0" collapsedLevelsAreSubtotals="1" fieldPosition="0">
        <references count="1">
          <reference field="4294967294" count="1" selected="0">
            <x v="6"/>
          </reference>
        </references>
      </pivotArea>
    </format>
    <format dxfId="103">
      <pivotArea dataOnly="0" labelOnly="1" outline="0" fieldPosition="0">
        <references count="1">
          <reference field="4294967294" count="1">
            <x v="6"/>
          </reference>
        </references>
      </pivotArea>
    </format>
    <format dxfId="102">
      <pivotArea outline="0" collapsedLevelsAreSubtotals="1" fieldPosition="0">
        <references count="1">
          <reference field="4294967294" count="1" selected="0">
            <x v="9"/>
          </reference>
        </references>
      </pivotArea>
    </format>
    <format dxfId="101">
      <pivotArea dataOnly="0" labelOnly="1" outline="0" fieldPosition="0">
        <references count="1">
          <reference field="4294967294" count="1">
            <x v="9"/>
          </reference>
        </references>
      </pivotArea>
    </format>
    <format dxfId="100">
      <pivotArea outline="0" collapsedLevelsAreSubtotals="1" fieldPosition="0">
        <references count="1">
          <reference field="4294967294" count="1" selected="0">
            <x v="12"/>
          </reference>
        </references>
      </pivotArea>
    </format>
    <format dxfId="99">
      <pivotArea dataOnly="0" labelOnly="1" outline="0" fieldPosition="0">
        <references count="1">
          <reference field="4294967294" count="1">
            <x v="12"/>
          </reference>
        </references>
      </pivotArea>
    </format>
    <format dxfId="98">
      <pivotArea outline="0" collapsedLevelsAreSubtotals="1" fieldPosition="0">
        <references count="1">
          <reference field="4294967294" count="1" selected="0">
            <x v="15"/>
          </reference>
        </references>
      </pivotArea>
    </format>
    <format dxfId="97">
      <pivotArea dataOnly="0" labelOnly="1" outline="0" fieldPosition="0">
        <references count="1">
          <reference field="4294967294" count="1">
            <x v="15"/>
          </reference>
        </references>
      </pivotArea>
    </format>
    <format dxfId="96">
      <pivotArea dataOnly="0" labelOnly="1" outline="0" fieldPosition="0">
        <references count="1">
          <reference field="4294967294" count="3">
            <x v="3"/>
            <x v="4"/>
            <x v="5"/>
          </reference>
        </references>
      </pivotArea>
    </format>
    <format dxfId="95">
      <pivotArea dataOnly="0" labelOnly="1" outline="0" fieldPosition="0">
        <references count="1">
          <reference field="4294967294" count="3">
            <x v="9"/>
            <x v="10"/>
            <x v="11"/>
          </reference>
        </references>
      </pivotArea>
    </format>
    <format dxfId="94">
      <pivotArea dataOnly="0" labelOnly="1" outline="0" fieldPosition="0">
        <references count="1">
          <reference field="4294967294" count="3">
            <x v="15"/>
            <x v="16"/>
            <x v="17"/>
          </reference>
        </references>
      </pivotArea>
    </format>
    <format dxfId="93">
      <pivotArea field="4" type="button" dataOnly="0" labelOnly="1" outline="0" axis="axisRow" fieldPosition="1"/>
    </format>
    <format dxfId="92">
      <pivotArea dataOnly="0" labelOnly="1" fieldPosition="0">
        <references count="1">
          <reference field="4" count="1">
            <x v="0"/>
          </reference>
        </references>
      </pivotArea>
    </format>
    <format dxfId="91">
      <pivotArea dataOnly="0" labelOnly="1" grandRow="1" outline="0" fieldPosition="0"/>
    </format>
    <format dxfId="90">
      <pivotArea dataOnly="0" labelOnly="1" outline="0" fieldPosition="0">
        <references count="1">
          <reference field="4294967294" count="1">
            <x v="0"/>
          </reference>
        </references>
      </pivotArea>
    </format>
    <format dxfId="89">
      <pivotArea field="4" type="button" dataOnly="0" labelOnly="1" outline="0" axis="axisRow" fieldPosition="1"/>
    </format>
    <format dxfId="88">
      <pivotArea outline="0" fieldPosition="0">
        <references count="1">
          <reference field="4294967294" count="1">
            <x v="0"/>
          </reference>
        </references>
      </pivotArea>
    </format>
    <format dxfId="87">
      <pivotArea outline="0" fieldPosition="0">
        <references count="1">
          <reference field="4294967294" count="1">
            <x v="1"/>
          </reference>
        </references>
      </pivotArea>
    </format>
    <format dxfId="86">
      <pivotArea outline="0" fieldPosition="0">
        <references count="1">
          <reference field="4294967294" count="1">
            <x v="2"/>
          </reference>
        </references>
      </pivotArea>
    </format>
    <format dxfId="85">
      <pivotArea outline="0" fieldPosition="0">
        <references count="1">
          <reference field="4294967294" count="1">
            <x v="3"/>
          </reference>
        </references>
      </pivotArea>
    </format>
    <format dxfId="84">
      <pivotArea outline="0" fieldPosition="0">
        <references count="1">
          <reference field="4294967294" count="1">
            <x v="4"/>
          </reference>
        </references>
      </pivotArea>
    </format>
    <format dxfId="83">
      <pivotArea outline="0" fieldPosition="0">
        <references count="1">
          <reference field="4294967294" count="1">
            <x v="5"/>
          </reference>
        </references>
      </pivotArea>
    </format>
    <format dxfId="82">
      <pivotArea outline="0" fieldPosition="0">
        <references count="1">
          <reference field="4294967294" count="1">
            <x v="6"/>
          </reference>
        </references>
      </pivotArea>
    </format>
    <format dxfId="81">
      <pivotArea outline="0" fieldPosition="0">
        <references count="1">
          <reference field="4294967294" count="1">
            <x v="7"/>
          </reference>
        </references>
      </pivotArea>
    </format>
    <format dxfId="80">
      <pivotArea outline="0" fieldPosition="0">
        <references count="1">
          <reference field="4294967294" count="1">
            <x v="8"/>
          </reference>
        </references>
      </pivotArea>
    </format>
    <format dxfId="79">
      <pivotArea outline="0" fieldPosition="0">
        <references count="1">
          <reference field="4294967294" count="1">
            <x v="9"/>
          </reference>
        </references>
      </pivotArea>
    </format>
    <format dxfId="78">
      <pivotArea outline="0" fieldPosition="0">
        <references count="1">
          <reference field="4294967294" count="1">
            <x v="10"/>
          </reference>
        </references>
      </pivotArea>
    </format>
    <format dxfId="77">
      <pivotArea outline="0" fieldPosition="0">
        <references count="1">
          <reference field="4294967294" count="1">
            <x v="11"/>
          </reference>
        </references>
      </pivotArea>
    </format>
    <format dxfId="76">
      <pivotArea outline="0" fieldPosition="0">
        <references count="1">
          <reference field="4294967294" count="1">
            <x v="12"/>
          </reference>
        </references>
      </pivotArea>
    </format>
    <format dxfId="75">
      <pivotArea outline="0" fieldPosition="0">
        <references count="1">
          <reference field="4294967294" count="1">
            <x v="13"/>
          </reference>
        </references>
      </pivotArea>
    </format>
    <format dxfId="74">
      <pivotArea outline="0" fieldPosition="0">
        <references count="1">
          <reference field="4294967294" count="1">
            <x v="14"/>
          </reference>
        </references>
      </pivotArea>
    </format>
    <format dxfId="73">
      <pivotArea outline="0" fieldPosition="0">
        <references count="1">
          <reference field="4294967294" count="1">
            <x v="15"/>
          </reference>
        </references>
      </pivotArea>
    </format>
    <format dxfId="72">
      <pivotArea outline="0" fieldPosition="0">
        <references count="1">
          <reference field="4294967294" count="1">
            <x v="16"/>
          </reference>
        </references>
      </pivotArea>
    </format>
    <format dxfId="71">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11"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x="0"/>
        <item x="1"/>
        <item t="default"/>
      </items>
    </pivotField>
    <pivotField axis="axisRow" subtotalTop="0" showAll="0">
      <items count="3">
        <item x="0"/>
        <item h="1" x="1"/>
        <item t="default"/>
      </items>
    </pivotField>
    <pivotField subtotalTop="0" showAll="0"/>
    <pivotField axis="axisPage"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4">
    <i>
      <x/>
    </i>
    <i r="1">
      <x/>
    </i>
    <i t="default">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17">
      <pivotArea dataOnly="0" labelOnly="1" outline="0" axis="axisValues" fieldPosition="0"/>
    </format>
    <format dxfId="16">
      <pivotArea dataOnly="0" outline="0" axis="axisValues" fieldPosition="0"/>
    </format>
    <format dxfId="1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22">
      <pivotArea dataOnly="0" labelOnly="1" outline="0" axis="axisValues" fieldPosition="0"/>
    </format>
    <format dxfId="21">
      <pivotArea outline="0" fieldPosition="0">
        <references count="1">
          <reference field="4294967294" count="1">
            <x v="0"/>
          </reference>
        </references>
      </pivotArea>
    </format>
    <format dxfId="20">
      <pivotArea outline="0" fieldPosition="0">
        <references count="1">
          <reference field="4294967294" count="1">
            <x v="1"/>
          </reference>
        </references>
      </pivotArea>
    </format>
    <format dxfId="19">
      <pivotArea outline="0" fieldPosition="0">
        <references count="1">
          <reference field="4294967294" count="1">
            <x v="0"/>
          </reference>
        </references>
      </pivotArea>
    </format>
    <format dxfId="1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25">
      <pivotArea dataOnly="0" labelOnly="1" outline="0" axis="axisValues" fieldPosition="0"/>
    </format>
    <format dxfId="24">
      <pivotArea outline="0" fieldPosition="0">
        <references count="1">
          <reference field="4294967294" count="1">
            <x v="0"/>
          </reference>
        </references>
      </pivotArea>
    </format>
    <format dxfId="2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8">
      <pivotArea dataOnly="0" labelOnly="1" outline="0" axis="axisValues" fieldPosition="0"/>
    </format>
    <format dxfId="27">
      <pivotArea dataOnly="0" outline="0" axis="axisValues" fieldPosition="0"/>
    </format>
    <format dxfId="2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1">
      <pivotArea dataOnly="0" labelOnly="1" outline="0" axis="axisValues" fieldPosition="0"/>
    </format>
    <format dxfId="10">
      <pivotArea dataOnly="0" outline="0" axis="axisValues" fieldPosition="0"/>
    </format>
    <format dxfId="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4">
      <pivotArea dataOnly="0" labelOnly="1" outline="0" axis="axisValues" fieldPosition="0"/>
    </format>
    <format dxfId="13">
      <pivotArea outline="0" fieldPosition="0">
        <references count="1">
          <reference field="4294967294" count="1">
            <x v="0"/>
          </reference>
        </references>
      </pivotArea>
    </format>
    <format dxfId="1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6.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8.bin"/><Relationship Id="rId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9.bin"/><Relationship Id="rId4"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printerSettings" Target="../printerSettings/printerSettings11.bin"/><Relationship Id="rId4" Type="http://schemas.openxmlformats.org/officeDocument/2006/relationships/pivotTable" Target="../pivotTables/pivotTable2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4.xml"/><Relationship Id="rId7" Type="http://schemas.openxmlformats.org/officeDocument/2006/relationships/pivotTable" Target="../pivotTables/pivotTable38.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1.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rinterSettings" Target="../printerSettings/printerSettings13.bin"/><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6.xml"/><Relationship Id="rId2" Type="http://schemas.openxmlformats.org/officeDocument/2006/relationships/pivotTable" Target="../pivotTables/pivotTable45.xml"/><Relationship Id="rId1" Type="http://schemas.openxmlformats.org/officeDocument/2006/relationships/pivotTable" Target="../pivotTables/pivotTable44.xml"/><Relationship Id="rId6" Type="http://schemas.openxmlformats.org/officeDocument/2006/relationships/printerSettings" Target="../printerSettings/printerSettings14.bin"/><Relationship Id="rId5" Type="http://schemas.openxmlformats.org/officeDocument/2006/relationships/pivotTable" Target="../pivotTables/pivotTable48.xml"/><Relationship Id="rId4" Type="http://schemas.openxmlformats.org/officeDocument/2006/relationships/pivotTable" Target="../pivotTables/pivotTable47.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5.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5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57.xml"/><Relationship Id="rId2" Type="http://schemas.openxmlformats.org/officeDocument/2006/relationships/pivotTable" Target="../pivotTables/pivotTable56.xml"/><Relationship Id="rId1" Type="http://schemas.openxmlformats.org/officeDocument/2006/relationships/pivotTable" Target="../pivotTables/pivotTable55.xml"/><Relationship Id="rId6" Type="http://schemas.openxmlformats.org/officeDocument/2006/relationships/printerSettings" Target="../printerSettings/printerSettings17.bin"/><Relationship Id="rId5" Type="http://schemas.openxmlformats.org/officeDocument/2006/relationships/pivotTable" Target="../pivotTables/pivotTable59.xml"/><Relationship Id="rId4" Type="http://schemas.openxmlformats.org/officeDocument/2006/relationships/pivotTable" Target="../pivotTables/pivotTable58.x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18.bin"/><Relationship Id="rId3" Type="http://schemas.openxmlformats.org/officeDocument/2006/relationships/pivotTable" Target="../pivotTables/pivotTable62.xml"/><Relationship Id="rId7" Type="http://schemas.openxmlformats.org/officeDocument/2006/relationships/pivotTable" Target="../pivotTables/pivotTable66.xml"/><Relationship Id="rId2" Type="http://schemas.openxmlformats.org/officeDocument/2006/relationships/pivotTable" Target="../pivotTables/pivotTable61.xml"/><Relationship Id="rId1" Type="http://schemas.openxmlformats.org/officeDocument/2006/relationships/pivotTable" Target="../pivotTables/pivotTable60.xml"/><Relationship Id="rId6" Type="http://schemas.openxmlformats.org/officeDocument/2006/relationships/pivotTable" Target="../pivotTables/pivotTable65.xml"/><Relationship Id="rId5" Type="http://schemas.openxmlformats.org/officeDocument/2006/relationships/pivotTable" Target="../pivotTables/pivotTable64.xml"/><Relationship Id="rId4" Type="http://schemas.openxmlformats.org/officeDocument/2006/relationships/pivotTable" Target="../pivotTables/pivotTable63.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19.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76.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rinterSettings" Target="../printerSettings/printerSettings20.bin"/><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1.xml"/><Relationship Id="rId2" Type="http://schemas.openxmlformats.org/officeDocument/2006/relationships/pivotTable" Target="../pivotTables/pivotTable80.xml"/><Relationship Id="rId1" Type="http://schemas.openxmlformats.org/officeDocument/2006/relationships/pivotTable" Target="../pivotTables/pivotTable79.xml"/><Relationship Id="rId5" Type="http://schemas.openxmlformats.org/officeDocument/2006/relationships/printerSettings" Target="../printerSettings/printerSettings21.bin"/><Relationship Id="rId4" Type="http://schemas.openxmlformats.org/officeDocument/2006/relationships/pivotTable" Target="../pivotTables/pivotTable82.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84.xml"/><Relationship Id="rId1" Type="http://schemas.openxmlformats.org/officeDocument/2006/relationships/pivotTable" Target="../pivotTables/pivotTable83.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92.xml"/><Relationship Id="rId3" Type="http://schemas.openxmlformats.org/officeDocument/2006/relationships/pivotTable" Target="../pivotTables/pivotTable87.xml"/><Relationship Id="rId7" Type="http://schemas.openxmlformats.org/officeDocument/2006/relationships/pivotTable" Target="../pivotTables/pivotTable91.xml"/><Relationship Id="rId2" Type="http://schemas.openxmlformats.org/officeDocument/2006/relationships/pivotTable" Target="../pivotTables/pivotTable86.xml"/><Relationship Id="rId1" Type="http://schemas.openxmlformats.org/officeDocument/2006/relationships/pivotTable" Target="../pivotTables/pivotTable85.xml"/><Relationship Id="rId6" Type="http://schemas.openxmlformats.org/officeDocument/2006/relationships/pivotTable" Target="../pivotTables/pivotTable90.xml"/><Relationship Id="rId5" Type="http://schemas.openxmlformats.org/officeDocument/2006/relationships/pivotTable" Target="../pivotTables/pivotTable89.xml"/><Relationship Id="rId10" Type="http://schemas.openxmlformats.org/officeDocument/2006/relationships/printerSettings" Target="../printerSettings/printerSettings23.bin"/><Relationship Id="rId4" Type="http://schemas.openxmlformats.org/officeDocument/2006/relationships/pivotTable" Target="../pivotTables/pivotTable88.xml"/><Relationship Id="rId9" Type="http://schemas.openxmlformats.org/officeDocument/2006/relationships/pivotTable" Target="../pivotTables/pivotTable93.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01.xml"/><Relationship Id="rId13" Type="http://schemas.openxmlformats.org/officeDocument/2006/relationships/pivotTable" Target="../pivotTables/pivotTable106.xml"/><Relationship Id="rId3" Type="http://schemas.openxmlformats.org/officeDocument/2006/relationships/pivotTable" Target="../pivotTables/pivotTable96.xml"/><Relationship Id="rId7" Type="http://schemas.openxmlformats.org/officeDocument/2006/relationships/pivotTable" Target="../pivotTables/pivotTable100.xml"/><Relationship Id="rId12" Type="http://schemas.openxmlformats.org/officeDocument/2006/relationships/pivotTable" Target="../pivotTables/pivotTable105.xml"/><Relationship Id="rId2" Type="http://schemas.openxmlformats.org/officeDocument/2006/relationships/pivotTable" Target="../pivotTables/pivotTable95.xml"/><Relationship Id="rId1" Type="http://schemas.openxmlformats.org/officeDocument/2006/relationships/pivotTable" Target="../pivotTables/pivotTable94.xml"/><Relationship Id="rId6" Type="http://schemas.openxmlformats.org/officeDocument/2006/relationships/pivotTable" Target="../pivotTables/pivotTable99.xml"/><Relationship Id="rId11" Type="http://schemas.openxmlformats.org/officeDocument/2006/relationships/pivotTable" Target="../pivotTables/pivotTable104.xml"/><Relationship Id="rId5" Type="http://schemas.openxmlformats.org/officeDocument/2006/relationships/pivotTable" Target="../pivotTables/pivotTable98.xml"/><Relationship Id="rId10" Type="http://schemas.openxmlformats.org/officeDocument/2006/relationships/pivotTable" Target="../pivotTables/pivotTable103.xml"/><Relationship Id="rId4" Type="http://schemas.openxmlformats.org/officeDocument/2006/relationships/pivotTable" Target="../pivotTables/pivotTable97.xml"/><Relationship Id="rId9" Type="http://schemas.openxmlformats.org/officeDocument/2006/relationships/pivotTable" Target="../pivotTables/pivotTable102.xml"/><Relationship Id="rId14"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109.xml"/><Relationship Id="rId7" Type="http://schemas.openxmlformats.org/officeDocument/2006/relationships/printerSettings" Target="../printerSettings/printerSettings25.bin"/><Relationship Id="rId2" Type="http://schemas.openxmlformats.org/officeDocument/2006/relationships/pivotTable" Target="../pivotTables/pivotTable108.xml"/><Relationship Id="rId1" Type="http://schemas.openxmlformats.org/officeDocument/2006/relationships/pivotTable" Target="../pivotTables/pivotTable107.xml"/><Relationship Id="rId6" Type="http://schemas.openxmlformats.org/officeDocument/2006/relationships/pivotTable" Target="../pivotTables/pivotTable112.xml"/><Relationship Id="rId5" Type="http://schemas.openxmlformats.org/officeDocument/2006/relationships/pivotTable" Target="../pivotTables/pivotTable111.xml"/><Relationship Id="rId4" Type="http://schemas.openxmlformats.org/officeDocument/2006/relationships/pivotTable" Target="../pivotTables/pivotTable110.xml"/></Relationships>
</file>

<file path=xl/worksheets/_rels/sheet30.xml.rels><?xml version="1.0" encoding="UTF-8" standalone="yes"?>
<Relationships xmlns="http://schemas.openxmlformats.org/package/2006/relationships"><Relationship Id="rId8" Type="http://schemas.openxmlformats.org/officeDocument/2006/relationships/pivotTable" Target="../pivotTables/pivotTable120.xml"/><Relationship Id="rId3" Type="http://schemas.openxmlformats.org/officeDocument/2006/relationships/pivotTable" Target="../pivotTables/pivotTable115.xml"/><Relationship Id="rId7" Type="http://schemas.openxmlformats.org/officeDocument/2006/relationships/pivotTable" Target="../pivotTables/pivotTable119.xml"/><Relationship Id="rId2" Type="http://schemas.openxmlformats.org/officeDocument/2006/relationships/pivotTable" Target="../pivotTables/pivotTable114.xml"/><Relationship Id="rId1" Type="http://schemas.openxmlformats.org/officeDocument/2006/relationships/pivotTable" Target="../pivotTables/pivotTable113.xml"/><Relationship Id="rId6" Type="http://schemas.openxmlformats.org/officeDocument/2006/relationships/pivotTable" Target="../pivotTables/pivotTable118.xml"/><Relationship Id="rId5" Type="http://schemas.openxmlformats.org/officeDocument/2006/relationships/pivotTable" Target="../pivotTables/pivotTable117.xml"/><Relationship Id="rId4" Type="http://schemas.openxmlformats.org/officeDocument/2006/relationships/pivotTable" Target="../pivotTables/pivotTable116.xml"/><Relationship Id="rId9"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3.xml"/><Relationship Id="rId2" Type="http://schemas.openxmlformats.org/officeDocument/2006/relationships/pivotTable" Target="../pivotTables/pivotTable122.xml"/><Relationship Id="rId1" Type="http://schemas.openxmlformats.org/officeDocument/2006/relationships/pivotTable" Target="../pivotTables/pivotTable121.xml"/><Relationship Id="rId6" Type="http://schemas.openxmlformats.org/officeDocument/2006/relationships/printerSettings" Target="../printerSettings/printerSettings27.bin"/><Relationship Id="rId5" Type="http://schemas.openxmlformats.org/officeDocument/2006/relationships/pivotTable" Target="../pivotTables/pivotTable125.xml"/><Relationship Id="rId4" Type="http://schemas.openxmlformats.org/officeDocument/2006/relationships/pivotTable" Target="../pivotTables/pivotTable124.xml"/></Relationships>
</file>

<file path=xl/worksheets/_rels/sheet32.xml.rels><?xml version="1.0" encoding="UTF-8" standalone="yes"?>
<Relationships xmlns="http://schemas.openxmlformats.org/package/2006/relationships"><Relationship Id="rId3" Type="http://schemas.openxmlformats.org/officeDocument/2006/relationships/pivotTable" Target="../pivotTables/pivotTable128.xml"/><Relationship Id="rId2" Type="http://schemas.openxmlformats.org/officeDocument/2006/relationships/pivotTable" Target="../pivotTables/pivotTable127.xml"/><Relationship Id="rId1" Type="http://schemas.openxmlformats.org/officeDocument/2006/relationships/pivotTable" Target="../pivotTables/pivotTable126.xml"/><Relationship Id="rId6" Type="http://schemas.openxmlformats.org/officeDocument/2006/relationships/printerSettings" Target="../printerSettings/printerSettings28.bin"/><Relationship Id="rId5" Type="http://schemas.openxmlformats.org/officeDocument/2006/relationships/pivotTable" Target="../pivotTables/pivotTable130.xml"/><Relationship Id="rId4" Type="http://schemas.openxmlformats.org/officeDocument/2006/relationships/pivotTable" Target="../pivotTables/pivotTable129.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38.xml"/><Relationship Id="rId3" Type="http://schemas.openxmlformats.org/officeDocument/2006/relationships/pivotTable" Target="../pivotTables/pivotTable133.xml"/><Relationship Id="rId7" Type="http://schemas.openxmlformats.org/officeDocument/2006/relationships/pivotTable" Target="../pivotTables/pivotTable137.xml"/><Relationship Id="rId2" Type="http://schemas.openxmlformats.org/officeDocument/2006/relationships/pivotTable" Target="../pivotTables/pivotTable132.xml"/><Relationship Id="rId1" Type="http://schemas.openxmlformats.org/officeDocument/2006/relationships/pivotTable" Target="../pivotTables/pivotTable131.xml"/><Relationship Id="rId6" Type="http://schemas.openxmlformats.org/officeDocument/2006/relationships/pivotTable" Target="../pivotTables/pivotTable136.xml"/><Relationship Id="rId5" Type="http://schemas.openxmlformats.org/officeDocument/2006/relationships/pivotTable" Target="../pivotTables/pivotTable135.xml"/><Relationship Id="rId4" Type="http://schemas.openxmlformats.org/officeDocument/2006/relationships/pivotTable" Target="../pivotTables/pivotTable134.xml"/><Relationship Id="rId9"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46.xml"/><Relationship Id="rId3" Type="http://schemas.openxmlformats.org/officeDocument/2006/relationships/pivotTable" Target="../pivotTables/pivotTable141.xml"/><Relationship Id="rId7" Type="http://schemas.openxmlformats.org/officeDocument/2006/relationships/pivotTable" Target="../pivotTables/pivotTable145.xml"/><Relationship Id="rId2" Type="http://schemas.openxmlformats.org/officeDocument/2006/relationships/pivotTable" Target="../pivotTables/pivotTable140.xml"/><Relationship Id="rId1" Type="http://schemas.openxmlformats.org/officeDocument/2006/relationships/pivotTable" Target="../pivotTables/pivotTable139.xml"/><Relationship Id="rId6" Type="http://schemas.openxmlformats.org/officeDocument/2006/relationships/pivotTable" Target="../pivotTables/pivotTable144.xml"/><Relationship Id="rId5" Type="http://schemas.openxmlformats.org/officeDocument/2006/relationships/pivotTable" Target="../pivotTables/pivotTable143.xml"/><Relationship Id="rId4" Type="http://schemas.openxmlformats.org/officeDocument/2006/relationships/pivotTable" Target="../pivotTables/pivotTable142.xml"/><Relationship Id="rId9"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48.xml"/><Relationship Id="rId1" Type="http://schemas.openxmlformats.org/officeDocument/2006/relationships/pivotTable" Target="../pivotTables/pivotTable147.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51.xml"/><Relationship Id="rId7" Type="http://schemas.openxmlformats.org/officeDocument/2006/relationships/printerSettings" Target="../printerSettings/printerSettings32.bin"/><Relationship Id="rId2" Type="http://schemas.openxmlformats.org/officeDocument/2006/relationships/pivotTable" Target="../pivotTables/pivotTable150.xml"/><Relationship Id="rId1" Type="http://schemas.openxmlformats.org/officeDocument/2006/relationships/pivotTable" Target="../pivotTables/pivotTable149.xml"/><Relationship Id="rId6" Type="http://schemas.openxmlformats.org/officeDocument/2006/relationships/pivotTable" Target="../pivotTables/pivotTable154.xml"/><Relationship Id="rId5" Type="http://schemas.openxmlformats.org/officeDocument/2006/relationships/pivotTable" Target="../pivotTables/pivotTable153.xml"/><Relationship Id="rId4" Type="http://schemas.openxmlformats.org/officeDocument/2006/relationships/pivotTable" Target="../pivotTables/pivotTable152.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57.xml"/><Relationship Id="rId7" Type="http://schemas.openxmlformats.org/officeDocument/2006/relationships/printerSettings" Target="../printerSettings/printerSettings33.bin"/><Relationship Id="rId2" Type="http://schemas.openxmlformats.org/officeDocument/2006/relationships/pivotTable" Target="../pivotTables/pivotTable156.xml"/><Relationship Id="rId1" Type="http://schemas.openxmlformats.org/officeDocument/2006/relationships/pivotTable" Target="../pivotTables/pivotTable155.xml"/><Relationship Id="rId6" Type="http://schemas.openxmlformats.org/officeDocument/2006/relationships/pivotTable" Target="../pivotTables/pivotTable160.xml"/><Relationship Id="rId5" Type="http://schemas.openxmlformats.org/officeDocument/2006/relationships/pivotTable" Target="../pivotTables/pivotTable159.xml"/><Relationship Id="rId4" Type="http://schemas.openxmlformats.org/officeDocument/2006/relationships/pivotTable" Target="../pivotTables/pivotTable158.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ivotTable" Target="../pivotTables/pivotTable162.xml"/><Relationship Id="rId1" Type="http://schemas.openxmlformats.org/officeDocument/2006/relationships/pivotTable" Target="../pivotTables/pivotTable161.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64.xml"/><Relationship Id="rId1" Type="http://schemas.openxmlformats.org/officeDocument/2006/relationships/pivotTable" Target="../pivotTables/pivotTable163.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66.xml"/><Relationship Id="rId1" Type="http://schemas.openxmlformats.org/officeDocument/2006/relationships/pivotTable" Target="../pivotTables/pivotTable165.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68.xml"/><Relationship Id="rId1" Type="http://schemas.openxmlformats.org/officeDocument/2006/relationships/pivotTable" Target="../pivotTables/pivotTable167.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70.xml"/><Relationship Id="rId1" Type="http://schemas.openxmlformats.org/officeDocument/2006/relationships/pivotTable" Target="../pivotTables/pivotTable169.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73.xml"/><Relationship Id="rId2" Type="http://schemas.openxmlformats.org/officeDocument/2006/relationships/pivotTable" Target="../pivotTables/pivotTable172.xml"/><Relationship Id="rId1" Type="http://schemas.openxmlformats.org/officeDocument/2006/relationships/pivotTable" Target="../pivotTables/pivotTable171.xml"/><Relationship Id="rId4"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74.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75.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76.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79.xml"/><Relationship Id="rId7" Type="http://schemas.openxmlformats.org/officeDocument/2006/relationships/printerSettings" Target="../printerSettings/printerSettings41.bin"/><Relationship Id="rId2" Type="http://schemas.openxmlformats.org/officeDocument/2006/relationships/pivotTable" Target="../pivotTables/pivotTable178.xml"/><Relationship Id="rId1" Type="http://schemas.openxmlformats.org/officeDocument/2006/relationships/pivotTable" Target="../pivotTables/pivotTable177.xml"/><Relationship Id="rId6" Type="http://schemas.openxmlformats.org/officeDocument/2006/relationships/pivotTable" Target="../pivotTables/pivotTable182.xml"/><Relationship Id="rId5" Type="http://schemas.openxmlformats.org/officeDocument/2006/relationships/pivotTable" Target="../pivotTables/pivotTable181.xml"/><Relationship Id="rId4" Type="http://schemas.openxmlformats.org/officeDocument/2006/relationships/pivotTable" Target="../pivotTables/pivotTable180.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185.xml"/><Relationship Id="rId7" Type="http://schemas.openxmlformats.org/officeDocument/2006/relationships/printerSettings" Target="../printerSettings/printerSettings42.bin"/><Relationship Id="rId2" Type="http://schemas.openxmlformats.org/officeDocument/2006/relationships/pivotTable" Target="../pivotTables/pivotTable184.xml"/><Relationship Id="rId1" Type="http://schemas.openxmlformats.org/officeDocument/2006/relationships/pivotTable" Target="../pivotTables/pivotTable183.xml"/><Relationship Id="rId6" Type="http://schemas.openxmlformats.org/officeDocument/2006/relationships/pivotTable" Target="../pivotTables/pivotTable188.xml"/><Relationship Id="rId5" Type="http://schemas.openxmlformats.org/officeDocument/2006/relationships/pivotTable" Target="../pivotTables/pivotTable187.xml"/><Relationship Id="rId4" Type="http://schemas.openxmlformats.org/officeDocument/2006/relationships/pivotTable" Target="../pivotTables/pivotTable186.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4.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208" t="s">
        <v>505</v>
      </c>
      <c r="C5" s="208"/>
      <c r="D5" s="208"/>
      <c r="F5" s="208" t="s">
        <v>506</v>
      </c>
      <c r="G5" s="208"/>
      <c r="H5" s="208"/>
      <c r="J5" s="208" t="s">
        <v>354</v>
      </c>
      <c r="K5" s="208"/>
      <c r="L5" s="208"/>
      <c r="N5" s="208" t="s">
        <v>499</v>
      </c>
      <c r="O5" s="208"/>
      <c r="P5" s="208"/>
      <c r="Q5" s="209"/>
      <c r="R5" s="209"/>
      <c r="S5" s="209"/>
      <c r="T5" s="209"/>
      <c r="U5" s="209"/>
      <c r="V5" s="209"/>
      <c r="W5" s="209"/>
      <c r="X5" s="209"/>
      <c r="Y5" s="209"/>
      <c r="Z5" s="209"/>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14" t="s">
        <v>226</v>
      </c>
      <c r="K1" s="212" t="s">
        <v>226</v>
      </c>
      <c r="L1" s="212" t="s">
        <v>226</v>
      </c>
      <c r="M1" s="213" t="s">
        <v>226</v>
      </c>
      <c r="N1" s="210" t="s">
        <v>227</v>
      </c>
      <c r="O1" s="211" t="s">
        <v>227</v>
      </c>
      <c r="P1" s="211" t="s">
        <v>227</v>
      </c>
      <c r="Q1" s="211" t="s">
        <v>227</v>
      </c>
      <c r="R1" s="211" t="s">
        <v>227</v>
      </c>
      <c r="S1" s="215" t="s">
        <v>227</v>
      </c>
      <c r="T1" s="216" t="s">
        <v>228</v>
      </c>
      <c r="U1" s="217" t="s">
        <v>228</v>
      </c>
      <c r="V1" s="217" t="s">
        <v>228</v>
      </c>
      <c r="W1" s="217" t="s">
        <v>228</v>
      </c>
      <c r="X1" s="218" t="s">
        <v>228</v>
      </c>
      <c r="Y1" s="219" t="s">
        <v>229</v>
      </c>
      <c r="Z1" s="217" t="s">
        <v>229</v>
      </c>
      <c r="AA1" s="212" t="s">
        <v>229</v>
      </c>
      <c r="AB1" s="218" t="s">
        <v>229</v>
      </c>
      <c r="AC1" s="219" t="s">
        <v>230</v>
      </c>
      <c r="AD1" s="212" t="s">
        <v>230</v>
      </c>
      <c r="AE1" s="212" t="s">
        <v>230</v>
      </c>
      <c r="AF1" s="213" t="s">
        <v>230</v>
      </c>
      <c r="AG1" s="216" t="s">
        <v>231</v>
      </c>
      <c r="AH1" s="217" t="s">
        <v>231</v>
      </c>
      <c r="AI1" s="217" t="s">
        <v>231</v>
      </c>
      <c r="AJ1" s="217" t="s">
        <v>231</v>
      </c>
      <c r="AK1" s="220" t="s">
        <v>231</v>
      </c>
      <c r="AL1" s="210" t="s">
        <v>232</v>
      </c>
      <c r="AM1" s="211" t="s">
        <v>232</v>
      </c>
      <c r="AN1" s="211" t="s">
        <v>232</v>
      </c>
      <c r="AO1" s="211" t="s">
        <v>232</v>
      </c>
      <c r="AP1" s="211" t="s">
        <v>232</v>
      </c>
      <c r="AQ1" s="212" t="s">
        <v>232</v>
      </c>
      <c r="AR1" s="212" t="s">
        <v>232</v>
      </c>
      <c r="AS1" s="213"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
  <sheetViews>
    <sheetView workbookViewId="0">
      <pane ySplit="1" topLeftCell="A2" activePane="bottomLeft" state="frozen"/>
      <selection pane="bottomLeft" activeCell="A4" sqref="A3:A4"/>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7"/>
    <col min="12" max="12" width="12.44140625" style="157" customWidth="1"/>
    <col min="13" max="13" width="13.77734375" style="157" customWidth="1"/>
    <col min="14" max="14" width="12.77734375" style="157" customWidth="1"/>
    <col min="15" max="15" width="14" style="177" customWidth="1"/>
    <col min="16" max="16" width="13.21875" style="198" customWidth="1"/>
    <col min="17" max="17" width="13.5546875" style="198" customWidth="1"/>
    <col min="18" max="18" width="9.33203125" style="198" customWidth="1"/>
    <col min="19" max="19" width="13.44140625" style="198" customWidth="1"/>
    <col min="20" max="20" width="13.88671875" customWidth="1"/>
    <col min="23" max="23" width="10.44140625" customWidth="1"/>
    <col min="24" max="24" width="13.44140625" customWidth="1"/>
    <col min="28" max="29" width="10.77734375" customWidth="1"/>
    <col min="30" max="30" width="12.109375" customWidth="1"/>
  </cols>
  <sheetData>
    <row r="1" spans="1:30" s="197" customFormat="1" ht="43.2">
      <c r="A1" s="196" t="s">
        <v>87</v>
      </c>
      <c r="B1" s="196" t="s">
        <v>0</v>
      </c>
      <c r="C1" s="196" t="s">
        <v>113</v>
      </c>
      <c r="D1" s="196" t="s">
        <v>114</v>
      </c>
      <c r="E1" s="196" t="s">
        <v>115</v>
      </c>
      <c r="F1" s="196" t="s">
        <v>116</v>
      </c>
      <c r="G1" s="196" t="s">
        <v>117</v>
      </c>
      <c r="H1" s="205" t="s">
        <v>118</v>
      </c>
      <c r="I1" s="205" t="s">
        <v>540</v>
      </c>
      <c r="J1" s="206" t="s">
        <v>757</v>
      </c>
      <c r="K1" s="207" t="s">
        <v>758</v>
      </c>
      <c r="L1" s="207" t="s">
        <v>717</v>
      </c>
      <c r="M1" s="207" t="s">
        <v>718</v>
      </c>
      <c r="N1" s="207" t="s">
        <v>719</v>
      </c>
      <c r="O1" s="207" t="s">
        <v>759</v>
      </c>
      <c r="P1" s="207" t="s">
        <v>832</v>
      </c>
      <c r="Q1" s="207" t="s">
        <v>833</v>
      </c>
      <c r="R1" s="207" t="s">
        <v>834</v>
      </c>
      <c r="S1" s="207" t="s">
        <v>835</v>
      </c>
      <c r="T1" s="196" t="s">
        <v>120</v>
      </c>
      <c r="U1" s="196" t="s">
        <v>121</v>
      </c>
      <c r="V1" s="195" t="s">
        <v>122</v>
      </c>
      <c r="W1" s="195" t="s">
        <v>123</v>
      </c>
      <c r="X1" s="197" t="s">
        <v>124</v>
      </c>
      <c r="Y1" s="197" t="s">
        <v>125</v>
      </c>
      <c r="Z1" s="197" t="s">
        <v>126</v>
      </c>
      <c r="AA1" s="197" t="s">
        <v>127</v>
      </c>
      <c r="AB1" s="197" t="s">
        <v>128</v>
      </c>
      <c r="AC1" s="197" t="s">
        <v>129</v>
      </c>
      <c r="AD1" s="197"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t="str">
        <f>CONCATENATE(TEXT(FLOOR(J2,1),"@")," ",TEXT(J2,"hh:mm:ss"))</f>
        <v>0 01:34:13</v>
      </c>
      <c r="L2" s="161">
        <v>42705</v>
      </c>
      <c r="M2" s="161">
        <v>42706</v>
      </c>
      <c r="N2" s="162">
        <v>2.89</v>
      </c>
      <c r="O2" s="162">
        <v>2</v>
      </c>
      <c r="P2" s="161">
        <v>42705</v>
      </c>
      <c r="Q2" s="161">
        <v>42706</v>
      </c>
      <c r="R2" s="162">
        <v>2.89</v>
      </c>
      <c r="S2" s="162">
        <v>2</v>
      </c>
      <c r="T2" s="10" t="s">
        <v>135</v>
      </c>
      <c r="U2" s="24">
        <v>1.01</v>
      </c>
      <c r="V2" s="11">
        <v>256</v>
      </c>
      <c r="W2" s="11">
        <v>0</v>
      </c>
      <c r="Y2" s="10" t="b">
        <v>1</v>
      </c>
      <c r="Z2" s="10" t="b">
        <v>1</v>
      </c>
      <c r="AA2" s="10" t="b">
        <v>1</v>
      </c>
      <c r="AB2" s="10" t="s">
        <v>136</v>
      </c>
      <c r="AC2" s="10" t="s">
        <v>137</v>
      </c>
      <c r="AD2" s="10" t="s">
        <v>138</v>
      </c>
    </row>
  </sheetData>
  <conditionalFormatting sqref="D1:D1048576">
    <cfRule type="cellIs" dxfId="429"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81" t="s">
        <v>90</v>
      </c>
      <c r="B1" s="181" t="s">
        <v>415</v>
      </c>
      <c r="C1" s="181" t="s">
        <v>0</v>
      </c>
      <c r="D1" s="181" t="s">
        <v>416</v>
      </c>
      <c r="E1" s="181" t="s">
        <v>792</v>
      </c>
      <c r="F1" s="181" t="s">
        <v>792</v>
      </c>
      <c r="G1" s="181" t="s">
        <v>793</v>
      </c>
      <c r="H1" s="181" t="s">
        <v>820</v>
      </c>
      <c r="I1" s="181" t="s">
        <v>821</v>
      </c>
      <c r="J1" s="181" t="s">
        <v>822</v>
      </c>
      <c r="K1" s="181" t="s">
        <v>823</v>
      </c>
      <c r="L1" s="181" t="s">
        <v>824</v>
      </c>
      <c r="M1" s="181" t="s">
        <v>420</v>
      </c>
      <c r="N1" s="181" t="s">
        <v>51</v>
      </c>
      <c r="O1" s="181" t="s">
        <v>794</v>
      </c>
      <c r="P1" s="181" t="s">
        <v>795</v>
      </c>
      <c r="Q1" s="181" t="s">
        <v>796</v>
      </c>
      <c r="R1" s="181" t="s">
        <v>797</v>
      </c>
      <c r="S1" s="181" t="s">
        <v>798</v>
      </c>
      <c r="T1" s="181" t="s">
        <v>799</v>
      </c>
      <c r="U1" s="15" t="s">
        <v>99</v>
      </c>
    </row>
    <row r="2" spans="1:21" s="10" customFormat="1">
      <c r="A2" s="20" t="s">
        <v>47</v>
      </c>
      <c r="B2" s="10" t="s">
        <v>800</v>
      </c>
      <c r="C2" s="20" t="s">
        <v>50</v>
      </c>
      <c r="D2" s="182">
        <v>3</v>
      </c>
      <c r="E2" s="182">
        <v>60</v>
      </c>
      <c r="F2" s="182">
        <v>6</v>
      </c>
      <c r="G2" s="182">
        <v>5</v>
      </c>
      <c r="L2" s="182">
        <v>0</v>
      </c>
      <c r="M2" s="182">
        <v>26</v>
      </c>
      <c r="N2" s="182">
        <v>91</v>
      </c>
      <c r="O2" s="182">
        <v>57</v>
      </c>
      <c r="P2" s="182">
        <v>60</v>
      </c>
      <c r="U2" s="10" t="s">
        <v>801</v>
      </c>
    </row>
  </sheetData>
  <autoFilter ref="A1:E1"/>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
  <sheetViews>
    <sheetView workbookViewId="0">
      <pane ySplit="2" topLeftCell="A3" activePane="bottomLeft" state="frozen"/>
      <selection pane="bottomLeft" activeCell="R14" sqref="R14"/>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21" t="s">
        <v>88</v>
      </c>
      <c r="J1" s="222" t="s">
        <v>88</v>
      </c>
      <c r="K1" s="220" t="s">
        <v>88</v>
      </c>
      <c r="L1" s="14"/>
      <c r="M1" s="181"/>
      <c r="N1" s="223" t="s">
        <v>417</v>
      </c>
      <c r="O1" s="224" t="s">
        <v>417</v>
      </c>
      <c r="P1" s="224" t="s">
        <v>417</v>
      </c>
      <c r="Q1" s="224" t="s">
        <v>417</v>
      </c>
      <c r="R1" s="224" t="s">
        <v>417</v>
      </c>
      <c r="S1" s="224" t="s">
        <v>417</v>
      </c>
      <c r="T1" s="224" t="s">
        <v>417</v>
      </c>
      <c r="U1" s="225" t="s">
        <v>417</v>
      </c>
    </row>
    <row r="2" spans="1:25" s="15" customFormat="1">
      <c r="A2" s="13" t="s">
        <v>51</v>
      </c>
      <c r="B2" s="13" t="s">
        <v>89</v>
      </c>
      <c r="C2" s="13" t="s">
        <v>90</v>
      </c>
      <c r="D2" s="13" t="s">
        <v>413</v>
      </c>
      <c r="E2" s="13" t="s">
        <v>825</v>
      </c>
      <c r="F2" s="13" t="s">
        <v>91</v>
      </c>
      <c r="G2" s="13" t="s">
        <v>92</v>
      </c>
      <c r="H2" s="13" t="s">
        <v>826</v>
      </c>
      <c r="I2" s="199" t="s">
        <v>93</v>
      </c>
      <c r="J2" s="13" t="s">
        <v>94</v>
      </c>
      <c r="K2" s="16" t="s">
        <v>95</v>
      </c>
      <c r="L2" s="14" t="s">
        <v>96</v>
      </c>
      <c r="M2" s="181" t="s">
        <v>827</v>
      </c>
      <c r="N2" s="200" t="s">
        <v>97</v>
      </c>
      <c r="O2" s="181" t="s">
        <v>98</v>
      </c>
      <c r="P2" s="181" t="s">
        <v>419</v>
      </c>
      <c r="Q2" s="181" t="s">
        <v>541</v>
      </c>
      <c r="R2" s="181" t="s">
        <v>542</v>
      </c>
      <c r="S2" s="181" t="s">
        <v>828</v>
      </c>
      <c r="T2" s="181" t="s">
        <v>829</v>
      </c>
      <c r="U2" s="201" t="s">
        <v>420</v>
      </c>
      <c r="V2" s="15" t="s">
        <v>830</v>
      </c>
      <c r="W2" s="15" t="s">
        <v>831</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26" t="s">
        <v>291</v>
      </c>
      <c r="B1" s="227"/>
      <c r="C1" s="227"/>
      <c r="D1" s="227"/>
      <c r="E1" s="227"/>
      <c r="F1" s="227"/>
      <c r="G1" s="227"/>
      <c r="H1" s="227"/>
      <c r="I1" s="227"/>
      <c r="J1" s="227"/>
      <c r="K1" s="227"/>
    </row>
    <row r="2" spans="1:11">
      <c r="A2" s="179" t="s">
        <v>0</v>
      </c>
      <c r="B2" s="180" t="s">
        <v>16</v>
      </c>
      <c r="C2" s="177"/>
      <c r="D2" s="179" t="s">
        <v>0</v>
      </c>
      <c r="E2" s="180" t="s">
        <v>16</v>
      </c>
      <c r="G2" s="179" t="s">
        <v>0</v>
      </c>
      <c r="H2" s="180" t="s">
        <v>16</v>
      </c>
    </row>
    <row r="3" spans="1:11">
      <c r="A3" s="179" t="s">
        <v>51</v>
      </c>
      <c r="B3" s="180" t="s">
        <v>16</v>
      </c>
      <c r="C3" s="177"/>
      <c r="D3" s="179" t="s">
        <v>51</v>
      </c>
      <c r="E3" s="180" t="s">
        <v>16</v>
      </c>
      <c r="G3" s="179" t="s">
        <v>51</v>
      </c>
      <c r="H3" s="180" t="s">
        <v>16</v>
      </c>
    </row>
    <row r="4" spans="1:11">
      <c r="A4" s="179" t="s">
        <v>3</v>
      </c>
      <c r="B4" s="180" t="s">
        <v>752</v>
      </c>
      <c r="C4" s="177"/>
      <c r="D4" s="179" t="s">
        <v>3</v>
      </c>
      <c r="E4" s="180" t="s">
        <v>754</v>
      </c>
      <c r="G4" s="179" t="s">
        <v>3</v>
      </c>
      <c r="H4" s="180" t="s">
        <v>753</v>
      </c>
    </row>
    <row r="5" spans="1:11">
      <c r="A5" s="177"/>
      <c r="B5" s="177"/>
      <c r="C5" s="177"/>
      <c r="D5" s="177"/>
      <c r="E5" s="177"/>
      <c r="G5" s="177"/>
      <c r="H5" s="177"/>
    </row>
    <row r="6" spans="1:11">
      <c r="A6" s="179" t="s">
        <v>720</v>
      </c>
      <c r="B6" t="s">
        <v>420</v>
      </c>
      <c r="D6" s="179" t="s">
        <v>720</v>
      </c>
      <c r="E6" t="s">
        <v>420</v>
      </c>
      <c r="G6" s="179" t="s">
        <v>720</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6.44140625" style="177" customWidth="1"/>
    <col min="2" max="2" width="27.109375" style="177" customWidth="1"/>
    <col min="3" max="3" width="5.77734375" style="177" customWidth="1"/>
    <col min="4" max="4" width="16.44140625" style="177" customWidth="1"/>
    <col min="5" max="5" width="27.77734375" style="177" customWidth="1"/>
    <col min="6" max="6" width="8.88671875" style="177"/>
    <col min="7" max="7" width="16.44140625" style="177" customWidth="1"/>
    <col min="8" max="8" width="27.77734375" style="177" customWidth="1"/>
    <col min="9" max="9" width="8.88671875" style="177"/>
    <col min="10" max="10" width="10.77734375" style="177" bestFit="1" customWidth="1"/>
    <col min="11" max="11" width="26" style="177" bestFit="1" customWidth="1"/>
    <col min="12" max="12" width="4.44140625" style="177" customWidth="1"/>
    <col min="13" max="13" width="10.77734375" style="177" customWidth="1"/>
    <col min="14" max="14" width="36.33203125" style="177" bestFit="1" customWidth="1"/>
    <col min="15" max="16384" width="8.88671875" style="177"/>
  </cols>
  <sheetData>
    <row r="1" spans="1:14">
      <c r="A1" s="226" t="s">
        <v>291</v>
      </c>
      <c r="B1" s="227"/>
      <c r="C1" s="227"/>
      <c r="D1" s="227"/>
      <c r="E1" s="227"/>
      <c r="F1" s="227"/>
      <c r="G1" s="227"/>
      <c r="H1" s="227"/>
      <c r="I1" s="227"/>
      <c r="J1" s="227"/>
      <c r="K1" s="227"/>
      <c r="L1" s="226"/>
      <c r="M1" s="227"/>
      <c r="N1" s="227"/>
    </row>
    <row r="2" spans="1:14">
      <c r="A2" s="179" t="s">
        <v>0</v>
      </c>
      <c r="B2" s="180" t="s">
        <v>16</v>
      </c>
      <c r="D2" s="179" t="s">
        <v>0</v>
      </c>
      <c r="E2" s="180" t="s">
        <v>16</v>
      </c>
      <c r="G2" s="179" t="s">
        <v>0</v>
      </c>
      <c r="H2" s="180" t="s">
        <v>16</v>
      </c>
      <c r="J2" s="226"/>
      <c r="K2" s="227"/>
      <c r="L2" s="227"/>
      <c r="M2" s="226"/>
      <c r="N2" s="227"/>
    </row>
    <row r="3" spans="1:14">
      <c r="A3" s="179" t="s">
        <v>51</v>
      </c>
      <c r="B3" s="180" t="s">
        <v>16</v>
      </c>
      <c r="D3" s="179" t="s">
        <v>51</v>
      </c>
      <c r="E3" s="180" t="s">
        <v>16</v>
      </c>
      <c r="G3" s="179" t="s">
        <v>51</v>
      </c>
      <c r="H3" s="180" t="s">
        <v>16</v>
      </c>
      <c r="J3" s="203" t="s">
        <v>0</v>
      </c>
      <c r="K3" s="204" t="s">
        <v>16</v>
      </c>
      <c r="M3" s="203" t="s">
        <v>0</v>
      </c>
      <c r="N3" s="204" t="s">
        <v>16</v>
      </c>
    </row>
    <row r="4" spans="1:14">
      <c r="A4" s="179" t="s">
        <v>3</v>
      </c>
      <c r="B4" s="180" t="s">
        <v>752</v>
      </c>
      <c r="D4" s="179" t="s">
        <v>3</v>
      </c>
      <c r="E4" s="180" t="s">
        <v>754</v>
      </c>
      <c r="G4" s="179" t="s">
        <v>3</v>
      </c>
      <c r="H4" s="180" t="s">
        <v>753</v>
      </c>
      <c r="J4" s="203" t="s">
        <v>3</v>
      </c>
      <c r="K4" s="204" t="s">
        <v>750</v>
      </c>
      <c r="M4" s="203" t="s">
        <v>3</v>
      </c>
      <c r="N4" s="204" t="s">
        <v>751</v>
      </c>
    </row>
    <row r="5" spans="1:14">
      <c r="L5"/>
    </row>
    <row r="6" spans="1:14">
      <c r="A6" s="179" t="s">
        <v>286</v>
      </c>
      <c r="B6" t="s">
        <v>420</v>
      </c>
      <c r="D6" s="179" t="s">
        <v>286</v>
      </c>
      <c r="E6" t="s">
        <v>420</v>
      </c>
      <c r="G6" s="179" t="s">
        <v>286</v>
      </c>
      <c r="H6" t="s">
        <v>420</v>
      </c>
      <c r="J6" s="203" t="s">
        <v>286</v>
      </c>
      <c r="K6" t="s">
        <v>755</v>
      </c>
      <c r="L6"/>
      <c r="M6" s="203" t="s">
        <v>286</v>
      </c>
      <c r="N6" t="s">
        <v>756</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8" sqref="D8"/>
    </sheetView>
  </sheetViews>
  <sheetFormatPr defaultRowHeight="14.4"/>
  <cols>
    <col min="1" max="1" width="32.109375" customWidth="1"/>
    <col min="2" max="2" width="16.44140625" customWidth="1"/>
    <col min="3" max="3" width="18.109375" customWidth="1"/>
    <col min="4" max="4" width="11.33203125" customWidth="1"/>
    <col min="5" max="5" width="7.88671875" style="169" customWidth="1"/>
    <col min="6" max="6" width="23.109375" style="185"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28" t="s">
        <v>365</v>
      </c>
      <c r="C1" s="229"/>
      <c r="D1" s="229"/>
      <c r="E1" s="229"/>
      <c r="F1" s="229"/>
      <c r="G1" s="229"/>
      <c r="H1" s="229"/>
      <c r="I1" s="229"/>
      <c r="J1" s="229"/>
      <c r="K1" s="229"/>
      <c r="M1" s="58"/>
      <c r="N1" s="228"/>
      <c r="O1" s="229"/>
      <c r="P1" s="229"/>
      <c r="Q1" s="229"/>
    </row>
    <row r="2" spans="1:17">
      <c r="A2" s="28"/>
      <c r="D2" s="50"/>
      <c r="E2" s="168"/>
      <c r="F2" s="183"/>
      <c r="G2" s="50"/>
      <c r="J2" s="50"/>
      <c r="K2" s="58"/>
      <c r="L2" s="58"/>
      <c r="M2" s="58"/>
      <c r="N2" s="153"/>
      <c r="O2" s="148"/>
      <c r="P2" s="126"/>
    </row>
    <row r="3" spans="1:17">
      <c r="A3" s="27"/>
      <c r="B3" s="186" t="s">
        <v>0</v>
      </c>
      <c r="C3" s="187" t="s">
        <v>16</v>
      </c>
      <c r="H3" s="179" t="s">
        <v>0</v>
      </c>
      <c r="I3" s="180" t="s">
        <v>16</v>
      </c>
      <c r="N3" s="153"/>
      <c r="O3" s="148"/>
      <c r="P3" s="127"/>
    </row>
    <row r="4" spans="1:17">
      <c r="A4" s="27"/>
      <c r="B4" s="186" t="s">
        <v>51</v>
      </c>
      <c r="C4" s="187" t="s">
        <v>16</v>
      </c>
      <c r="H4" s="179" t="s">
        <v>51</v>
      </c>
      <c r="I4" s="180" t="s">
        <v>16</v>
      </c>
      <c r="N4" s="153"/>
      <c r="O4" s="148"/>
      <c r="P4" s="127"/>
    </row>
    <row r="5" spans="1:17">
      <c r="A5" s="27"/>
      <c r="B5" s="186" t="s">
        <v>3</v>
      </c>
      <c r="C5" s="187" t="s">
        <v>10</v>
      </c>
      <c r="H5" s="179" t="s">
        <v>3</v>
      </c>
      <c r="I5" s="180" t="s">
        <v>9</v>
      </c>
      <c r="N5" s="153"/>
      <c r="O5" s="148"/>
      <c r="P5" s="127"/>
    </row>
    <row r="6" spans="1:17">
      <c r="A6" s="27"/>
      <c r="N6" s="127"/>
      <c r="O6" s="127"/>
      <c r="P6" s="127"/>
    </row>
    <row r="7" spans="1:17">
      <c r="A7" s="22" t="s">
        <v>92</v>
      </c>
      <c r="B7" s="186" t="s">
        <v>720</v>
      </c>
      <c r="C7" s="187" t="s">
        <v>292</v>
      </c>
      <c r="D7" s="187" t="s">
        <v>804</v>
      </c>
      <c r="E7" s="187" t="s">
        <v>239</v>
      </c>
      <c r="F7" s="187" t="s">
        <v>403</v>
      </c>
      <c r="H7" s="179" t="s">
        <v>720</v>
      </c>
      <c r="I7" s="180" t="s">
        <v>368</v>
      </c>
      <c r="J7" s="180" t="s">
        <v>364</v>
      </c>
      <c r="K7" s="180" t="s">
        <v>369</v>
      </c>
      <c r="N7" s="153"/>
      <c r="O7" s="148"/>
      <c r="P7" s="148"/>
      <c r="Q7" s="148"/>
    </row>
    <row r="8" spans="1:17">
      <c r="A8" s="21" t="e">
        <f>INDEX('DDL Tables'!$F:$F,MATCH(SUBSTITUTE(B8," (index)", ""),'DDL Tables'!$C:$C,0))</f>
        <v>#N/A</v>
      </c>
      <c r="B8" s="4" t="s">
        <v>47</v>
      </c>
      <c r="C8" s="9">
        <v>2.5000000000000001E-2</v>
      </c>
      <c r="D8" s="9">
        <v>2.5000000000000001E-2</v>
      </c>
      <c r="E8" s="9">
        <v>2.5000000000000001E-2</v>
      </c>
      <c r="F8" s="9">
        <v>0</v>
      </c>
      <c r="H8" s="4" t="s">
        <v>47</v>
      </c>
      <c r="I8" s="5">
        <v>23</v>
      </c>
      <c r="J8" s="5">
        <v>23</v>
      </c>
      <c r="K8" s="180">
        <v>23</v>
      </c>
      <c r="L8" s="5"/>
      <c r="M8" s="5"/>
      <c r="N8" s="4"/>
      <c r="O8" s="5"/>
      <c r="P8" s="5"/>
      <c r="Q8" s="5"/>
    </row>
    <row r="9" spans="1:17">
      <c r="B9" s="4" t="s">
        <v>17</v>
      </c>
      <c r="C9" s="9">
        <v>2.5000000000000001E-2</v>
      </c>
      <c r="D9" s="9">
        <v>2.5000000000000001E-2</v>
      </c>
      <c r="E9" s="9">
        <v>2.5000000000000001E-2</v>
      </c>
      <c r="F9" s="9">
        <v>0</v>
      </c>
      <c r="H9" s="4" t="s">
        <v>17</v>
      </c>
      <c r="I9" s="5">
        <v>23</v>
      </c>
      <c r="J9" s="5">
        <v>23</v>
      </c>
      <c r="K9" s="180">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9" customWidth="1"/>
    <col min="7" max="7" width="23.109375" style="185"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28" t="s">
        <v>365</v>
      </c>
      <c r="D1" s="229"/>
      <c r="E1" s="229"/>
      <c r="F1" s="229"/>
      <c r="G1" s="229"/>
      <c r="H1" s="229"/>
      <c r="I1" s="229"/>
      <c r="J1" s="229"/>
      <c r="K1" s="58"/>
      <c r="L1" s="232" t="s">
        <v>472</v>
      </c>
      <c r="M1" s="233"/>
      <c r="N1" s="229"/>
      <c r="O1" s="229"/>
      <c r="P1" s="229"/>
      <c r="Q1" s="229"/>
      <c r="R1" s="229"/>
      <c r="S1" s="229"/>
      <c r="T1" s="229"/>
      <c r="U1" s="229"/>
      <c r="V1" s="229"/>
      <c r="W1" s="229"/>
    </row>
    <row r="2" spans="1:23">
      <c r="A2" s="28"/>
      <c r="B2" s="28"/>
      <c r="C2" s="184" t="s">
        <v>0</v>
      </c>
      <c r="D2" s="185" t="s">
        <v>16</v>
      </c>
      <c r="E2" s="28"/>
      <c r="F2" s="28"/>
      <c r="G2" s="28"/>
      <c r="H2" s="28"/>
      <c r="I2" s="230" t="s">
        <v>0</v>
      </c>
      <c r="J2" s="231" t="s">
        <v>16</v>
      </c>
      <c r="L2" s="59"/>
      <c r="M2" s="59"/>
      <c r="N2" s="59"/>
      <c r="O2" s="59"/>
      <c r="P2" s="59"/>
      <c r="Q2" s="59"/>
      <c r="R2" s="59"/>
      <c r="S2" s="59"/>
      <c r="T2" s="59"/>
      <c r="U2" s="59"/>
      <c r="V2" s="59"/>
      <c r="W2" s="59"/>
    </row>
    <row r="3" spans="1:23">
      <c r="A3" s="28"/>
      <c r="B3" s="28"/>
      <c r="C3" s="184" t="s">
        <v>1</v>
      </c>
      <c r="D3" s="185" t="s">
        <v>16</v>
      </c>
      <c r="E3" s="28"/>
      <c r="F3" s="28"/>
      <c r="G3" s="28"/>
      <c r="H3" s="28"/>
      <c r="I3" s="230" t="s">
        <v>1</v>
      </c>
      <c r="J3" s="231" t="s">
        <v>16</v>
      </c>
      <c r="L3" s="59"/>
      <c r="M3" s="60"/>
      <c r="N3" s="60"/>
      <c r="O3" s="60"/>
      <c r="P3" s="60"/>
      <c r="Q3" s="60"/>
      <c r="R3" s="60"/>
      <c r="S3" s="60"/>
      <c r="T3" s="60"/>
      <c r="U3" s="60"/>
      <c r="V3" s="60"/>
      <c r="W3" s="60"/>
    </row>
    <row r="4" spans="1:23">
      <c r="A4" s="28"/>
      <c r="B4" s="28"/>
      <c r="C4" s="184" t="s">
        <v>2</v>
      </c>
      <c r="D4" s="185" t="s">
        <v>16</v>
      </c>
      <c r="I4" s="179" t="s">
        <v>2</v>
      </c>
      <c r="J4" s="180" t="s">
        <v>16</v>
      </c>
      <c r="L4" s="28"/>
      <c r="M4" s="28"/>
      <c r="R4" s="28"/>
      <c r="S4" s="28"/>
    </row>
    <row r="5" spans="1:23">
      <c r="A5" s="28"/>
      <c r="B5" s="28"/>
      <c r="C5" s="184" t="s">
        <v>51</v>
      </c>
      <c r="D5" s="185" t="s">
        <v>16</v>
      </c>
      <c r="I5" s="179" t="s">
        <v>51</v>
      </c>
      <c r="J5" s="180" t="s">
        <v>16</v>
      </c>
      <c r="L5" s="203" t="s">
        <v>0</v>
      </c>
      <c r="M5" s="204" t="s">
        <v>16</v>
      </c>
      <c r="R5" s="203" t="s">
        <v>0</v>
      </c>
      <c r="S5" s="204" t="s">
        <v>16</v>
      </c>
    </row>
    <row r="6" spans="1:23">
      <c r="A6" s="28"/>
      <c r="B6" s="28"/>
      <c r="C6" s="184" t="s">
        <v>3</v>
      </c>
      <c r="D6" s="185" t="s">
        <v>10</v>
      </c>
      <c r="I6" s="179" t="s">
        <v>3</v>
      </c>
      <c r="J6" s="180" t="s">
        <v>9</v>
      </c>
      <c r="L6" s="203" t="s">
        <v>3</v>
      </c>
      <c r="M6" s="204" t="s">
        <v>300</v>
      </c>
      <c r="R6" s="203" t="s">
        <v>3</v>
      </c>
      <c r="S6" s="204" t="s">
        <v>300</v>
      </c>
    </row>
    <row r="7" spans="1:23">
      <c r="A7" s="28"/>
      <c r="B7" s="28"/>
    </row>
    <row r="8" spans="1:23">
      <c r="A8" s="22" t="s">
        <v>680</v>
      </c>
      <c r="B8" s="22" t="s">
        <v>119</v>
      </c>
      <c r="C8" s="184" t="s">
        <v>286</v>
      </c>
      <c r="D8" s="185" t="s">
        <v>292</v>
      </c>
      <c r="E8" s="185" t="s">
        <v>346</v>
      </c>
      <c r="F8" s="185" t="s">
        <v>239</v>
      </c>
      <c r="G8" s="185" t="s">
        <v>403</v>
      </c>
      <c r="I8" s="179" t="s">
        <v>286</v>
      </c>
      <c r="J8" t="s">
        <v>370</v>
      </c>
      <c r="L8" s="203" t="s">
        <v>286</v>
      </c>
      <c r="M8" s="204" t="s">
        <v>302</v>
      </c>
      <c r="N8" s="204" t="s">
        <v>396</v>
      </c>
      <c r="O8" s="204" t="s">
        <v>301</v>
      </c>
      <c r="P8" s="204" t="s">
        <v>404</v>
      </c>
      <c r="R8" s="203" t="s">
        <v>286</v>
      </c>
      <c r="S8" s="204" t="s">
        <v>303</v>
      </c>
      <c r="T8" s="204" t="s">
        <v>304</v>
      </c>
      <c r="U8" s="204"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4" customWidth="1"/>
    <col min="11" max="11" width="11.21875" style="164" customWidth="1"/>
    <col min="12" max="12" width="10.77734375" style="164" customWidth="1"/>
    <col min="13" max="13" width="24.5546875" style="164" customWidth="1"/>
    <col min="14" max="14" width="19.44140625" style="164" customWidth="1"/>
    <col min="15" max="15" width="19" style="164" customWidth="1"/>
    <col min="16" max="16" width="6.5546875" customWidth="1"/>
    <col min="17" max="17" width="26.5546875" customWidth="1"/>
    <col min="18" max="18" width="20.88671875" customWidth="1"/>
    <col min="19" max="19" width="11.21875" customWidth="1"/>
    <col min="20" max="20" width="10.77734375" customWidth="1"/>
    <col min="21" max="21" width="10.77734375" style="164"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28" t="s">
        <v>606</v>
      </c>
      <c r="C1" s="229"/>
      <c r="D1" s="229"/>
      <c r="E1" s="229"/>
      <c r="F1" s="229"/>
      <c r="G1" s="229"/>
      <c r="H1" s="229"/>
      <c r="I1" s="229"/>
      <c r="J1" s="229"/>
      <c r="K1" s="229"/>
      <c r="L1" s="229"/>
      <c r="M1" s="229"/>
      <c r="N1" s="229"/>
      <c r="O1" s="229"/>
      <c r="P1" s="229"/>
      <c r="Q1" s="229"/>
      <c r="R1" s="229"/>
      <c r="S1" s="155"/>
      <c r="T1" s="155"/>
      <c r="U1" s="163"/>
    </row>
    <row r="2" spans="1:21">
      <c r="A2" s="28"/>
      <c r="D2" s="154"/>
      <c r="E2" s="153"/>
      <c r="I2" s="154"/>
      <c r="J2" s="163"/>
      <c r="K2" s="163"/>
      <c r="L2" s="179" t="s">
        <v>0</v>
      </c>
      <c r="M2" s="180" t="s">
        <v>16</v>
      </c>
      <c r="N2" s="127"/>
      <c r="O2" s="54"/>
      <c r="P2" s="153"/>
      <c r="S2" s="154"/>
    </row>
    <row r="3" spans="1:21">
      <c r="A3" s="27"/>
      <c r="B3" s="179" t="s">
        <v>0</v>
      </c>
      <c r="C3" s="180" t="s">
        <v>16</v>
      </c>
      <c r="D3" s="153"/>
      <c r="E3" s="153"/>
      <c r="G3" s="179" t="s">
        <v>0</v>
      </c>
      <c r="H3" s="180" t="s">
        <v>16</v>
      </c>
      <c r="I3" s="153"/>
      <c r="L3" s="179" t="s">
        <v>1</v>
      </c>
      <c r="M3" s="180" t="s">
        <v>16</v>
      </c>
      <c r="N3" s="126"/>
      <c r="O3" s="127"/>
      <c r="P3" s="153"/>
      <c r="Q3" s="179" t="s">
        <v>0</v>
      </c>
      <c r="R3" s="180" t="s">
        <v>16</v>
      </c>
      <c r="S3" s="153"/>
    </row>
    <row r="4" spans="1:21">
      <c r="A4" s="27"/>
      <c r="B4" s="179" t="s">
        <v>51</v>
      </c>
      <c r="C4" s="180" t="s">
        <v>16</v>
      </c>
      <c r="D4" s="153"/>
      <c r="E4" s="153"/>
      <c r="G4" s="179" t="s">
        <v>51</v>
      </c>
      <c r="H4" s="180" t="s">
        <v>16</v>
      </c>
      <c r="I4" s="153"/>
      <c r="L4" s="179" t="s">
        <v>2</v>
      </c>
      <c r="M4" s="180" t="s">
        <v>16</v>
      </c>
      <c r="N4" s="127"/>
      <c r="O4" s="127"/>
      <c r="P4" s="153"/>
      <c r="Q4" s="179" t="s">
        <v>51</v>
      </c>
      <c r="R4" s="180" t="s">
        <v>16</v>
      </c>
      <c r="S4" s="153"/>
    </row>
    <row r="5" spans="1:21">
      <c r="A5" s="27"/>
      <c r="B5" s="179" t="s">
        <v>3</v>
      </c>
      <c r="C5" s="180" t="s">
        <v>25</v>
      </c>
      <c r="D5" s="153"/>
      <c r="E5" s="153"/>
      <c r="G5" s="179" t="s">
        <v>3</v>
      </c>
      <c r="H5" s="180" t="s">
        <v>427</v>
      </c>
      <c r="I5" s="153"/>
      <c r="L5" s="179" t="s">
        <v>51</v>
      </c>
      <c r="M5" s="180" t="s">
        <v>16</v>
      </c>
      <c r="N5" s="127"/>
      <c r="O5" s="127"/>
      <c r="P5" s="153"/>
      <c r="Q5" s="179" t="s">
        <v>3</v>
      </c>
      <c r="R5" s="180" t="s">
        <v>703</v>
      </c>
      <c r="S5" s="153"/>
    </row>
    <row r="6" spans="1:21">
      <c r="A6" s="27"/>
      <c r="B6" s="153"/>
      <c r="C6" s="153"/>
      <c r="D6" s="153"/>
      <c r="E6" s="153"/>
      <c r="G6" s="153"/>
      <c r="H6" s="153"/>
      <c r="I6" s="153"/>
      <c r="L6" s="179" t="s">
        <v>3</v>
      </c>
      <c r="M6" s="180" t="s">
        <v>25</v>
      </c>
      <c r="N6" s="127"/>
      <c r="O6" s="127"/>
      <c r="P6" s="153"/>
      <c r="Q6" s="153"/>
      <c r="R6" s="153"/>
      <c r="S6" s="153"/>
    </row>
    <row r="7" spans="1:21">
      <c r="A7" s="22" t="s">
        <v>92</v>
      </c>
      <c r="B7" s="179" t="s">
        <v>720</v>
      </c>
      <c r="C7" s="180" t="s">
        <v>603</v>
      </c>
      <c r="D7" s="180" t="s">
        <v>604</v>
      </c>
      <c r="E7" s="180" t="s">
        <v>605</v>
      </c>
      <c r="G7" s="179" t="s">
        <v>720</v>
      </c>
      <c r="H7" s="180" t="s">
        <v>701</v>
      </c>
      <c r="I7" s="180" t="s">
        <v>702</v>
      </c>
      <c r="L7" s="127"/>
      <c r="M7" s="127"/>
      <c r="N7" s="127"/>
      <c r="O7" s="127"/>
      <c r="Q7" s="179" t="s">
        <v>711</v>
      </c>
      <c r="R7" s="179" t="s">
        <v>720</v>
      </c>
    </row>
    <row r="8" spans="1:21">
      <c r="A8" s="21" t="e">
        <f>INDEX('DDL Tables'!$F:$F,MATCH(SUBSTITUTE(B8," (index)", ""),'DDL Tables'!$C:$C,0))</f>
        <v>#N/A</v>
      </c>
      <c r="B8" s="4" t="s">
        <v>47</v>
      </c>
      <c r="C8" s="5">
        <v>0</v>
      </c>
      <c r="D8" s="5">
        <v>0</v>
      </c>
      <c r="E8" s="5">
        <v>0</v>
      </c>
      <c r="G8" s="4" t="s">
        <v>47</v>
      </c>
      <c r="H8" s="99">
        <v>35</v>
      </c>
      <c r="I8" s="99">
        <v>35</v>
      </c>
      <c r="J8" s="99"/>
      <c r="K8" s="22" t="s">
        <v>680</v>
      </c>
      <c r="L8" s="179" t="s">
        <v>286</v>
      </c>
      <c r="M8" s="180" t="s">
        <v>607</v>
      </c>
      <c r="N8" s="180" t="s">
        <v>604</v>
      </c>
      <c r="O8" s="180" t="s">
        <v>605</v>
      </c>
      <c r="R8" s="180" t="s">
        <v>47</v>
      </c>
      <c r="S8" s="180" t="s">
        <v>721</v>
      </c>
      <c r="T8" s="180" t="s">
        <v>17</v>
      </c>
    </row>
    <row r="9" spans="1:21">
      <c r="B9" s="4" t="s">
        <v>17</v>
      </c>
      <c r="C9" s="5">
        <v>0</v>
      </c>
      <c r="D9" s="5">
        <v>0</v>
      </c>
      <c r="E9" s="5">
        <v>0</v>
      </c>
      <c r="G9" s="4" t="s">
        <v>17</v>
      </c>
      <c r="H9" s="99">
        <v>35</v>
      </c>
      <c r="I9" s="99">
        <v>35</v>
      </c>
      <c r="J9" s="99"/>
      <c r="K9" s="26" t="e">
        <f>INDEX('OS-Machine Info'!$B:$B,MATCH(M9,'OS-Machine Info'!$A:$A,0))</f>
        <v>#N/A</v>
      </c>
      <c r="L9" s="4" t="s">
        <v>48</v>
      </c>
      <c r="M9" s="5">
        <v>0</v>
      </c>
      <c r="N9" s="5">
        <v>0</v>
      </c>
      <c r="O9" s="5">
        <v>0</v>
      </c>
      <c r="Q9" s="179" t="s">
        <v>2</v>
      </c>
      <c r="R9" s="180" t="s">
        <v>49</v>
      </c>
    </row>
    <row r="10" spans="1:21">
      <c r="L10" s="4" t="s">
        <v>17</v>
      </c>
      <c r="M10" s="5">
        <v>0</v>
      </c>
      <c r="N10" s="5">
        <v>0</v>
      </c>
      <c r="O10" s="5">
        <v>0</v>
      </c>
      <c r="Q10" s="4" t="s">
        <v>707</v>
      </c>
      <c r="R10" s="180">
        <v>1</v>
      </c>
      <c r="S10" s="180">
        <v>1</v>
      </c>
      <c r="T10" s="180">
        <v>1</v>
      </c>
    </row>
    <row r="11" spans="1:21">
      <c r="Q11" s="4" t="s">
        <v>709</v>
      </c>
      <c r="R11" s="180">
        <v>1</v>
      </c>
      <c r="S11" s="180">
        <v>1</v>
      </c>
      <c r="T11" s="180">
        <v>1</v>
      </c>
    </row>
    <row r="12" spans="1:21">
      <c r="Q12" s="4" t="s">
        <v>708</v>
      </c>
      <c r="R12" s="180">
        <v>1</v>
      </c>
      <c r="S12" s="180">
        <v>1</v>
      </c>
      <c r="T12" s="180">
        <v>1</v>
      </c>
    </row>
    <row r="13" spans="1:21">
      <c r="Q13" s="4" t="s">
        <v>706</v>
      </c>
      <c r="R13" s="180">
        <v>1</v>
      </c>
      <c r="S13" s="180">
        <v>1</v>
      </c>
      <c r="T13" s="180">
        <v>1</v>
      </c>
    </row>
    <row r="14" spans="1:21">
      <c r="Q14" s="4" t="s">
        <v>704</v>
      </c>
      <c r="R14" s="180">
        <v>3</v>
      </c>
      <c r="S14" s="180">
        <v>3</v>
      </c>
      <c r="T14" s="180">
        <v>3</v>
      </c>
    </row>
    <row r="15" spans="1:21">
      <c r="Q15" s="4" t="s">
        <v>705</v>
      </c>
      <c r="R15" s="180">
        <v>1</v>
      </c>
      <c r="S15" s="180">
        <v>1</v>
      </c>
      <c r="T15" s="180">
        <v>1</v>
      </c>
    </row>
    <row r="16" spans="1:21">
      <c r="Q16" s="4" t="s">
        <v>710</v>
      </c>
      <c r="R16" s="180">
        <v>1</v>
      </c>
      <c r="S16" s="180">
        <v>1</v>
      </c>
      <c r="T16" s="180">
        <v>1</v>
      </c>
    </row>
    <row r="17" spans="17:20">
      <c r="Q17" s="4" t="s">
        <v>17</v>
      </c>
      <c r="R17" s="180">
        <v>9</v>
      </c>
      <c r="S17" s="180">
        <v>9</v>
      </c>
      <c r="T17" s="180">
        <v>9</v>
      </c>
    </row>
  </sheetData>
  <mergeCells count="1">
    <mergeCell ref="B1:R1"/>
  </mergeCells>
  <conditionalFormatting sqref="O1:O1048576">
    <cfRule type="colorScale" priority="2">
      <colorScale>
        <cfvo type="min"/>
        <cfvo type="num" val="1000"/>
        <cfvo type="max"/>
        <color rgb="FF00B050"/>
        <color rgb="FFFFEB84"/>
        <color rgb="FFFF0000"/>
      </colorScale>
    </cfRule>
  </conditionalFormatting>
  <conditionalFormatting sqref="E1:E1048576">
    <cfRule type="colorScale" priority="1">
      <colorScale>
        <cfvo type="num" val="0"/>
        <cfvo type="num" val="500"/>
        <cfvo type="max"/>
        <color rgb="FF00B050"/>
        <color rgb="FF92D050"/>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D8" sqref="D8"/>
    </sheetView>
  </sheetViews>
  <sheetFormatPr defaultRowHeight="14.4"/>
  <cols>
    <col min="1" max="1" width="31.44140625" style="21" customWidth="1"/>
    <col min="2" max="2" width="16.44140625" customWidth="1"/>
    <col min="3" max="3" width="18.6640625" customWidth="1"/>
    <col min="4" max="4" width="5.5546875" customWidth="1"/>
    <col min="5" max="5" width="7.88671875" style="169" customWidth="1"/>
    <col min="6" max="6" width="23.109375" style="185"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28" t="s">
        <v>365</v>
      </c>
      <c r="C1" s="229"/>
      <c r="D1" s="229"/>
      <c r="E1" s="229"/>
      <c r="F1" s="229"/>
      <c r="G1" s="229"/>
      <c r="H1" s="229"/>
      <c r="I1" s="229"/>
      <c r="J1" s="229"/>
      <c r="K1" s="229"/>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8"/>
      <c r="F2" s="183"/>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186" t="s">
        <v>0</v>
      </c>
      <c r="C3" s="187" t="s">
        <v>16</v>
      </c>
      <c r="H3" s="179" t="s">
        <v>0</v>
      </c>
      <c r="I3" s="180" t="s">
        <v>16</v>
      </c>
    </row>
    <row r="4" spans="1:38">
      <c r="A4" s="27"/>
      <c r="B4" s="186" t="s">
        <v>51</v>
      </c>
      <c r="C4" s="187" t="s">
        <v>16</v>
      </c>
      <c r="H4" s="179" t="s">
        <v>51</v>
      </c>
      <c r="I4" s="180" t="s">
        <v>16</v>
      </c>
    </row>
    <row r="5" spans="1:38">
      <c r="A5" s="27"/>
      <c r="B5" s="186" t="s">
        <v>3</v>
      </c>
      <c r="C5" s="187" t="s">
        <v>12</v>
      </c>
      <c r="H5" s="179" t="s">
        <v>3</v>
      </c>
      <c r="I5" s="180" t="s">
        <v>11</v>
      </c>
    </row>
    <row r="6" spans="1:38">
      <c r="A6" s="27"/>
    </row>
    <row r="7" spans="1:38">
      <c r="A7" s="22" t="s">
        <v>92</v>
      </c>
      <c r="B7" s="186" t="s">
        <v>720</v>
      </c>
      <c r="C7" s="187" t="s">
        <v>292</v>
      </c>
      <c r="D7" s="187" t="s">
        <v>346</v>
      </c>
      <c r="E7" s="187" t="s">
        <v>239</v>
      </c>
      <c r="F7" s="187" t="s">
        <v>403</v>
      </c>
      <c r="H7" s="179" t="s">
        <v>720</v>
      </c>
      <c r="I7" s="180" t="s">
        <v>366</v>
      </c>
      <c r="J7" s="180" t="s">
        <v>367</v>
      </c>
      <c r="K7" s="180" t="s">
        <v>371</v>
      </c>
    </row>
    <row r="8" spans="1:38">
      <c r="A8" s="21" t="e">
        <f>INDEX('DDL Tables'!$F:$F,MATCH(SUBSTITUTE(B8," (index)", ""),'DDL Tables'!$C:$C,0))</f>
        <v>#N/A</v>
      </c>
      <c r="B8" s="4" t="s">
        <v>47</v>
      </c>
      <c r="C8" s="9">
        <v>0.03</v>
      </c>
      <c r="D8" s="9">
        <v>0.03</v>
      </c>
      <c r="E8" s="9">
        <v>0.03</v>
      </c>
      <c r="F8" s="9">
        <v>0</v>
      </c>
      <c r="H8" s="4" t="s">
        <v>47</v>
      </c>
      <c r="I8" s="5">
        <v>2</v>
      </c>
      <c r="J8" s="5">
        <v>2</v>
      </c>
      <c r="K8" s="180">
        <v>2</v>
      </c>
      <c r="L8" s="5"/>
      <c r="M8" s="5"/>
    </row>
    <row r="9" spans="1:38">
      <c r="B9" s="4" t="s">
        <v>17</v>
      </c>
      <c r="C9" s="9">
        <v>0.03</v>
      </c>
      <c r="D9" s="9">
        <v>0.03</v>
      </c>
      <c r="E9" s="9">
        <v>0.03</v>
      </c>
      <c r="F9" s="9">
        <v>0</v>
      </c>
      <c r="H9" s="4" t="s">
        <v>17</v>
      </c>
      <c r="I9" s="5">
        <v>2</v>
      </c>
      <c r="J9" s="5">
        <v>2</v>
      </c>
      <c r="K9" s="180">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F10" sqref="F10"/>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9" customWidth="1"/>
    <col min="7" max="7" width="23.109375" style="185"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28" t="s">
        <v>365</v>
      </c>
      <c r="D1" s="229"/>
      <c r="E1" s="229"/>
      <c r="F1" s="229"/>
      <c r="G1" s="229"/>
      <c r="H1" s="229"/>
      <c r="I1" s="229"/>
      <c r="J1" s="229"/>
      <c r="K1" s="58"/>
      <c r="L1" s="232" t="s">
        <v>473</v>
      </c>
      <c r="M1" s="233"/>
      <c r="N1" s="229"/>
      <c r="O1" s="229"/>
      <c r="P1" s="229"/>
      <c r="Q1" s="229"/>
      <c r="R1" s="229"/>
      <c r="S1" s="229"/>
      <c r="T1" s="229"/>
      <c r="U1" s="229"/>
    </row>
    <row r="2" spans="1:21" s="28" customFormat="1">
      <c r="C2" s="184" t="s">
        <v>0</v>
      </c>
      <c r="D2" s="185" t="s">
        <v>16</v>
      </c>
      <c r="I2" s="230" t="s">
        <v>0</v>
      </c>
      <c r="J2" s="231" t="s">
        <v>16</v>
      </c>
      <c r="K2" s="54"/>
      <c r="L2" s="59"/>
      <c r="M2" s="59"/>
      <c r="N2" s="59"/>
      <c r="O2" s="59"/>
      <c r="P2" s="59"/>
      <c r="Q2" s="59"/>
      <c r="R2" s="59"/>
      <c r="S2" s="59"/>
      <c r="T2" s="59"/>
      <c r="U2" s="59"/>
    </row>
    <row r="3" spans="1:21" s="28" customFormat="1">
      <c r="C3" s="184" t="s">
        <v>1</v>
      </c>
      <c r="D3" s="185" t="s">
        <v>16</v>
      </c>
      <c r="I3" s="230" t="s">
        <v>1</v>
      </c>
      <c r="J3" s="231" t="s">
        <v>16</v>
      </c>
      <c r="K3" s="54"/>
      <c r="L3" s="59"/>
      <c r="M3" s="60"/>
      <c r="N3" s="60"/>
      <c r="O3" s="60"/>
      <c r="P3" s="60"/>
      <c r="Q3" s="60"/>
      <c r="R3" s="60"/>
      <c r="S3" s="60"/>
      <c r="T3" s="60"/>
      <c r="U3" s="60"/>
    </row>
    <row r="4" spans="1:21">
      <c r="A4" s="28"/>
      <c r="B4" s="28"/>
      <c r="C4" s="184" t="s">
        <v>2</v>
      </c>
      <c r="D4" s="185" t="s">
        <v>16</v>
      </c>
      <c r="I4" s="179" t="s">
        <v>2</v>
      </c>
      <c r="J4" s="180" t="s">
        <v>16</v>
      </c>
      <c r="L4" s="28"/>
      <c r="M4" s="28"/>
    </row>
    <row r="5" spans="1:21">
      <c r="A5" s="28"/>
      <c r="B5" s="28"/>
      <c r="C5" s="184" t="s">
        <v>51</v>
      </c>
      <c r="D5" s="185" t="s">
        <v>16</v>
      </c>
      <c r="I5" s="179" t="s">
        <v>51</v>
      </c>
      <c r="J5" s="180" t="s">
        <v>16</v>
      </c>
      <c r="L5" s="203" t="s">
        <v>0</v>
      </c>
      <c r="M5" s="204" t="s">
        <v>16</v>
      </c>
      <c r="R5" s="159" t="s">
        <v>0</v>
      </c>
      <c r="S5" s="160" t="s">
        <v>16</v>
      </c>
    </row>
    <row r="6" spans="1:21">
      <c r="A6" s="28"/>
      <c r="B6" s="28"/>
      <c r="C6" s="184" t="s">
        <v>3</v>
      </c>
      <c r="D6" s="185" t="s">
        <v>12</v>
      </c>
      <c r="I6" s="179" t="s">
        <v>3</v>
      </c>
      <c r="J6" s="180" t="s">
        <v>11</v>
      </c>
      <c r="L6" s="203" t="s">
        <v>3</v>
      </c>
      <c r="M6" s="204" t="s">
        <v>300</v>
      </c>
      <c r="R6" s="159" t="s">
        <v>3</v>
      </c>
      <c r="S6" s="160" t="s">
        <v>300</v>
      </c>
    </row>
    <row r="7" spans="1:21">
      <c r="A7" s="28"/>
      <c r="B7" s="28"/>
    </row>
    <row r="8" spans="1:21">
      <c r="A8" s="22" t="s">
        <v>680</v>
      </c>
      <c r="B8" s="22" t="s">
        <v>119</v>
      </c>
      <c r="C8" s="184" t="s">
        <v>286</v>
      </c>
      <c r="D8" s="185" t="s">
        <v>292</v>
      </c>
      <c r="E8" s="185" t="s">
        <v>346</v>
      </c>
      <c r="F8" s="185" t="s">
        <v>239</v>
      </c>
      <c r="G8" s="185" t="s">
        <v>403</v>
      </c>
      <c r="I8" s="179" t="s">
        <v>286</v>
      </c>
      <c r="J8" t="s">
        <v>372</v>
      </c>
      <c r="L8" s="203" t="s">
        <v>286</v>
      </c>
      <c r="M8" s="204" t="s">
        <v>302</v>
      </c>
      <c r="N8" s="204" t="s">
        <v>405</v>
      </c>
      <c r="O8" s="204" t="s">
        <v>301</v>
      </c>
      <c r="P8" s="204" t="s">
        <v>404</v>
      </c>
      <c r="R8" s="159" t="s">
        <v>286</v>
      </c>
      <c r="S8" s="160" t="s">
        <v>303</v>
      </c>
      <c r="T8" s="160" t="s">
        <v>304</v>
      </c>
      <c r="U8" s="160"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H9"/>
  <sheetViews>
    <sheetView workbookViewId="0">
      <selection activeCell="A2" sqref="A2"/>
    </sheetView>
  </sheetViews>
  <sheetFormatPr defaultRowHeight="14.4"/>
  <cols>
    <col min="1" max="1" width="16.44140625" bestFit="1" customWidth="1"/>
    <col min="2" max="2" width="34.33203125" bestFit="1" customWidth="1"/>
    <col min="3" max="3" width="12" customWidth="1"/>
    <col min="4" max="4" width="10.109375" customWidth="1"/>
    <col min="6" max="6" width="16.44140625" bestFit="1" customWidth="1"/>
    <col min="7" max="7" width="33.88671875" bestFit="1" customWidth="1"/>
    <col min="8" max="8" width="11.6640625" customWidth="1"/>
    <col min="9" max="9" width="8.33203125" customWidth="1"/>
    <col min="11" max="11" width="16.44140625" bestFit="1" customWidth="1"/>
    <col min="12" max="12" width="30.77734375" bestFit="1" customWidth="1"/>
    <col min="13" max="13" width="9.109375" customWidth="1"/>
    <col min="14" max="14" width="9.88671875" bestFit="1" customWidth="1"/>
    <col min="16" max="16" width="16.44140625" bestFit="1" customWidth="1"/>
    <col min="17" max="17" width="34.21875" bestFit="1" customWidth="1"/>
    <col min="18" max="18" width="8.6640625" customWidth="1"/>
    <col min="19" max="19" width="12.21875" customWidth="1"/>
    <col min="21" max="21" width="16.44140625" bestFit="1" customWidth="1"/>
    <col min="22" max="22" width="33.77734375" bestFit="1" customWidth="1"/>
    <col min="23" max="23" width="8.6640625" customWidth="1"/>
    <col min="24" max="24" width="12.21875" bestFit="1" customWidth="1"/>
    <col min="26" max="26" width="16.44140625" bestFit="1" customWidth="1"/>
    <col min="27" max="27" width="30.6640625" bestFit="1" customWidth="1"/>
    <col min="28" max="28" width="10.21875" customWidth="1"/>
    <col min="29" max="29" width="11.88671875" bestFit="1" customWidth="1"/>
    <col min="31" max="31" width="16.44140625" bestFit="1" customWidth="1"/>
    <col min="32" max="32" width="30.33203125" bestFit="1" customWidth="1"/>
    <col min="33" max="34" width="13.5546875" bestFit="1" customWidth="1"/>
  </cols>
  <sheetData>
    <row r="1" spans="1:34">
      <c r="A1" s="233"/>
      <c r="B1" s="229"/>
      <c r="C1" s="229"/>
      <c r="D1" s="229"/>
      <c r="E1" s="229"/>
      <c r="F1" s="229"/>
      <c r="G1" s="229"/>
      <c r="H1" s="229"/>
      <c r="I1" s="229"/>
      <c r="J1" s="232"/>
      <c r="K1" s="233"/>
      <c r="L1" s="229"/>
      <c r="M1" s="229"/>
      <c r="N1" s="229"/>
      <c r="O1" s="229"/>
      <c r="P1" s="229"/>
      <c r="Q1" s="229"/>
      <c r="R1" s="229"/>
      <c r="S1" s="229"/>
      <c r="T1" s="232"/>
      <c r="U1" s="233"/>
      <c r="V1" s="229"/>
      <c r="W1" s="229"/>
      <c r="X1" s="229"/>
      <c r="Y1" s="229"/>
      <c r="Z1" s="229"/>
      <c r="AA1" s="229"/>
      <c r="AB1" s="229"/>
      <c r="AC1" s="229"/>
      <c r="AD1" s="232"/>
      <c r="AE1" s="233"/>
      <c r="AF1" s="229"/>
    </row>
    <row r="2" spans="1:34">
      <c r="A2" s="180"/>
      <c r="B2" s="180"/>
      <c r="C2" s="178"/>
      <c r="D2" s="178"/>
      <c r="E2" s="178"/>
      <c r="F2" s="180"/>
      <c r="G2" s="180"/>
      <c r="H2" s="178"/>
      <c r="I2" s="178"/>
      <c r="K2" s="180"/>
      <c r="L2" s="180"/>
      <c r="M2" s="178"/>
      <c r="N2" s="178"/>
      <c r="P2" s="180"/>
      <c r="Q2" s="180"/>
      <c r="R2" s="178"/>
      <c r="S2" s="178"/>
      <c r="T2" s="178"/>
      <c r="U2" s="180"/>
      <c r="V2" s="180"/>
      <c r="W2" s="178"/>
      <c r="X2" s="178"/>
      <c r="Y2" s="180"/>
      <c r="Z2" s="180"/>
      <c r="AA2" s="180"/>
      <c r="AB2" s="178"/>
      <c r="AC2" s="178"/>
      <c r="AE2" s="180"/>
      <c r="AF2" s="180"/>
      <c r="AG2" s="178"/>
      <c r="AH2" s="178"/>
    </row>
    <row r="3" spans="1:34">
      <c r="A3" s="179" t="s">
        <v>0</v>
      </c>
      <c r="B3" s="180" t="s">
        <v>16</v>
      </c>
      <c r="C3" s="180"/>
      <c r="D3" s="180"/>
      <c r="E3" s="180"/>
      <c r="F3" s="179" t="s">
        <v>0</v>
      </c>
      <c r="G3" s="180" t="s">
        <v>16</v>
      </c>
      <c r="H3" s="180"/>
      <c r="I3" s="180"/>
      <c r="K3" s="179" t="s">
        <v>0</v>
      </c>
      <c r="L3" s="180" t="s">
        <v>16</v>
      </c>
      <c r="M3" s="180"/>
      <c r="N3" s="180"/>
      <c r="P3" s="179" t="s">
        <v>0</v>
      </c>
      <c r="Q3" s="180" t="s">
        <v>16</v>
      </c>
      <c r="R3" s="180"/>
      <c r="S3" s="180"/>
      <c r="T3" s="180"/>
      <c r="U3" s="179" t="s">
        <v>0</v>
      </c>
      <c r="V3" s="180" t="s">
        <v>16</v>
      </c>
      <c r="W3" s="180"/>
      <c r="X3" s="180"/>
      <c r="Y3" s="180"/>
      <c r="Z3" s="179" t="s">
        <v>0</v>
      </c>
      <c r="AA3" s="180" t="s">
        <v>16</v>
      </c>
      <c r="AB3" s="180"/>
      <c r="AC3" s="180"/>
      <c r="AE3" s="179" t="s">
        <v>0</v>
      </c>
      <c r="AF3" s="180" t="s">
        <v>16</v>
      </c>
      <c r="AG3" s="180"/>
      <c r="AH3" s="180"/>
    </row>
    <row r="4" spans="1:34">
      <c r="A4" s="179" t="s">
        <v>51</v>
      </c>
      <c r="B4" s="180" t="s">
        <v>16</v>
      </c>
      <c r="C4" s="180"/>
      <c r="D4" s="180"/>
      <c r="E4" s="180"/>
      <c r="F4" s="179" t="s">
        <v>51</v>
      </c>
      <c r="G4" s="180" t="s">
        <v>16</v>
      </c>
      <c r="H4" s="180"/>
      <c r="I4" s="180"/>
      <c r="K4" s="179" t="s">
        <v>51</v>
      </c>
      <c r="L4" s="180" t="s">
        <v>16</v>
      </c>
      <c r="M4" s="180"/>
      <c r="N4" s="180"/>
      <c r="P4" s="179" t="s">
        <v>51</v>
      </c>
      <c r="Q4" s="180" t="s">
        <v>16</v>
      </c>
      <c r="R4" s="180"/>
      <c r="S4" s="180"/>
      <c r="T4" s="180"/>
      <c r="U4" s="179" t="s">
        <v>51</v>
      </c>
      <c r="V4" s="180" t="s">
        <v>16</v>
      </c>
      <c r="W4" s="180"/>
      <c r="X4" s="180"/>
      <c r="Y4" s="180"/>
      <c r="Z4" s="179" t="s">
        <v>51</v>
      </c>
      <c r="AA4" s="180" t="s">
        <v>16</v>
      </c>
      <c r="AB4" s="180"/>
      <c r="AC4" s="180"/>
      <c r="AE4" s="179" t="s">
        <v>51</v>
      </c>
      <c r="AF4" s="180" t="s">
        <v>16</v>
      </c>
      <c r="AG4" s="180"/>
      <c r="AH4" s="180"/>
    </row>
    <row r="5" spans="1:34">
      <c r="A5" s="179" t="s">
        <v>3</v>
      </c>
      <c r="B5" s="180" t="s">
        <v>767</v>
      </c>
      <c r="C5" s="180"/>
      <c r="D5" s="180"/>
      <c r="E5" s="180"/>
      <c r="F5" s="179" t="s">
        <v>3</v>
      </c>
      <c r="G5" s="180" t="s">
        <v>768</v>
      </c>
      <c r="H5" s="180"/>
      <c r="I5" s="180"/>
      <c r="K5" s="179" t="s">
        <v>3</v>
      </c>
      <c r="L5" s="180" t="s">
        <v>769</v>
      </c>
      <c r="M5" s="180"/>
      <c r="N5" s="180"/>
      <c r="P5" s="179" t="s">
        <v>3</v>
      </c>
      <c r="Q5" s="180" t="s">
        <v>770</v>
      </c>
      <c r="R5" s="180"/>
      <c r="S5" s="180"/>
      <c r="T5" s="180"/>
      <c r="U5" s="179" t="s">
        <v>3</v>
      </c>
      <c r="V5" s="180" t="s">
        <v>771</v>
      </c>
      <c r="W5" s="180"/>
      <c r="X5" s="180"/>
      <c r="Y5" s="180"/>
      <c r="Z5" s="179" t="s">
        <v>3</v>
      </c>
      <c r="AA5" s="180" t="s">
        <v>772</v>
      </c>
      <c r="AB5" s="180"/>
      <c r="AC5" s="180"/>
      <c r="AE5" s="179" t="s">
        <v>3</v>
      </c>
      <c r="AF5" s="180" t="s">
        <v>773</v>
      </c>
      <c r="AG5" s="180"/>
      <c r="AH5" s="180"/>
    </row>
    <row r="6" spans="1:34">
      <c r="A6" s="180"/>
      <c r="B6" s="180"/>
      <c r="C6" s="180"/>
      <c r="D6" s="180"/>
      <c r="E6" s="180"/>
      <c r="F6" s="180"/>
      <c r="G6" s="180"/>
      <c r="H6" s="180"/>
      <c r="I6" s="180"/>
      <c r="K6" s="180"/>
      <c r="L6" s="180"/>
      <c r="M6" s="180"/>
      <c r="N6" s="180"/>
      <c r="P6" s="180"/>
      <c r="Q6" s="180"/>
      <c r="R6" s="180"/>
      <c r="S6" s="180"/>
      <c r="T6" s="180"/>
      <c r="U6" s="180"/>
      <c r="V6" s="180"/>
      <c r="W6" s="180"/>
      <c r="X6" s="180"/>
      <c r="Y6" s="180"/>
      <c r="Z6" s="180"/>
      <c r="AA6" s="180"/>
      <c r="AB6" s="180"/>
      <c r="AC6" s="180"/>
      <c r="AE6" s="180"/>
      <c r="AF6" s="180"/>
      <c r="AG6" s="180"/>
      <c r="AH6" s="180"/>
    </row>
    <row r="7" spans="1:34">
      <c r="A7" s="179" t="s">
        <v>720</v>
      </c>
      <c r="B7" s="180" t="s">
        <v>776</v>
      </c>
      <c r="C7" s="180" t="s">
        <v>777</v>
      </c>
      <c r="D7" s="180" t="s">
        <v>778</v>
      </c>
      <c r="E7" s="180"/>
      <c r="F7" s="179" t="s">
        <v>720</v>
      </c>
      <c r="G7" s="180" t="s">
        <v>781</v>
      </c>
      <c r="H7" s="180" t="s">
        <v>779</v>
      </c>
      <c r="I7" s="180" t="s">
        <v>780</v>
      </c>
      <c r="K7" s="179" t="s">
        <v>720</v>
      </c>
      <c r="L7" s="180" t="s">
        <v>782</v>
      </c>
      <c r="M7" s="180" t="s">
        <v>239</v>
      </c>
      <c r="N7" s="180" t="s">
        <v>783</v>
      </c>
      <c r="P7" s="179" t="s">
        <v>720</v>
      </c>
      <c r="Q7" s="180" t="s">
        <v>784</v>
      </c>
      <c r="R7" s="180" t="s">
        <v>778</v>
      </c>
      <c r="S7" s="180" t="s">
        <v>785</v>
      </c>
      <c r="T7" s="180"/>
      <c r="U7" s="179" t="s">
        <v>720</v>
      </c>
      <c r="V7" s="180" t="s">
        <v>786</v>
      </c>
      <c r="W7" s="180" t="s">
        <v>780</v>
      </c>
      <c r="X7" s="180" t="s">
        <v>787</v>
      </c>
      <c r="Y7" s="180"/>
      <c r="Z7" s="179" t="s">
        <v>720</v>
      </c>
      <c r="AA7" s="180" t="s">
        <v>788</v>
      </c>
      <c r="AB7" s="180" t="s">
        <v>783</v>
      </c>
      <c r="AC7" s="180" t="s">
        <v>789</v>
      </c>
      <c r="AE7" s="179" t="s">
        <v>720</v>
      </c>
      <c r="AF7" t="s">
        <v>790</v>
      </c>
    </row>
    <row r="8" spans="1:34">
      <c r="A8" s="4" t="s">
        <v>47</v>
      </c>
      <c r="B8" s="5">
        <v>10149889</v>
      </c>
      <c r="C8" s="5">
        <v>10149889</v>
      </c>
      <c r="D8" s="5">
        <v>10149889</v>
      </c>
      <c r="E8" s="180"/>
      <c r="F8" s="4" t="s">
        <v>47</v>
      </c>
      <c r="G8" s="5">
        <v>216159</v>
      </c>
      <c r="H8" s="5">
        <v>216159</v>
      </c>
      <c r="I8" s="5">
        <v>216159</v>
      </c>
      <c r="K8" s="4" t="s">
        <v>47</v>
      </c>
      <c r="L8" s="5">
        <v>5706858</v>
      </c>
      <c r="M8" s="5">
        <v>5706858</v>
      </c>
      <c r="N8" s="5">
        <v>5706858</v>
      </c>
      <c r="P8" s="4" t="s">
        <v>47</v>
      </c>
      <c r="Q8" s="6">
        <v>240.49652033003522</v>
      </c>
      <c r="R8" s="6">
        <v>240.49652033003522</v>
      </c>
      <c r="S8" s="6">
        <v>240.49652033003522</v>
      </c>
      <c r="T8" s="180"/>
      <c r="U8" s="4" t="s">
        <v>47</v>
      </c>
      <c r="V8" s="6">
        <v>7.90240478515625</v>
      </c>
      <c r="W8" s="6">
        <v>7.90240478515625</v>
      </c>
      <c r="X8" s="6">
        <v>7.90240478515625</v>
      </c>
      <c r="Y8" s="180"/>
      <c r="Z8" s="4" t="s">
        <v>47</v>
      </c>
      <c r="AA8" s="6">
        <v>240.49652033003522</v>
      </c>
      <c r="AB8" s="6">
        <v>240.49652033003522</v>
      </c>
      <c r="AC8" s="6">
        <v>240.49652033003522</v>
      </c>
      <c r="AE8" s="4" t="s">
        <v>47</v>
      </c>
      <c r="AF8" s="6">
        <v>15151.280780792236</v>
      </c>
    </row>
    <row r="9" spans="1:34">
      <c r="A9" s="4" t="s">
        <v>17</v>
      </c>
      <c r="B9" s="5">
        <v>10149889</v>
      </c>
      <c r="C9" s="5">
        <v>10149889</v>
      </c>
      <c r="D9" s="5">
        <v>10149889</v>
      </c>
      <c r="E9" s="180"/>
      <c r="F9" s="4" t="s">
        <v>17</v>
      </c>
      <c r="G9" s="5">
        <v>216159</v>
      </c>
      <c r="H9" s="5">
        <v>216159</v>
      </c>
      <c r="I9" s="5">
        <v>216159</v>
      </c>
      <c r="K9" s="4" t="s">
        <v>17</v>
      </c>
      <c r="L9" s="5">
        <v>5706858</v>
      </c>
      <c r="M9" s="5">
        <v>5706858</v>
      </c>
      <c r="N9" s="5">
        <v>5706858</v>
      </c>
      <c r="P9" s="4" t="s">
        <v>17</v>
      </c>
      <c r="Q9" s="6">
        <v>240.49652033003522</v>
      </c>
      <c r="R9" s="6">
        <v>240.49652033003522</v>
      </c>
      <c r="S9" s="6">
        <v>240.49652033003522</v>
      </c>
      <c r="T9" s="180"/>
      <c r="U9" s="4" t="s">
        <v>17</v>
      </c>
      <c r="V9" s="6">
        <v>7.90240478515625</v>
      </c>
      <c r="W9" s="6">
        <v>7.90240478515625</v>
      </c>
      <c r="X9" s="6">
        <v>7.90240478515625</v>
      </c>
      <c r="Y9" s="180"/>
      <c r="Z9" s="4" t="s">
        <v>17</v>
      </c>
      <c r="AA9" s="6">
        <v>240.49652033003522</v>
      </c>
      <c r="AB9" s="6">
        <v>240.49652033003522</v>
      </c>
      <c r="AC9" s="6">
        <v>240.49652033003522</v>
      </c>
      <c r="AE9" s="4" t="s">
        <v>17</v>
      </c>
      <c r="AF9" s="6">
        <v>15151.280780792236</v>
      </c>
    </row>
  </sheetData>
  <mergeCells count="4">
    <mergeCell ref="A1:I1"/>
    <mergeCell ref="J1:S1"/>
    <mergeCell ref="T1:AC1"/>
    <mergeCell ref="AD1:AF1"/>
  </mergeCells>
  <pageMargins left="0.7" right="0.7" top="0.75" bottom="0.75" header="0.3" footer="0.3"/>
  <pageSetup orientation="portrait" horizontalDpi="0" verticalDpi="0"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G9"/>
  <sheetViews>
    <sheetView workbookViewId="0">
      <selection activeCell="A2" sqref="A2"/>
    </sheetView>
  </sheetViews>
  <sheetFormatPr defaultRowHeight="14.4"/>
  <cols>
    <col min="1" max="1" width="16.44140625" bestFit="1" customWidth="1"/>
    <col min="2" max="2" width="34.33203125" bestFit="1" customWidth="1"/>
    <col min="3" max="3" width="12" bestFit="1" customWidth="1"/>
    <col min="4" max="4" width="10.109375" bestFit="1" customWidth="1"/>
    <col min="6" max="6" width="16.44140625" bestFit="1" customWidth="1"/>
    <col min="7" max="7" width="33.88671875" bestFit="1" customWidth="1"/>
    <col min="8" max="8" width="11.6640625" bestFit="1" customWidth="1"/>
    <col min="9" max="9" width="8.33203125" customWidth="1"/>
    <col min="11" max="11" width="16.44140625" bestFit="1" customWidth="1"/>
    <col min="12" max="12" width="30.77734375" bestFit="1" customWidth="1"/>
    <col min="13" max="13" width="9.109375" bestFit="1" customWidth="1"/>
    <col min="14" max="14" width="9.88671875" bestFit="1" customWidth="1"/>
    <col min="16" max="16" width="16.44140625" bestFit="1" customWidth="1"/>
    <col min="17" max="17" width="34.21875" bestFit="1" customWidth="1"/>
    <col min="18" max="18" width="8.6640625" customWidth="1"/>
    <col min="19" max="19" width="12.21875" bestFit="1" customWidth="1"/>
    <col min="21" max="21" width="16.44140625" bestFit="1" customWidth="1"/>
    <col min="22" max="22" width="33.77734375" bestFit="1" customWidth="1"/>
    <col min="23" max="23" width="8.33203125" customWidth="1"/>
    <col min="24" max="24" width="11.88671875" bestFit="1" customWidth="1"/>
    <col min="26" max="26" width="16.44140625" bestFit="1" customWidth="1"/>
    <col min="27" max="27" width="30.6640625" bestFit="1" customWidth="1"/>
    <col min="28" max="28" width="9.88671875" bestFit="1" customWidth="1"/>
    <col min="29" max="29" width="13.5546875" bestFit="1" customWidth="1"/>
    <col min="31" max="31" width="16.44140625" bestFit="1" customWidth="1"/>
    <col min="32" max="32" width="30.33203125" bestFit="1" customWidth="1"/>
  </cols>
  <sheetData>
    <row r="1" spans="1:33" s="180" customFormat="1">
      <c r="A1" s="232" t="s">
        <v>775</v>
      </c>
      <c r="B1" s="233"/>
      <c r="C1" s="229"/>
      <c r="D1" s="229"/>
      <c r="E1" s="229"/>
      <c r="F1" s="229"/>
      <c r="G1" s="229"/>
      <c r="H1" s="229"/>
      <c r="I1" s="229"/>
      <c r="J1" s="229"/>
      <c r="K1" s="232"/>
      <c r="L1" s="233"/>
      <c r="M1" s="229"/>
      <c r="N1" s="229"/>
      <c r="O1" s="229"/>
      <c r="P1" s="229"/>
      <c r="Q1" s="229"/>
      <c r="R1" s="229"/>
      <c r="S1" s="229"/>
      <c r="T1" s="229"/>
      <c r="U1" s="232"/>
      <c r="V1" s="233"/>
      <c r="W1" s="229"/>
      <c r="X1" s="229"/>
      <c r="Y1" s="229"/>
      <c r="Z1" s="229"/>
      <c r="AA1" s="229"/>
      <c r="AB1" s="229"/>
      <c r="AC1" s="229"/>
      <c r="AD1" s="229"/>
      <c r="AE1" s="232"/>
      <c r="AF1" s="233"/>
      <c r="AG1" s="229"/>
    </row>
    <row r="2" spans="1:33">
      <c r="A2" s="180"/>
      <c r="B2" s="180"/>
      <c r="C2" s="178"/>
      <c r="D2" s="178"/>
      <c r="E2" s="178"/>
      <c r="F2" s="180"/>
      <c r="G2" s="180"/>
      <c r="H2" s="178"/>
      <c r="I2" s="178"/>
      <c r="J2" s="180"/>
      <c r="K2" s="180"/>
      <c r="L2" s="180"/>
      <c r="M2" s="178"/>
      <c r="N2" s="178"/>
      <c r="O2" s="180"/>
      <c r="P2" s="180"/>
      <c r="Q2" s="180"/>
      <c r="R2" s="178"/>
      <c r="S2" s="178"/>
      <c r="T2" s="178"/>
      <c r="U2" s="180"/>
      <c r="V2" s="180"/>
      <c r="W2" s="178"/>
      <c r="X2" s="178"/>
      <c r="Y2" s="180"/>
      <c r="Z2" s="180"/>
      <c r="AA2" s="180"/>
      <c r="AB2" s="178"/>
      <c r="AC2" s="178"/>
      <c r="AD2" s="180"/>
      <c r="AE2" s="180"/>
      <c r="AF2" s="180"/>
    </row>
    <row r="3" spans="1:33">
      <c r="A3" s="179" t="s">
        <v>0</v>
      </c>
      <c r="B3" s="180" t="s">
        <v>16</v>
      </c>
      <c r="C3" s="180"/>
      <c r="D3" s="180"/>
      <c r="E3" s="180"/>
      <c r="F3" s="179" t="s">
        <v>0</v>
      </c>
      <c r="G3" s="180" t="s">
        <v>16</v>
      </c>
      <c r="H3" s="180"/>
      <c r="I3" s="180"/>
      <c r="J3" s="180"/>
      <c r="K3" s="179" t="s">
        <v>0</v>
      </c>
      <c r="L3" s="180" t="s">
        <v>16</v>
      </c>
      <c r="M3" s="180"/>
      <c r="N3" s="180"/>
      <c r="O3" s="180"/>
      <c r="P3" s="179" t="s">
        <v>0</v>
      </c>
      <c r="Q3" s="180" t="s">
        <v>16</v>
      </c>
      <c r="R3" s="180"/>
      <c r="S3" s="180"/>
      <c r="T3" s="180"/>
      <c r="U3" s="179" t="s">
        <v>0</v>
      </c>
      <c r="V3" s="180" t="s">
        <v>16</v>
      </c>
      <c r="W3" s="180"/>
      <c r="X3" s="180"/>
      <c r="Y3" s="180"/>
      <c r="Z3" s="179" t="s">
        <v>0</v>
      </c>
      <c r="AA3" s="180" t="s">
        <v>16</v>
      </c>
      <c r="AB3" s="180"/>
      <c r="AC3" s="180"/>
      <c r="AD3" s="180"/>
      <c r="AE3" s="179" t="s">
        <v>0</v>
      </c>
      <c r="AF3" s="180" t="s">
        <v>16</v>
      </c>
    </row>
    <row r="4" spans="1:33">
      <c r="A4" s="179" t="s">
        <v>51</v>
      </c>
      <c r="B4" s="180" t="s">
        <v>16</v>
      </c>
      <c r="C4" s="180"/>
      <c r="D4" s="180"/>
      <c r="E4" s="180"/>
      <c r="F4" s="179" t="s">
        <v>51</v>
      </c>
      <c r="G4" s="180" t="s">
        <v>16</v>
      </c>
      <c r="H4" s="180"/>
      <c r="I4" s="180"/>
      <c r="J4" s="180"/>
      <c r="K4" s="179" t="s">
        <v>51</v>
      </c>
      <c r="L4" s="180" t="s">
        <v>16</v>
      </c>
      <c r="M4" s="180"/>
      <c r="N4" s="180"/>
      <c r="O4" s="180"/>
      <c r="P4" s="179" t="s">
        <v>51</v>
      </c>
      <c r="Q4" s="180" t="s">
        <v>16</v>
      </c>
      <c r="R4" s="180"/>
      <c r="S4" s="180"/>
      <c r="T4" s="180"/>
      <c r="U4" s="179" t="s">
        <v>51</v>
      </c>
      <c r="V4" s="180" t="s">
        <v>16</v>
      </c>
      <c r="W4" s="180"/>
      <c r="X4" s="180"/>
      <c r="Y4" s="180"/>
      <c r="Z4" s="179" t="s">
        <v>51</v>
      </c>
      <c r="AA4" s="180" t="s">
        <v>16</v>
      </c>
      <c r="AB4" s="180"/>
      <c r="AC4" s="180"/>
      <c r="AD4" s="180"/>
      <c r="AE4" s="179" t="s">
        <v>51</v>
      </c>
      <c r="AF4" s="180" t="s">
        <v>16</v>
      </c>
    </row>
    <row r="5" spans="1:33">
      <c r="A5" s="179" t="s">
        <v>3</v>
      </c>
      <c r="B5" s="180" t="s">
        <v>767</v>
      </c>
      <c r="C5" s="180"/>
      <c r="D5" s="180"/>
      <c r="E5" s="180"/>
      <c r="F5" s="179" t="s">
        <v>3</v>
      </c>
      <c r="G5" s="180" t="s">
        <v>768</v>
      </c>
      <c r="H5" s="180"/>
      <c r="I5" s="180"/>
      <c r="J5" s="180"/>
      <c r="K5" s="179" t="s">
        <v>3</v>
      </c>
      <c r="L5" s="180" t="s">
        <v>769</v>
      </c>
      <c r="M5" s="180"/>
      <c r="N5" s="180"/>
      <c r="O5" s="180"/>
      <c r="P5" s="179" t="s">
        <v>3</v>
      </c>
      <c r="Q5" s="180" t="s">
        <v>770</v>
      </c>
      <c r="R5" s="180"/>
      <c r="S5" s="180"/>
      <c r="T5" s="180"/>
      <c r="U5" s="179" t="s">
        <v>3</v>
      </c>
      <c r="V5" s="180" t="s">
        <v>771</v>
      </c>
      <c r="W5" s="180"/>
      <c r="X5" s="180"/>
      <c r="Y5" s="180"/>
      <c r="Z5" s="179" t="s">
        <v>3</v>
      </c>
      <c r="AA5" s="180" t="s">
        <v>772</v>
      </c>
      <c r="AB5" s="180"/>
      <c r="AC5" s="180"/>
      <c r="AD5" s="180"/>
      <c r="AE5" s="179" t="s">
        <v>3</v>
      </c>
      <c r="AF5" s="180" t="s">
        <v>773</v>
      </c>
    </row>
    <row r="6" spans="1:33">
      <c r="A6" s="180"/>
      <c r="B6" s="180"/>
      <c r="C6" s="180"/>
      <c r="D6" s="180"/>
      <c r="E6" s="180"/>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row>
    <row r="7" spans="1:33">
      <c r="A7" s="179" t="s">
        <v>286</v>
      </c>
      <c r="B7" s="180" t="s">
        <v>776</v>
      </c>
      <c r="C7" s="180" t="s">
        <v>777</v>
      </c>
      <c r="D7" s="180" t="s">
        <v>778</v>
      </c>
      <c r="E7" s="180"/>
      <c r="F7" s="179" t="s">
        <v>286</v>
      </c>
      <c r="G7" s="180" t="s">
        <v>781</v>
      </c>
      <c r="H7" s="180" t="s">
        <v>779</v>
      </c>
      <c r="I7" s="180" t="s">
        <v>780</v>
      </c>
      <c r="J7" s="180"/>
      <c r="K7" s="179" t="s">
        <v>286</v>
      </c>
      <c r="L7" s="180" t="s">
        <v>782</v>
      </c>
      <c r="M7" s="180" t="s">
        <v>239</v>
      </c>
      <c r="N7" s="180" t="s">
        <v>783</v>
      </c>
      <c r="O7" s="180"/>
      <c r="P7" s="179" t="s">
        <v>286</v>
      </c>
      <c r="Q7" s="180" t="s">
        <v>784</v>
      </c>
      <c r="R7" s="180" t="s">
        <v>778</v>
      </c>
      <c r="S7" s="180" t="s">
        <v>785</v>
      </c>
      <c r="T7" s="180"/>
      <c r="U7" s="179" t="s">
        <v>286</v>
      </c>
      <c r="V7" s="180" t="s">
        <v>786</v>
      </c>
      <c r="W7" s="180" t="s">
        <v>780</v>
      </c>
      <c r="X7" s="180" t="s">
        <v>787</v>
      </c>
      <c r="Y7" s="180"/>
      <c r="Z7" s="179" t="s">
        <v>720</v>
      </c>
      <c r="AA7" s="180" t="s">
        <v>788</v>
      </c>
      <c r="AB7" s="180" t="s">
        <v>783</v>
      </c>
      <c r="AC7" s="180" t="s">
        <v>789</v>
      </c>
      <c r="AD7" s="180"/>
      <c r="AE7" s="179" t="s">
        <v>720</v>
      </c>
      <c r="AF7" t="s">
        <v>790</v>
      </c>
    </row>
    <row r="8" spans="1:33">
      <c r="A8" s="4" t="s">
        <v>48</v>
      </c>
      <c r="B8" s="5">
        <v>10149889</v>
      </c>
      <c r="C8" s="5">
        <v>10149889</v>
      </c>
      <c r="D8" s="5">
        <v>10149889</v>
      </c>
      <c r="E8" s="180"/>
      <c r="F8" s="4" t="s">
        <v>48</v>
      </c>
      <c r="G8" s="5">
        <v>216159</v>
      </c>
      <c r="H8" s="5">
        <v>216159</v>
      </c>
      <c r="I8" s="5">
        <v>216159</v>
      </c>
      <c r="J8" s="180"/>
      <c r="K8" s="4" t="s">
        <v>48</v>
      </c>
      <c r="L8" s="5">
        <v>5706858</v>
      </c>
      <c r="M8" s="5">
        <v>5706858</v>
      </c>
      <c r="N8" s="5">
        <v>5706858</v>
      </c>
      <c r="O8" s="180"/>
      <c r="P8" s="4" t="s">
        <v>48</v>
      </c>
      <c r="Q8" s="6">
        <v>240.49652033003522</v>
      </c>
      <c r="R8" s="6">
        <v>240.49652033003522</v>
      </c>
      <c r="S8" s="6">
        <v>240.49652033003522</v>
      </c>
      <c r="T8" s="180"/>
      <c r="U8" s="4" t="s">
        <v>48</v>
      </c>
      <c r="V8" s="6">
        <v>7.90240478515625</v>
      </c>
      <c r="W8" s="6">
        <v>7.90240478515625</v>
      </c>
      <c r="X8" s="6">
        <v>7.90240478515625</v>
      </c>
      <c r="Y8" s="180"/>
      <c r="Z8" s="4" t="s">
        <v>48</v>
      </c>
      <c r="AA8" s="6">
        <v>240.49652033003522</v>
      </c>
      <c r="AB8" s="6">
        <v>240.49652033003522</v>
      </c>
      <c r="AC8" s="6">
        <v>240.49652033003522</v>
      </c>
      <c r="AD8" s="180"/>
      <c r="AE8" s="4" t="s">
        <v>48</v>
      </c>
      <c r="AF8" s="6">
        <v>15151.280780792236</v>
      </c>
    </row>
    <row r="9" spans="1:33">
      <c r="A9" s="4" t="s">
        <v>17</v>
      </c>
      <c r="B9" s="5">
        <v>10149889</v>
      </c>
      <c r="C9" s="5">
        <v>10149889</v>
      </c>
      <c r="D9" s="5">
        <v>10149889</v>
      </c>
      <c r="E9" s="180"/>
      <c r="F9" s="4" t="s">
        <v>17</v>
      </c>
      <c r="G9" s="5">
        <v>216159</v>
      </c>
      <c r="H9" s="5">
        <v>216159</v>
      </c>
      <c r="I9" s="5">
        <v>216159</v>
      </c>
      <c r="J9" s="180"/>
      <c r="K9" s="4" t="s">
        <v>17</v>
      </c>
      <c r="L9" s="5">
        <v>5706858</v>
      </c>
      <c r="M9" s="5">
        <v>5706858</v>
      </c>
      <c r="N9" s="5">
        <v>5706858</v>
      </c>
      <c r="O9" s="180"/>
      <c r="P9" s="4" t="s">
        <v>17</v>
      </c>
      <c r="Q9" s="6">
        <v>240.49652033003522</v>
      </c>
      <c r="R9" s="6">
        <v>240.49652033003522</v>
      </c>
      <c r="S9" s="6">
        <v>240.49652033003522</v>
      </c>
      <c r="T9" s="180"/>
      <c r="U9" s="4" t="s">
        <v>17</v>
      </c>
      <c r="V9" s="6">
        <v>7.90240478515625</v>
      </c>
      <c r="W9" s="6">
        <v>7.90240478515625</v>
      </c>
      <c r="X9" s="6">
        <v>7.90240478515625</v>
      </c>
      <c r="Y9" s="180"/>
      <c r="Z9" s="4" t="s">
        <v>17</v>
      </c>
      <c r="AA9" s="6">
        <v>240.49652033003522</v>
      </c>
      <c r="AB9" s="6">
        <v>240.49652033003522</v>
      </c>
      <c r="AC9" s="6">
        <v>240.49652033003522</v>
      </c>
      <c r="AD9" s="180"/>
      <c r="AE9" s="4" t="s">
        <v>17</v>
      </c>
      <c r="AF9" s="6">
        <v>15151.280780792236</v>
      </c>
    </row>
  </sheetData>
  <mergeCells count="4">
    <mergeCell ref="A1:J1"/>
    <mergeCell ref="K1:T1"/>
    <mergeCell ref="U1:AD1"/>
    <mergeCell ref="AE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A2" sqref="A2:K2"/>
    </sheetView>
  </sheetViews>
  <sheetFormatPr defaultRowHeight="14.4"/>
  <cols>
    <col min="1" max="1" width="16.44140625" customWidth="1"/>
    <col min="2" max="2" width="29.33203125" customWidth="1"/>
    <col min="3" max="3" width="7.88671875" customWidth="1"/>
    <col min="4" max="4" width="23.5546875" style="169"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26" t="s">
        <v>143</v>
      </c>
      <c r="B2" s="227"/>
      <c r="C2" s="227"/>
      <c r="D2" s="227"/>
      <c r="E2" s="227"/>
      <c r="F2" s="227"/>
      <c r="G2" s="227"/>
      <c r="H2" s="227"/>
      <c r="I2" s="227"/>
      <c r="J2" s="227"/>
      <c r="K2" s="227"/>
      <c r="L2" s="228" t="s">
        <v>365</v>
      </c>
      <c r="M2" s="229"/>
      <c r="N2" s="229"/>
      <c r="O2" s="229"/>
      <c r="P2" s="229"/>
      <c r="Q2" s="229"/>
      <c r="R2" s="229"/>
    </row>
    <row r="3" spans="1:18">
      <c r="A3" s="51"/>
      <c r="B3" s="52"/>
      <c r="C3" s="52"/>
      <c r="D3" s="170"/>
      <c r="E3" s="52"/>
      <c r="F3" s="52"/>
      <c r="G3" s="52"/>
      <c r="H3" s="52"/>
      <c r="I3" s="52"/>
      <c r="J3" s="52"/>
      <c r="K3" s="52"/>
      <c r="N3" s="50"/>
      <c r="O3" s="46"/>
      <c r="R3" s="152"/>
    </row>
    <row r="4" spans="1:18">
      <c r="C4" s="30"/>
      <c r="D4" s="30"/>
      <c r="E4" s="30"/>
      <c r="K4" s="30"/>
      <c r="L4" s="179" t="s">
        <v>0</v>
      </c>
      <c r="M4" s="180" t="s">
        <v>16</v>
      </c>
      <c r="P4" s="179" t="s">
        <v>0</v>
      </c>
      <c r="Q4" s="180" t="s">
        <v>16</v>
      </c>
      <c r="R4" s="153"/>
    </row>
    <row r="5" spans="1:18">
      <c r="A5" s="179" t="s">
        <v>0</v>
      </c>
      <c r="B5" s="180" t="s">
        <v>16</v>
      </c>
      <c r="C5" s="30"/>
      <c r="D5" s="30"/>
      <c r="E5" s="30"/>
      <c r="F5" s="179" t="s">
        <v>0</v>
      </c>
      <c r="G5" s="180" t="s">
        <v>16</v>
      </c>
      <c r="I5" s="179" t="s">
        <v>0</v>
      </c>
      <c r="J5" s="180" t="s">
        <v>16</v>
      </c>
      <c r="K5" s="30"/>
      <c r="L5" s="179" t="s">
        <v>51</v>
      </c>
      <c r="M5" s="180" t="s">
        <v>16</v>
      </c>
      <c r="P5" s="179" t="s">
        <v>51</v>
      </c>
      <c r="Q5" s="180" t="s">
        <v>16</v>
      </c>
      <c r="R5" s="153"/>
    </row>
    <row r="6" spans="1:18">
      <c r="A6" s="179" t="s">
        <v>3</v>
      </c>
      <c r="B6" s="180" t="s">
        <v>110</v>
      </c>
      <c r="C6" s="30"/>
      <c r="D6" s="30"/>
      <c r="E6" s="30"/>
      <c r="F6" s="179" t="s">
        <v>3</v>
      </c>
      <c r="G6" s="180" t="s">
        <v>112</v>
      </c>
      <c r="I6" s="179" t="s">
        <v>3</v>
      </c>
      <c r="J6" s="180" t="s">
        <v>141</v>
      </c>
      <c r="K6" s="30"/>
      <c r="L6" s="179" t="s">
        <v>3</v>
      </c>
      <c r="M6" s="180" t="s">
        <v>15</v>
      </c>
      <c r="P6" s="179" t="s">
        <v>3</v>
      </c>
      <c r="Q6" s="180" t="s">
        <v>45</v>
      </c>
      <c r="R6" s="153"/>
    </row>
    <row r="7" spans="1:18">
      <c r="P7" s="153"/>
      <c r="Q7" s="153"/>
      <c r="R7" s="153"/>
    </row>
    <row r="8" spans="1:18">
      <c r="A8" s="179" t="s">
        <v>720</v>
      </c>
      <c r="B8" s="180" t="s">
        <v>289</v>
      </c>
      <c r="C8" s="180" t="s">
        <v>239</v>
      </c>
      <c r="D8" s="180" t="s">
        <v>406</v>
      </c>
      <c r="F8" s="179" t="s">
        <v>720</v>
      </c>
      <c r="G8" t="s">
        <v>288</v>
      </c>
      <c r="I8" s="179" t="s">
        <v>720</v>
      </c>
      <c r="J8" t="s">
        <v>287</v>
      </c>
      <c r="L8" s="179" t="s">
        <v>720</v>
      </c>
      <c r="M8" s="180" t="s">
        <v>290</v>
      </c>
      <c r="N8" s="180" t="s">
        <v>403</v>
      </c>
      <c r="O8" s="166" t="s">
        <v>734</v>
      </c>
      <c r="P8" s="179" t="s">
        <v>720</v>
      </c>
      <c r="Q8" s="180" t="s">
        <v>700</v>
      </c>
      <c r="R8" s="180"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7"/>
    </row>
  </sheetData>
  <mergeCells count="2">
    <mergeCell ref="A2:K2"/>
    <mergeCell ref="L2:R2"/>
  </mergeCells>
  <conditionalFormatting sqref="O9">
    <cfRule type="cellIs" dxfId="426" priority="1" operator="lessThan">
      <formula>0.25</formula>
    </cfRule>
    <cfRule type="cellIs" dxfId="425" priority="3" operator="lessThanOrEqual">
      <formula>0</formula>
    </cfRule>
  </conditionalFormatting>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9"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49" customFormat="1">
      <c r="A1" s="28"/>
      <c r="B1" s="28"/>
      <c r="C1" s="226" t="s">
        <v>143</v>
      </c>
      <c r="D1" s="227"/>
      <c r="E1" s="227"/>
      <c r="F1" s="227"/>
      <c r="G1" s="227"/>
      <c r="H1" s="227"/>
      <c r="I1" s="227"/>
      <c r="J1" s="227"/>
      <c r="K1" s="227"/>
      <c r="L1" s="227"/>
      <c r="M1" s="227"/>
      <c r="N1" s="228" t="s">
        <v>365</v>
      </c>
      <c r="O1" s="229"/>
      <c r="P1" s="229"/>
      <c r="Q1" s="229"/>
      <c r="R1" s="229"/>
      <c r="S1" s="229"/>
      <c r="T1" s="229"/>
    </row>
    <row r="2" spans="1:20">
      <c r="A2" s="28"/>
      <c r="B2" s="28"/>
      <c r="C2" s="51"/>
      <c r="D2" s="52"/>
      <c r="E2" s="52"/>
      <c r="F2" s="170"/>
      <c r="G2" s="52"/>
      <c r="H2" s="52"/>
      <c r="I2" s="52"/>
      <c r="J2" s="52"/>
      <c r="K2" s="52"/>
      <c r="L2" s="52"/>
      <c r="M2" s="52"/>
      <c r="N2" s="179" t="s">
        <v>0</v>
      </c>
      <c r="O2" s="180" t="s">
        <v>16</v>
      </c>
      <c r="P2" s="50"/>
      <c r="R2" s="179" t="s">
        <v>0</v>
      </c>
      <c r="S2" s="180" t="s">
        <v>16</v>
      </c>
      <c r="T2" s="152"/>
    </row>
    <row r="3" spans="1:20">
      <c r="A3" s="28"/>
      <c r="B3" s="28"/>
      <c r="C3" s="179" t="s">
        <v>0</v>
      </c>
      <c r="D3" s="180" t="s">
        <v>16</v>
      </c>
      <c r="H3" s="179" t="s">
        <v>0</v>
      </c>
      <c r="I3" s="180" t="s">
        <v>16</v>
      </c>
      <c r="K3" s="179" t="s">
        <v>0</v>
      </c>
      <c r="L3" s="180" t="s">
        <v>16</v>
      </c>
      <c r="N3" s="179" t="s">
        <v>1</v>
      </c>
      <c r="O3" s="180" t="s">
        <v>16</v>
      </c>
      <c r="R3" s="179" t="s">
        <v>1</v>
      </c>
      <c r="S3" s="180" t="s">
        <v>16</v>
      </c>
      <c r="T3" s="153"/>
    </row>
    <row r="4" spans="1:20">
      <c r="A4" s="28"/>
      <c r="B4" s="28"/>
      <c r="C4" s="179" t="s">
        <v>1</v>
      </c>
      <c r="D4" s="180" t="s">
        <v>16</v>
      </c>
      <c r="E4" s="30"/>
      <c r="F4" s="30"/>
      <c r="G4" s="30"/>
      <c r="H4" s="179" t="s">
        <v>1</v>
      </c>
      <c r="I4" s="180" t="s">
        <v>16</v>
      </c>
      <c r="K4" s="179" t="s">
        <v>1</v>
      </c>
      <c r="L4" s="180" t="s">
        <v>16</v>
      </c>
      <c r="M4" s="30"/>
      <c r="N4" s="179" t="s">
        <v>2</v>
      </c>
      <c r="O4" s="180" t="s">
        <v>16</v>
      </c>
      <c r="R4" s="179" t="s">
        <v>2</v>
      </c>
      <c r="S4" s="180" t="s">
        <v>16</v>
      </c>
      <c r="T4" s="153"/>
    </row>
    <row r="5" spans="1:20">
      <c r="A5" s="28"/>
      <c r="B5" s="28"/>
      <c r="C5" s="179" t="s">
        <v>2</v>
      </c>
      <c r="D5" s="180" t="s">
        <v>16</v>
      </c>
      <c r="E5" s="30"/>
      <c r="F5" s="30"/>
      <c r="G5" s="30"/>
      <c r="H5" s="179" t="s">
        <v>2</v>
      </c>
      <c r="I5" s="180" t="s">
        <v>16</v>
      </c>
      <c r="K5" s="179" t="s">
        <v>2</v>
      </c>
      <c r="L5" s="180" t="s">
        <v>16</v>
      </c>
      <c r="M5" s="30"/>
      <c r="N5" s="179" t="s">
        <v>51</v>
      </c>
      <c r="O5" s="180" t="s">
        <v>16</v>
      </c>
      <c r="R5" s="179" t="s">
        <v>51</v>
      </c>
      <c r="S5" s="180" t="s">
        <v>16</v>
      </c>
      <c r="T5" s="153"/>
    </row>
    <row r="6" spans="1:20">
      <c r="A6" s="28"/>
      <c r="B6" s="28"/>
      <c r="C6" s="179" t="s">
        <v>3</v>
      </c>
      <c r="D6" s="180" t="s">
        <v>110</v>
      </c>
      <c r="E6" s="30"/>
      <c r="F6" s="30"/>
      <c r="G6" s="30"/>
      <c r="H6" s="179" t="s">
        <v>3</v>
      </c>
      <c r="I6" s="180" t="s">
        <v>112</v>
      </c>
      <c r="K6" s="179" t="s">
        <v>3</v>
      </c>
      <c r="L6" s="180" t="s">
        <v>141</v>
      </c>
      <c r="M6" s="30"/>
      <c r="N6" s="179" t="s">
        <v>3</v>
      </c>
      <c r="O6" s="180" t="s">
        <v>15</v>
      </c>
      <c r="R6" s="179" t="s">
        <v>3</v>
      </c>
      <c r="S6" s="180" t="s">
        <v>45</v>
      </c>
      <c r="T6" s="153"/>
    </row>
    <row r="7" spans="1:20">
      <c r="A7" s="28"/>
      <c r="B7" s="28"/>
      <c r="R7" s="153"/>
      <c r="S7" s="153"/>
      <c r="T7" s="153"/>
    </row>
    <row r="8" spans="1:20">
      <c r="A8" s="22" t="s">
        <v>680</v>
      </c>
      <c r="B8" s="22" t="s">
        <v>119</v>
      </c>
      <c r="C8" s="179" t="s">
        <v>286</v>
      </c>
      <c r="D8" s="180" t="s">
        <v>289</v>
      </c>
      <c r="E8" s="180" t="s">
        <v>239</v>
      </c>
      <c r="F8" s="180" t="s">
        <v>403</v>
      </c>
      <c r="H8" s="179" t="s">
        <v>286</v>
      </c>
      <c r="I8" t="s">
        <v>288</v>
      </c>
      <c r="K8" s="179" t="s">
        <v>286</v>
      </c>
      <c r="L8" t="s">
        <v>287</v>
      </c>
      <c r="N8" s="179" t="s">
        <v>286</v>
      </c>
      <c r="O8" s="180" t="s">
        <v>290</v>
      </c>
      <c r="P8" s="180" t="s">
        <v>403</v>
      </c>
      <c r="Q8" s="166" t="s">
        <v>734</v>
      </c>
      <c r="R8" s="179" t="s">
        <v>286</v>
      </c>
      <c r="S8" s="180" t="s">
        <v>700</v>
      </c>
      <c r="T8" s="180" t="s">
        <v>403</v>
      </c>
    </row>
    <row r="9" spans="1:20">
      <c r="A9" s="26" t="str">
        <f>INDEX('OS-Machine Info'!$B:$B,MATCH(C9,'OS-Machine Info'!$A:$A,0))</f>
        <v>TestDC</v>
      </c>
      <c r="B9" s="26">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424" priority="1" operator="lessThan">
      <formula>0.25</formula>
    </cfRule>
    <cfRule type="cellIs" dxfId="423" priority="2" operator="lessThan">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8"/>
  <sheetViews>
    <sheetView workbookViewId="0"/>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9"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s>
  <sheetData>
    <row r="1" spans="1:20" s="28" customFormat="1">
      <c r="C1" s="232" t="s">
        <v>298</v>
      </c>
      <c r="D1" s="209"/>
      <c r="E1" s="209"/>
      <c r="F1" s="209"/>
      <c r="G1" s="209"/>
      <c r="H1" s="209"/>
      <c r="I1" s="209"/>
      <c r="J1" s="209"/>
      <c r="K1" s="209"/>
      <c r="L1" s="209"/>
      <c r="M1" s="209"/>
      <c r="O1" s="229"/>
      <c r="P1" s="229"/>
      <c r="Q1" s="229"/>
      <c r="R1" s="229"/>
      <c r="S1" s="229"/>
      <c r="T1" s="229"/>
    </row>
    <row r="2" spans="1:20">
      <c r="A2" s="28"/>
      <c r="B2" s="28"/>
      <c r="C2" s="232"/>
      <c r="D2" s="209"/>
      <c r="E2" s="209"/>
      <c r="F2" s="209"/>
      <c r="G2" s="209"/>
      <c r="H2" s="209"/>
      <c r="I2" s="209"/>
      <c r="J2" s="209"/>
      <c r="K2" s="209"/>
      <c r="L2" s="209"/>
      <c r="M2" s="209"/>
      <c r="Q2" s="91"/>
      <c r="T2" s="30"/>
    </row>
    <row r="3" spans="1:20">
      <c r="A3" s="28"/>
      <c r="B3" s="28"/>
      <c r="C3" s="203" t="s">
        <v>0</v>
      </c>
      <c r="D3" s="204" t="s">
        <v>16</v>
      </c>
      <c r="F3" s="203" t="s">
        <v>0</v>
      </c>
      <c r="G3" s="204" t="s">
        <v>16</v>
      </c>
      <c r="K3" s="203" t="s">
        <v>0</v>
      </c>
      <c r="L3" s="204" t="s">
        <v>16</v>
      </c>
      <c r="M3" s="49"/>
      <c r="O3" s="179" t="s">
        <v>0</v>
      </c>
      <c r="P3" s="180" t="s">
        <v>16</v>
      </c>
      <c r="Q3" s="91"/>
      <c r="R3" s="179" t="s">
        <v>0</v>
      </c>
      <c r="S3" s="180" t="s">
        <v>16</v>
      </c>
      <c r="T3" s="30"/>
    </row>
    <row r="4" spans="1:20">
      <c r="A4" s="28"/>
      <c r="B4" s="28"/>
      <c r="C4" s="203" t="s">
        <v>3</v>
      </c>
      <c r="D4" s="204" t="s">
        <v>284</v>
      </c>
      <c r="F4" s="203" t="s">
        <v>3</v>
      </c>
      <c r="G4" s="204" t="s">
        <v>323</v>
      </c>
      <c r="K4" s="203" t="s">
        <v>3</v>
      </c>
      <c r="L4" s="204" t="s">
        <v>324</v>
      </c>
      <c r="M4" s="49"/>
      <c r="O4" s="179" t="s">
        <v>3</v>
      </c>
      <c r="P4" s="180" t="s">
        <v>451</v>
      </c>
      <c r="Q4" s="91"/>
      <c r="R4" s="179" t="s">
        <v>3</v>
      </c>
      <c r="S4" s="180" t="s">
        <v>453</v>
      </c>
      <c r="T4" s="30"/>
    </row>
    <row r="5" spans="1:20">
      <c r="A5" s="28"/>
      <c r="B5" s="28"/>
      <c r="F5" s="49"/>
      <c r="G5" s="49"/>
      <c r="K5" s="49"/>
      <c r="L5" s="49"/>
      <c r="M5" s="49"/>
      <c r="O5" s="91"/>
      <c r="P5" s="91"/>
      <c r="Q5" s="91"/>
      <c r="R5" s="91"/>
      <c r="S5" s="91"/>
      <c r="T5" s="91"/>
    </row>
    <row r="6" spans="1:20">
      <c r="A6" s="22" t="s">
        <v>680</v>
      </c>
      <c r="B6" s="22" t="s">
        <v>119</v>
      </c>
      <c r="C6" s="203" t="s">
        <v>286</v>
      </c>
      <c r="D6" t="s">
        <v>299</v>
      </c>
      <c r="F6" s="203" t="s">
        <v>286</v>
      </c>
      <c r="G6" s="204" t="s">
        <v>335</v>
      </c>
      <c r="H6" s="204" t="s">
        <v>239</v>
      </c>
      <c r="I6" s="204" t="s">
        <v>403</v>
      </c>
      <c r="K6" s="203" t="s">
        <v>286</v>
      </c>
      <c r="L6" s="204" t="s">
        <v>336</v>
      </c>
      <c r="M6" s="204" t="s">
        <v>407</v>
      </c>
      <c r="O6" s="179" t="s">
        <v>720</v>
      </c>
      <c r="P6" t="s">
        <v>457</v>
      </c>
      <c r="Q6" s="91"/>
      <c r="R6" s="179" t="s">
        <v>720</v>
      </c>
      <c r="S6" s="180" t="s">
        <v>458</v>
      </c>
      <c r="T6" s="180" t="s">
        <v>459</v>
      </c>
    </row>
    <row r="7" spans="1:20" ht="20.25" customHeight="1">
      <c r="A7" s="26" t="str">
        <f>INDEX('OS-Machine Info'!$B:$B,MATCH(C7,'OS-Machine Info'!$A:$A,0))</f>
        <v>TestDC</v>
      </c>
      <c r="B7" s="26">
        <f>INDEX('Node Information'!J:$J,MATCH(C7,'Node Information'!$A:$A,0))</f>
        <v>6.5428240740740704E-2</v>
      </c>
      <c r="C7" s="4" t="s">
        <v>48</v>
      </c>
      <c r="D7" s="5">
        <v>368</v>
      </c>
      <c r="F7" s="4" t="s">
        <v>48</v>
      </c>
      <c r="G7" s="5">
        <v>396</v>
      </c>
      <c r="H7" s="5">
        <v>396</v>
      </c>
      <c r="I7" s="204">
        <v>0</v>
      </c>
      <c r="K7" s="4" t="s">
        <v>48</v>
      </c>
      <c r="L7" s="5">
        <v>240</v>
      </c>
      <c r="M7" s="5">
        <v>0</v>
      </c>
      <c r="O7" s="4" t="s">
        <v>47</v>
      </c>
      <c r="P7" s="5">
        <v>7</v>
      </c>
      <c r="Q7" s="91"/>
      <c r="R7" s="4" t="s">
        <v>47</v>
      </c>
      <c r="S7" s="5">
        <v>2</v>
      </c>
      <c r="T7" s="5">
        <v>0</v>
      </c>
    </row>
    <row r="8" spans="1:20">
      <c r="C8" s="4" t="s">
        <v>17</v>
      </c>
      <c r="D8" s="5">
        <v>368</v>
      </c>
      <c r="F8" s="4" t="s">
        <v>17</v>
      </c>
      <c r="G8" s="204">
        <v>396</v>
      </c>
      <c r="H8" s="5">
        <v>396</v>
      </c>
      <c r="I8" s="204">
        <v>0</v>
      </c>
      <c r="K8" s="4" t="s">
        <v>17</v>
      </c>
      <c r="L8" s="204">
        <v>240</v>
      </c>
      <c r="M8" s="5">
        <v>0</v>
      </c>
      <c r="O8" s="4" t="s">
        <v>17</v>
      </c>
      <c r="P8" s="5">
        <v>7</v>
      </c>
      <c r="R8" s="4" t="s">
        <v>17</v>
      </c>
      <c r="S8" s="5">
        <v>2</v>
      </c>
      <c r="T8" s="5">
        <v>0</v>
      </c>
    </row>
  </sheetData>
  <mergeCells count="3">
    <mergeCell ref="C2:M2"/>
    <mergeCell ref="C1:M1"/>
    <mergeCell ref="O1:T1"/>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A3" sqref="A3"/>
    </sheetView>
  </sheetViews>
  <sheetFormatPr defaultColWidth="9.109375" defaultRowHeight="14.4"/>
  <cols>
    <col min="1" max="1" width="14.33203125" style="134" customWidth="1"/>
    <col min="2" max="2" width="21.77734375" style="134"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4.5546875" style="134"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34" t="s">
        <v>291</v>
      </c>
      <c r="C4" s="229"/>
      <c r="D4" s="229"/>
      <c r="E4" s="229"/>
      <c r="F4" s="229"/>
      <c r="G4" s="229"/>
      <c r="H4" s="229"/>
      <c r="I4" s="229"/>
      <c r="J4" s="229"/>
      <c r="K4" s="229"/>
      <c r="L4" s="229"/>
      <c r="M4" s="229"/>
      <c r="N4" s="229"/>
      <c r="O4" s="229"/>
      <c r="P4" s="229"/>
      <c r="Q4" s="234"/>
      <c r="R4" s="229"/>
    </row>
    <row r="5" spans="1:18">
      <c r="A5" s="42"/>
      <c r="B5" s="173" t="s">
        <v>558</v>
      </c>
      <c r="C5" s="174" t="s">
        <v>16</v>
      </c>
      <c r="D5" s="42"/>
      <c r="E5" s="42"/>
      <c r="F5" s="42"/>
      <c r="G5" s="42"/>
      <c r="H5" s="42"/>
      <c r="I5" s="42"/>
      <c r="J5" s="42"/>
      <c r="K5" s="42"/>
      <c r="L5" s="42"/>
      <c r="M5" s="42"/>
      <c r="N5" s="42"/>
      <c r="O5" s="42"/>
      <c r="P5" s="42"/>
      <c r="Q5" s="42"/>
      <c r="R5" s="42"/>
    </row>
    <row r="6" spans="1:18">
      <c r="A6" s="42"/>
      <c r="B6" s="173" t="s">
        <v>0</v>
      </c>
      <c r="C6" s="174" t="s">
        <v>16</v>
      </c>
      <c r="D6" s="133"/>
      <c r="E6" s="133"/>
      <c r="F6" s="133"/>
      <c r="G6" s="133"/>
      <c r="H6" s="135"/>
      <c r="I6" s="133"/>
      <c r="J6" s="133"/>
      <c r="K6" s="133"/>
      <c r="L6" s="133"/>
      <c r="M6" s="135"/>
    </row>
    <row r="7" spans="1:18">
      <c r="A7" s="42"/>
    </row>
    <row r="8" spans="1:18">
      <c r="A8" s="22"/>
      <c r="B8" s="123" t="s">
        <v>791</v>
      </c>
      <c r="C8" s="124" t="s">
        <v>581</v>
      </c>
      <c r="D8" s="124" t="s">
        <v>579</v>
      </c>
      <c r="E8" s="124" t="s">
        <v>580</v>
      </c>
      <c r="F8" s="174" t="s">
        <v>602</v>
      </c>
      <c r="G8" s="124" t="s">
        <v>582</v>
      </c>
      <c r="H8" s="174" t="s">
        <v>747</v>
      </c>
      <c r="I8" s="124" t="s">
        <v>583</v>
      </c>
      <c r="J8" s="124" t="s">
        <v>588</v>
      </c>
      <c r="K8" s="174" t="s">
        <v>629</v>
      </c>
      <c r="L8" s="174" t="s">
        <v>630</v>
      </c>
      <c r="M8" s="174" t="s">
        <v>631</v>
      </c>
      <c r="N8" s="124" t="s">
        <v>584</v>
      </c>
      <c r="O8" s="174" t="s">
        <v>748</v>
      </c>
      <c r="P8" s="174" t="s">
        <v>690</v>
      </c>
      <c r="Q8" s="124" t="s">
        <v>585</v>
      </c>
      <c r="R8" s="124" t="s">
        <v>586</v>
      </c>
    </row>
    <row r="9" spans="1:18">
      <c r="A9" s="26"/>
      <c r="B9" s="4" t="s">
        <v>47</v>
      </c>
      <c r="C9" s="5">
        <v>2</v>
      </c>
      <c r="D9" s="122">
        <v>4.9768518518518521E-4</v>
      </c>
      <c r="E9" s="122">
        <v>3.3564814814814818E-4</v>
      </c>
      <c r="F9" s="5"/>
      <c r="G9" s="5">
        <v>3</v>
      </c>
      <c r="H9" s="5">
        <v>2</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2</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34" t="s">
        <v>512</v>
      </c>
      <c r="D4" s="235"/>
      <c r="E4" s="235"/>
      <c r="F4" s="235"/>
      <c r="G4" s="235"/>
      <c r="H4" s="235"/>
      <c r="I4" s="235"/>
      <c r="J4" s="235"/>
      <c r="K4" s="235"/>
      <c r="L4" s="235"/>
      <c r="N4" s="234" t="s">
        <v>513</v>
      </c>
      <c r="O4" s="235"/>
      <c r="P4" s="235"/>
      <c r="Q4" s="235"/>
      <c r="R4" s="235"/>
      <c r="S4" s="235"/>
      <c r="T4" s="235"/>
      <c r="U4" s="235"/>
      <c r="V4" s="235"/>
      <c r="W4" s="235"/>
      <c r="Y4" s="234" t="s">
        <v>291</v>
      </c>
      <c r="Z4" s="235"/>
      <c r="AA4" s="235"/>
      <c r="AB4" s="235"/>
      <c r="AC4" s="235"/>
      <c r="AD4" s="235"/>
      <c r="AE4" s="235"/>
      <c r="AF4" s="235"/>
      <c r="AG4" s="235"/>
      <c r="AH4" s="235"/>
      <c r="AI4" s="209"/>
      <c r="AJ4" s="209"/>
      <c r="AK4" s="209"/>
      <c r="AL4" s="234"/>
      <c r="AM4" s="235"/>
      <c r="AN4" s="235"/>
    </row>
    <row r="5" spans="1:40">
      <c r="A5" s="28"/>
      <c r="B5" s="42"/>
      <c r="C5" s="203" t="s">
        <v>0</v>
      </c>
      <c r="D5" s="204" t="s">
        <v>16</v>
      </c>
      <c r="E5" s="30"/>
      <c r="H5" s="30"/>
      <c r="I5" s="203" t="s">
        <v>0</v>
      </c>
      <c r="J5" s="204" t="s">
        <v>16</v>
      </c>
      <c r="N5" s="203" t="s">
        <v>0</v>
      </c>
      <c r="O5" s="204" t="s">
        <v>16</v>
      </c>
      <c r="P5" s="30"/>
      <c r="S5" s="30"/>
      <c r="T5" s="203" t="s">
        <v>0</v>
      </c>
      <c r="U5" s="204" t="s">
        <v>16</v>
      </c>
      <c r="Y5" s="175" t="s">
        <v>558</v>
      </c>
      <c r="Z5" s="176" t="s">
        <v>16</v>
      </c>
      <c r="AA5" s="42"/>
      <c r="AB5" s="42"/>
      <c r="AC5" s="42"/>
      <c r="AD5" s="42"/>
      <c r="AE5" s="42"/>
      <c r="AF5" s="42"/>
      <c r="AG5" s="42"/>
      <c r="AH5" s="42"/>
      <c r="AI5" s="42"/>
      <c r="AJ5" s="42"/>
      <c r="AK5" s="42"/>
      <c r="AL5" s="42"/>
      <c r="AM5" s="42"/>
      <c r="AN5" s="42"/>
    </row>
    <row r="6" spans="1:40">
      <c r="A6" s="28"/>
      <c r="B6" s="42"/>
      <c r="C6" s="203" t="s">
        <v>3</v>
      </c>
      <c r="D6" s="204" t="s">
        <v>300</v>
      </c>
      <c r="E6" s="30"/>
      <c r="H6" s="30"/>
      <c r="I6" s="203" t="s">
        <v>3</v>
      </c>
      <c r="J6" s="204" t="s">
        <v>300</v>
      </c>
      <c r="N6" s="203" t="s">
        <v>3</v>
      </c>
      <c r="O6" s="204" t="s">
        <v>300</v>
      </c>
      <c r="P6" s="30"/>
      <c r="S6" s="30"/>
      <c r="T6" s="203" t="s">
        <v>3</v>
      </c>
      <c r="U6" s="204" t="s">
        <v>300</v>
      </c>
      <c r="Y6" s="175" t="s">
        <v>0</v>
      </c>
      <c r="Z6" s="176"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119</v>
      </c>
      <c r="C8" s="203" t="s">
        <v>286</v>
      </c>
      <c r="D8" s="204" t="s">
        <v>302</v>
      </c>
      <c r="E8" s="204" t="s">
        <v>405</v>
      </c>
      <c r="F8" s="204" t="s">
        <v>301</v>
      </c>
      <c r="G8" s="204" t="s">
        <v>404</v>
      </c>
      <c r="I8" s="203" t="s">
        <v>286</v>
      </c>
      <c r="J8" s="204" t="s">
        <v>306</v>
      </c>
      <c r="K8" s="204" t="s">
        <v>307</v>
      </c>
      <c r="L8" s="204" t="s">
        <v>308</v>
      </c>
      <c r="N8" s="203" t="s">
        <v>286</v>
      </c>
      <c r="O8" s="204" t="s">
        <v>302</v>
      </c>
      <c r="P8" s="204" t="s">
        <v>405</v>
      </c>
      <c r="Q8" s="204" t="s">
        <v>301</v>
      </c>
      <c r="R8" s="204" t="s">
        <v>404</v>
      </c>
      <c r="T8" s="203" t="s">
        <v>286</v>
      </c>
      <c r="U8" s="204" t="s">
        <v>306</v>
      </c>
      <c r="V8" s="204" t="s">
        <v>307</v>
      </c>
      <c r="W8" s="204" t="s">
        <v>308</v>
      </c>
      <c r="Y8" s="123" t="s">
        <v>286</v>
      </c>
      <c r="Z8" s="124" t="s">
        <v>581</v>
      </c>
      <c r="AA8" s="124" t="s">
        <v>579</v>
      </c>
      <c r="AB8" s="124" t="s">
        <v>580</v>
      </c>
      <c r="AC8" s="176" t="s">
        <v>602</v>
      </c>
      <c r="AD8" s="124" t="s">
        <v>582</v>
      </c>
      <c r="AE8" s="124" t="s">
        <v>587</v>
      </c>
      <c r="AF8" s="124" t="s">
        <v>583</v>
      </c>
      <c r="AG8" s="124" t="s">
        <v>588</v>
      </c>
      <c r="AH8" s="176" t="s">
        <v>749</v>
      </c>
      <c r="AI8" s="176" t="s">
        <v>676</v>
      </c>
      <c r="AJ8" s="124" t="s">
        <v>584</v>
      </c>
      <c r="AK8" s="176" t="s">
        <v>748</v>
      </c>
      <c r="AL8" s="176" t="s">
        <v>690</v>
      </c>
      <c r="AM8" s="124" t="s">
        <v>585</v>
      </c>
      <c r="AN8" s="124" t="s">
        <v>586</v>
      </c>
    </row>
    <row r="9" spans="1:40">
      <c r="A9" s="26" t="str">
        <f>INDEX('OS-Machine Info'!$B:$B,MATCH(C9,'OS-Machine Info'!$A:$A,0))</f>
        <v>TestDC</v>
      </c>
      <c r="B9" s="26">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B1" sqref="B1:B1048576"/>
    </sheetView>
  </sheetViews>
  <sheetFormatPr defaultRowHeight="14.4"/>
  <cols>
    <col min="1" max="1" width="16.44140625" customWidth="1"/>
    <col min="2" max="2" width="23.33203125" customWidth="1"/>
    <col min="3" max="3" width="7.88671875" style="169"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 style="8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36" t="s">
        <v>144</v>
      </c>
      <c r="B2" s="227"/>
      <c r="C2" s="227"/>
      <c r="D2" s="227"/>
      <c r="E2" s="227"/>
      <c r="F2" s="227"/>
      <c r="G2" s="227"/>
      <c r="H2" s="227"/>
      <c r="I2" s="237"/>
      <c r="J2" s="81"/>
      <c r="K2" s="228" t="s">
        <v>354</v>
      </c>
      <c r="L2" s="209"/>
      <c r="M2" s="54"/>
      <c r="N2" s="228" t="s">
        <v>365</v>
      </c>
      <c r="O2" s="209"/>
      <c r="P2" s="209"/>
      <c r="Q2" s="209"/>
      <c r="R2" s="209"/>
      <c r="S2" s="209"/>
      <c r="T2" s="209"/>
      <c r="U2" s="209"/>
      <c r="V2" s="209"/>
      <c r="W2" s="209"/>
      <c r="X2" s="209"/>
      <c r="Y2" s="209"/>
    </row>
    <row r="3" spans="1:26" s="28" customFormat="1">
      <c r="A3"/>
      <c r="B3"/>
      <c r="C3" s="169"/>
      <c r="D3" s="52"/>
      <c r="E3"/>
      <c r="F3"/>
      <c r="G3" s="52"/>
      <c r="H3"/>
      <c r="I3"/>
      <c r="J3" s="81"/>
      <c r="K3"/>
      <c r="L3"/>
      <c r="M3" s="54"/>
      <c r="N3"/>
      <c r="O3"/>
      <c r="R3"/>
      <c r="S3"/>
      <c r="T3" s="31"/>
      <c r="V3"/>
      <c r="W3"/>
    </row>
    <row r="4" spans="1:26">
      <c r="A4" s="179" t="s">
        <v>147</v>
      </c>
      <c r="B4" s="180" t="s">
        <v>16</v>
      </c>
      <c r="D4" s="30"/>
      <c r="E4" s="179" t="s">
        <v>147</v>
      </c>
      <c r="F4" s="180" t="s">
        <v>16</v>
      </c>
      <c r="G4" s="30"/>
      <c r="H4" s="179" t="s">
        <v>147</v>
      </c>
      <c r="I4" s="180" t="s">
        <v>16</v>
      </c>
      <c r="K4" s="159" t="s">
        <v>147</v>
      </c>
      <c r="L4" s="160" t="s">
        <v>354</v>
      </c>
      <c r="N4" s="179" t="s">
        <v>0</v>
      </c>
      <c r="O4" s="180" t="s">
        <v>16</v>
      </c>
      <c r="Q4" s="8"/>
      <c r="R4" s="179" t="s">
        <v>0</v>
      </c>
      <c r="S4" s="180" t="s">
        <v>16</v>
      </c>
      <c r="T4"/>
      <c r="V4" s="179" t="s">
        <v>0</v>
      </c>
      <c r="W4" s="180" t="s">
        <v>16</v>
      </c>
      <c r="Z4" s="8"/>
    </row>
    <row r="5" spans="1:26">
      <c r="A5" s="179" t="s">
        <v>0</v>
      </c>
      <c r="B5" s="180" t="s">
        <v>16</v>
      </c>
      <c r="D5" s="30"/>
      <c r="E5" s="179" t="s">
        <v>0</v>
      </c>
      <c r="F5" s="180" t="s">
        <v>16</v>
      </c>
      <c r="G5" s="30"/>
      <c r="H5" s="179" t="s">
        <v>0</v>
      </c>
      <c r="I5" s="180" t="s">
        <v>16</v>
      </c>
      <c r="K5" s="159" t="s">
        <v>0</v>
      </c>
      <c r="L5" s="160" t="s">
        <v>16</v>
      </c>
      <c r="N5" s="179" t="s">
        <v>51</v>
      </c>
      <c r="O5" s="180" t="s">
        <v>16</v>
      </c>
      <c r="Q5" s="8"/>
      <c r="R5" s="179" t="s">
        <v>51</v>
      </c>
      <c r="S5" s="180" t="s">
        <v>16</v>
      </c>
      <c r="T5"/>
      <c r="V5" s="179" t="s">
        <v>51</v>
      </c>
      <c r="W5" s="180" t="s">
        <v>16</v>
      </c>
      <c r="Z5" s="8"/>
    </row>
    <row r="6" spans="1:26">
      <c r="A6" s="179" t="s">
        <v>3</v>
      </c>
      <c r="B6" s="180" t="s">
        <v>106</v>
      </c>
      <c r="D6" s="30"/>
      <c r="E6" s="179" t="s">
        <v>3</v>
      </c>
      <c r="F6" s="180" t="s">
        <v>140</v>
      </c>
      <c r="G6" s="30"/>
      <c r="H6" s="179" t="s">
        <v>3</v>
      </c>
      <c r="I6" s="180" t="s">
        <v>109</v>
      </c>
      <c r="K6" s="159" t="s">
        <v>3</v>
      </c>
      <c r="L6" s="160" t="s">
        <v>106</v>
      </c>
      <c r="N6" s="179" t="s">
        <v>3</v>
      </c>
      <c r="O6" s="180" t="s">
        <v>13</v>
      </c>
      <c r="Q6" s="8"/>
      <c r="R6" s="179" t="s">
        <v>3</v>
      </c>
      <c r="S6" s="180" t="s">
        <v>14</v>
      </c>
      <c r="T6"/>
      <c r="V6" s="179" t="s">
        <v>3</v>
      </c>
      <c r="W6" s="180" t="s">
        <v>8</v>
      </c>
      <c r="Z6" s="8"/>
    </row>
    <row r="7" spans="1:26">
      <c r="Q7" s="8"/>
      <c r="T7"/>
      <c r="Z7" s="8"/>
    </row>
    <row r="8" spans="1:26" ht="28.8">
      <c r="A8" s="179" t="s">
        <v>720</v>
      </c>
      <c r="B8" s="29" t="s">
        <v>425</v>
      </c>
      <c r="C8" s="180" t="s">
        <v>239</v>
      </c>
      <c r="E8" s="179" t="s">
        <v>720</v>
      </c>
      <c r="F8" s="29" t="s">
        <v>376</v>
      </c>
      <c r="H8" s="179" t="s">
        <v>720</v>
      </c>
      <c r="I8" s="29" t="s">
        <v>426</v>
      </c>
      <c r="J8" s="29"/>
      <c r="K8" s="159" t="s">
        <v>720</v>
      </c>
      <c r="L8" t="s">
        <v>425</v>
      </c>
      <c r="N8" s="179" t="s">
        <v>720</v>
      </c>
      <c r="O8" s="29" t="s">
        <v>373</v>
      </c>
      <c r="P8" s="29" t="s">
        <v>403</v>
      </c>
      <c r="Q8" s="8"/>
      <c r="R8" s="179" t="s">
        <v>720</v>
      </c>
      <c r="S8" s="29" t="s">
        <v>374</v>
      </c>
      <c r="T8" s="29" t="s">
        <v>407</v>
      </c>
      <c r="V8" s="179" t="s">
        <v>720</v>
      </c>
      <c r="W8" s="180"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160">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160">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1048576">
    <cfRule type="colorScale" priority="3">
      <colorScale>
        <cfvo type="min"/>
        <cfvo type="num" val="75"/>
        <cfvo type="max"/>
        <color rgb="FF00B050"/>
        <color rgb="FFFFEB84"/>
        <color rgb="FFFF0000"/>
      </colorScale>
    </cfRule>
  </conditionalFormatting>
  <conditionalFormatting sqref="I1:I1048576">
    <cfRule type="colorScale" priority="2">
      <colorScale>
        <cfvo type="min"/>
        <cfvo type="num" val="75"/>
        <cfvo type="max"/>
        <color rgb="FF00B050"/>
        <color rgb="FFFFEB84"/>
        <color rgb="FFFF0000"/>
      </colorScale>
    </cfRule>
  </conditionalFormatting>
  <conditionalFormatting sqref="S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9"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36" t="s">
        <v>375</v>
      </c>
      <c r="C1" s="227"/>
      <c r="D1" s="227"/>
      <c r="E1" s="227"/>
      <c r="F1" s="227"/>
      <c r="G1" s="227"/>
      <c r="H1" s="227"/>
      <c r="I1" s="227"/>
      <c r="J1" s="237"/>
      <c r="K1" s="81"/>
      <c r="L1" s="228" t="s">
        <v>354</v>
      </c>
      <c r="M1" s="229"/>
      <c r="N1" s="81"/>
      <c r="O1" s="238" t="s">
        <v>365</v>
      </c>
      <c r="P1" s="229"/>
      <c r="Q1" s="229"/>
      <c r="R1" s="229"/>
      <c r="S1" s="229"/>
      <c r="T1" s="229"/>
      <c r="U1" s="229"/>
      <c r="V1" s="229"/>
      <c r="W1" s="229"/>
      <c r="X1" s="229"/>
      <c r="Y1" s="229"/>
      <c r="Z1" s="229"/>
    </row>
    <row r="2" spans="1:37">
      <c r="A2" s="28"/>
      <c r="B2" s="179" t="s">
        <v>147</v>
      </c>
      <c r="C2" s="180" t="s">
        <v>16</v>
      </c>
      <c r="E2" s="52"/>
      <c r="F2" s="179" t="s">
        <v>147</v>
      </c>
      <c r="G2" s="180" t="s">
        <v>16</v>
      </c>
      <c r="H2" s="52"/>
      <c r="I2" s="179" t="s">
        <v>147</v>
      </c>
      <c r="J2" s="180" t="s">
        <v>16</v>
      </c>
      <c r="L2" s="159" t="s">
        <v>147</v>
      </c>
      <c r="M2" s="160" t="s">
        <v>354</v>
      </c>
      <c r="N2" s="81"/>
      <c r="O2" s="179" t="s">
        <v>0</v>
      </c>
      <c r="P2" s="180" t="s">
        <v>16</v>
      </c>
      <c r="Q2" s="28"/>
      <c r="R2" s="28"/>
      <c r="S2" s="179" t="s">
        <v>0</v>
      </c>
      <c r="T2" s="180" t="s">
        <v>16</v>
      </c>
      <c r="U2" s="28"/>
      <c r="V2" s="28"/>
      <c r="W2" s="179" t="s">
        <v>0</v>
      </c>
      <c r="X2" s="180" t="s">
        <v>16</v>
      </c>
      <c r="Y2" s="81"/>
      <c r="Z2" s="81"/>
      <c r="AA2" s="81"/>
      <c r="AB2" s="81"/>
      <c r="AC2" s="81"/>
      <c r="AD2" s="81"/>
      <c r="AE2" s="81"/>
      <c r="AF2" s="81"/>
      <c r="AG2" s="81"/>
      <c r="AH2" s="81"/>
      <c r="AI2" s="81"/>
      <c r="AJ2" s="81"/>
      <c r="AK2" s="81"/>
    </row>
    <row r="3" spans="1:37" s="28" customFormat="1">
      <c r="B3" s="179" t="s">
        <v>0</v>
      </c>
      <c r="C3" s="180" t="s">
        <v>16</v>
      </c>
      <c r="D3" s="169"/>
      <c r="F3" s="179" t="s">
        <v>0</v>
      </c>
      <c r="G3" s="180" t="s">
        <v>16</v>
      </c>
      <c r="I3" s="179" t="s">
        <v>0</v>
      </c>
      <c r="J3" s="180" t="s">
        <v>16</v>
      </c>
      <c r="K3" s="81"/>
      <c r="L3" s="159" t="s">
        <v>0</v>
      </c>
      <c r="M3" s="160" t="s">
        <v>16</v>
      </c>
      <c r="N3" s="81"/>
      <c r="O3" s="179" t="s">
        <v>1</v>
      </c>
      <c r="P3" s="180" t="s">
        <v>16</v>
      </c>
      <c r="S3" s="179" t="s">
        <v>1</v>
      </c>
      <c r="T3" s="180" t="s">
        <v>16</v>
      </c>
      <c r="U3" s="31"/>
      <c r="W3" s="179" t="s">
        <v>1</v>
      </c>
      <c r="X3" s="180" t="s">
        <v>16</v>
      </c>
      <c r="Y3" s="81"/>
      <c r="Z3" s="81"/>
      <c r="AA3" s="81"/>
      <c r="AB3" s="81"/>
      <c r="AC3" s="81"/>
      <c r="AD3" s="81"/>
      <c r="AE3" s="81"/>
      <c r="AF3" s="81"/>
      <c r="AG3" s="81"/>
      <c r="AH3" s="81"/>
      <c r="AI3" s="81"/>
      <c r="AJ3" s="81"/>
      <c r="AK3" s="81"/>
    </row>
    <row r="4" spans="1:37">
      <c r="A4" s="28"/>
      <c r="B4" s="179" t="s">
        <v>1</v>
      </c>
      <c r="C4" s="180" t="s">
        <v>16</v>
      </c>
      <c r="E4" s="30"/>
      <c r="F4" s="179" t="s">
        <v>1</v>
      </c>
      <c r="G4" s="180" t="s">
        <v>16</v>
      </c>
      <c r="H4" s="30"/>
      <c r="I4" s="179" t="s">
        <v>1</v>
      </c>
      <c r="J4" s="180" t="s">
        <v>16</v>
      </c>
      <c r="L4" s="159" t="s">
        <v>1</v>
      </c>
      <c r="M4" s="160" t="s">
        <v>16</v>
      </c>
      <c r="O4" s="179" t="s">
        <v>2</v>
      </c>
      <c r="P4" s="180" t="s">
        <v>16</v>
      </c>
      <c r="R4" s="8"/>
      <c r="S4" s="179" t="s">
        <v>2</v>
      </c>
      <c r="T4" s="180" t="s">
        <v>16</v>
      </c>
      <c r="U4"/>
      <c r="W4" s="179" t="s">
        <v>2</v>
      </c>
      <c r="X4" s="180" t="s">
        <v>16</v>
      </c>
      <c r="Y4" s="81"/>
      <c r="AA4" s="81"/>
      <c r="AB4" s="81"/>
      <c r="AC4" s="81"/>
      <c r="AD4" s="81"/>
      <c r="AE4" s="81"/>
      <c r="AF4" s="81"/>
      <c r="AG4" s="81"/>
      <c r="AH4" s="81"/>
      <c r="AI4" s="81"/>
      <c r="AJ4" s="81"/>
      <c r="AK4" s="81"/>
    </row>
    <row r="5" spans="1:37">
      <c r="A5" s="28"/>
      <c r="B5" s="179" t="s">
        <v>2</v>
      </c>
      <c r="C5" s="180" t="s">
        <v>16</v>
      </c>
      <c r="E5" s="30"/>
      <c r="F5" s="179" t="s">
        <v>2</v>
      </c>
      <c r="G5" s="180" t="s">
        <v>16</v>
      </c>
      <c r="H5" s="30"/>
      <c r="I5" s="179" t="s">
        <v>2</v>
      </c>
      <c r="J5" s="180" t="s">
        <v>16</v>
      </c>
      <c r="L5" s="159" t="s">
        <v>2</v>
      </c>
      <c r="M5" s="160" t="s">
        <v>16</v>
      </c>
      <c r="O5" s="179" t="s">
        <v>51</v>
      </c>
      <c r="P5" s="180" t="s">
        <v>16</v>
      </c>
      <c r="R5" s="8"/>
      <c r="S5" s="179" t="s">
        <v>51</v>
      </c>
      <c r="T5" s="180" t="s">
        <v>16</v>
      </c>
      <c r="U5"/>
      <c r="W5" s="179" t="s">
        <v>51</v>
      </c>
      <c r="X5" s="180" t="s">
        <v>16</v>
      </c>
      <c r="AA5" s="8"/>
    </row>
    <row r="6" spans="1:37">
      <c r="A6" s="28"/>
      <c r="B6" s="179" t="s">
        <v>3</v>
      </c>
      <c r="C6" s="180" t="s">
        <v>106</v>
      </c>
      <c r="E6" s="30"/>
      <c r="F6" s="179" t="s">
        <v>3</v>
      </c>
      <c r="G6" s="180" t="s">
        <v>140</v>
      </c>
      <c r="H6" s="30"/>
      <c r="I6" s="179" t="s">
        <v>3</v>
      </c>
      <c r="J6" s="180" t="s">
        <v>109</v>
      </c>
      <c r="L6" s="159" t="s">
        <v>3</v>
      </c>
      <c r="M6" s="160" t="s">
        <v>106</v>
      </c>
      <c r="O6" s="179" t="s">
        <v>3</v>
      </c>
      <c r="P6" s="180" t="s">
        <v>13</v>
      </c>
      <c r="R6" s="8"/>
      <c r="S6" s="179" t="s">
        <v>3</v>
      </c>
      <c r="T6" s="180" t="s">
        <v>14</v>
      </c>
      <c r="U6"/>
      <c r="W6" s="179" t="s">
        <v>3</v>
      </c>
      <c r="X6" s="180" t="s">
        <v>8</v>
      </c>
      <c r="AA6" s="8"/>
    </row>
    <row r="7" spans="1:37">
      <c r="A7" s="28"/>
      <c r="R7" s="8"/>
      <c r="U7"/>
      <c r="AA7" s="8"/>
    </row>
    <row r="8" spans="1:37" ht="28.8">
      <c r="A8" s="22" t="s">
        <v>680</v>
      </c>
      <c r="B8" s="179" t="s">
        <v>286</v>
      </c>
      <c r="C8" s="29" t="s">
        <v>373</v>
      </c>
      <c r="D8" s="180" t="s">
        <v>239</v>
      </c>
      <c r="F8" s="179" t="s">
        <v>286</v>
      </c>
      <c r="G8" s="29" t="s">
        <v>376</v>
      </c>
      <c r="I8" s="179" t="s">
        <v>286</v>
      </c>
      <c r="J8" s="29" t="s">
        <v>374</v>
      </c>
      <c r="K8" s="29"/>
      <c r="L8" s="159" t="s">
        <v>286</v>
      </c>
      <c r="M8" t="s">
        <v>373</v>
      </c>
      <c r="O8" s="179" t="s">
        <v>286</v>
      </c>
      <c r="P8" s="29" t="s">
        <v>373</v>
      </c>
      <c r="Q8" s="29" t="s">
        <v>374</v>
      </c>
      <c r="R8" s="8"/>
      <c r="S8" s="179" t="s">
        <v>286</v>
      </c>
      <c r="T8" s="29" t="s">
        <v>374</v>
      </c>
      <c r="U8" s="29" t="s">
        <v>407</v>
      </c>
      <c r="W8" s="179" t="s">
        <v>286</v>
      </c>
      <c r="X8" s="180"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47" customWidth="1"/>
    <col min="2" max="2" width="15.88671875" customWidth="1"/>
    <col min="3" max="3" width="10.77734375" customWidth="1"/>
    <col min="4" max="4" width="35.5546875" customWidth="1"/>
    <col min="5" max="5" width="7.88671875" style="169"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2" customFormat="1">
      <c r="A1" s="28"/>
    </row>
    <row r="2" spans="1:30" s="42" customFormat="1">
      <c r="A2" s="28"/>
    </row>
    <row r="3" spans="1:30" s="42" customFormat="1">
      <c r="A3" s="28"/>
    </row>
    <row r="4" spans="1:30">
      <c r="A4" s="28"/>
      <c r="B4" s="42"/>
      <c r="C4" s="226" t="s">
        <v>474</v>
      </c>
      <c r="D4" s="229"/>
      <c r="E4" s="229"/>
      <c r="F4" s="229"/>
      <c r="G4" s="229"/>
      <c r="H4" s="229"/>
      <c r="I4" s="229"/>
      <c r="J4" s="229"/>
      <c r="K4" s="229"/>
      <c r="L4" s="229"/>
      <c r="M4" s="229"/>
      <c r="N4" s="229"/>
      <c r="O4" s="229"/>
      <c r="P4" s="229"/>
      <c r="Q4" s="229"/>
      <c r="R4" s="229"/>
      <c r="S4" s="229"/>
      <c r="T4" s="229"/>
      <c r="U4" s="229"/>
      <c r="V4" s="229"/>
      <c r="W4" s="229"/>
      <c r="X4" s="229"/>
      <c r="Y4" s="229"/>
      <c r="Z4" s="229"/>
      <c r="AA4" s="229"/>
      <c r="AB4" s="229"/>
      <c r="AC4" s="34"/>
      <c r="AD4" s="34"/>
    </row>
    <row r="5" spans="1:30">
      <c r="A5" s="28"/>
      <c r="B5" s="42"/>
      <c r="C5" s="203" t="s">
        <v>0</v>
      </c>
      <c r="D5" s="204" t="s">
        <v>16</v>
      </c>
      <c r="F5" s="30"/>
      <c r="G5" s="203" t="s">
        <v>0</v>
      </c>
      <c r="H5" s="204" t="s">
        <v>16</v>
      </c>
      <c r="I5" s="30"/>
      <c r="J5" s="203" t="s">
        <v>0</v>
      </c>
      <c r="K5" s="204" t="s">
        <v>16</v>
      </c>
      <c r="M5" s="203" t="s">
        <v>0</v>
      </c>
      <c r="N5" s="204" t="s">
        <v>16</v>
      </c>
      <c r="O5" s="239" t="s">
        <v>536</v>
      </c>
      <c r="P5" s="209"/>
      <c r="U5" s="203" t="s">
        <v>0</v>
      </c>
      <c r="V5" s="204" t="s">
        <v>16</v>
      </c>
      <c r="W5" s="239" t="s">
        <v>537</v>
      </c>
      <c r="X5" s="209"/>
      <c r="Y5" s="209"/>
      <c r="Z5" s="104"/>
      <c r="AA5" s="104"/>
    </row>
    <row r="6" spans="1:30">
      <c r="A6" s="28"/>
      <c r="B6" s="42"/>
      <c r="C6" s="203" t="s">
        <v>3</v>
      </c>
      <c r="D6" s="204" t="s">
        <v>399</v>
      </c>
      <c r="F6" s="30"/>
      <c r="G6" s="203" t="s">
        <v>3</v>
      </c>
      <c r="H6" s="204" t="s">
        <v>142</v>
      </c>
      <c r="I6" s="30"/>
      <c r="J6" s="203" t="s">
        <v>3</v>
      </c>
      <c r="K6" s="204" t="s">
        <v>400</v>
      </c>
      <c r="M6" s="203" t="s">
        <v>3</v>
      </c>
      <c r="N6" s="204" t="s">
        <v>300</v>
      </c>
      <c r="U6" s="203" t="s">
        <v>3</v>
      </c>
      <c r="V6" s="204" t="s">
        <v>300</v>
      </c>
      <c r="W6" s="104"/>
      <c r="X6" s="104"/>
      <c r="Y6" s="104"/>
      <c r="Z6" s="104"/>
      <c r="AA6" s="104"/>
    </row>
    <row r="7" spans="1:30">
      <c r="A7" s="28"/>
      <c r="B7" s="42"/>
      <c r="M7" s="102"/>
      <c r="N7" s="102"/>
      <c r="U7" s="104"/>
      <c r="V7" s="104"/>
      <c r="W7" s="104"/>
      <c r="X7" s="104"/>
      <c r="Y7" s="104"/>
      <c r="Z7" s="104"/>
      <c r="AA7" s="104"/>
    </row>
    <row r="8" spans="1:30">
      <c r="A8" s="22" t="s">
        <v>680</v>
      </c>
      <c r="B8" s="43" t="s">
        <v>294</v>
      </c>
      <c r="C8" s="203" t="s">
        <v>286</v>
      </c>
      <c r="D8" s="204" t="s">
        <v>327</v>
      </c>
      <c r="E8" s="204" t="s">
        <v>239</v>
      </c>
      <c r="G8" s="203" t="s">
        <v>286</v>
      </c>
      <c r="H8" t="s">
        <v>334</v>
      </c>
      <c r="J8" s="203" t="s">
        <v>286</v>
      </c>
      <c r="K8" t="s">
        <v>293</v>
      </c>
      <c r="M8" s="203" t="s">
        <v>286</v>
      </c>
      <c r="N8" s="204" t="s">
        <v>533</v>
      </c>
      <c r="O8" s="204" t="s">
        <v>534</v>
      </c>
      <c r="P8" s="204" t="s">
        <v>535</v>
      </c>
      <c r="Q8" s="204" t="s">
        <v>346</v>
      </c>
      <c r="R8" s="204" t="s">
        <v>239</v>
      </c>
      <c r="S8" s="204" t="s">
        <v>521</v>
      </c>
      <c r="U8" s="203" t="s">
        <v>286</v>
      </c>
      <c r="V8" s="204" t="s">
        <v>538</v>
      </c>
      <c r="W8" s="204" t="s">
        <v>534</v>
      </c>
      <c r="X8" s="204" t="s">
        <v>539</v>
      </c>
      <c r="Y8" s="204" t="s">
        <v>535</v>
      </c>
      <c r="Z8" s="204" t="s">
        <v>346</v>
      </c>
      <c r="AA8" s="204" t="s">
        <v>239</v>
      </c>
      <c r="AB8" s="204" t="s">
        <v>521</v>
      </c>
    </row>
    <row r="9" spans="1:30">
      <c r="A9" s="26" t="str">
        <f>INDEX('OS-Machine Info'!$B:$B,MATCH(C9,'OS-Machine Info'!$A:$A,0))</f>
        <v>TestDC</v>
      </c>
      <c r="B9" s="44" t="str">
        <f>INDEX('OS-Machine Info'!$X:X,MATCH(C9,'OS-Machine Info'!$A:$A,0))</f>
        <v>GC-CMS</v>
      </c>
      <c r="C9" s="4" t="s">
        <v>48</v>
      </c>
      <c r="D9" s="5">
        <v>396</v>
      </c>
      <c r="E9" s="5">
        <v>396</v>
      </c>
      <c r="F9" s="5"/>
      <c r="G9" s="4" t="s">
        <v>48</v>
      </c>
      <c r="H9" s="204">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204">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47" customWidth="1"/>
    <col min="2" max="2" width="15.88671875" style="48" customWidth="1"/>
    <col min="3" max="3" width="10.77734375" style="48" customWidth="1"/>
    <col min="4" max="4" width="24.77734375" style="48" customWidth="1"/>
    <col min="5" max="5" width="9.109375" style="48"/>
    <col min="6" max="6" width="10.77734375" style="48" customWidth="1"/>
    <col min="7" max="7" width="30" style="48" customWidth="1"/>
    <col min="8" max="8" width="9.109375" style="48"/>
    <col min="9" max="9" width="10.77734375" style="48" customWidth="1"/>
    <col min="10" max="10" width="51.33203125" style="48" customWidth="1"/>
    <col min="11" max="11" width="9.109375" style="48"/>
    <col min="12" max="12" width="10.77734375" style="48" customWidth="1"/>
    <col min="13" max="13" width="34" style="48" customWidth="1"/>
    <col min="14" max="16384" width="9.109375" style="48"/>
  </cols>
  <sheetData>
    <row r="1" spans="1:13" s="42" customFormat="1">
      <c r="A1" s="28"/>
    </row>
    <row r="2" spans="1:13" s="42" customFormat="1">
      <c r="A2" s="28"/>
    </row>
    <row r="3" spans="1:13" s="42" customFormat="1">
      <c r="A3" s="28"/>
    </row>
    <row r="4" spans="1:13" s="42" customFormat="1">
      <c r="A4" s="28"/>
      <c r="C4" s="226" t="s">
        <v>291</v>
      </c>
      <c r="D4" s="229"/>
      <c r="E4" s="229"/>
      <c r="F4" s="229"/>
      <c r="G4" s="229"/>
      <c r="H4" s="229"/>
      <c r="I4" s="229"/>
      <c r="J4" s="229"/>
      <c r="K4" s="229"/>
      <c r="L4" s="229"/>
      <c r="M4" s="229"/>
    </row>
    <row r="5" spans="1:13">
      <c r="A5" s="28"/>
      <c r="B5" s="42"/>
      <c r="C5" s="203" t="s">
        <v>0</v>
      </c>
      <c r="D5" s="204" t="s">
        <v>16</v>
      </c>
      <c r="E5" s="30"/>
      <c r="F5" s="203" t="s">
        <v>0</v>
      </c>
      <c r="G5" s="204" t="s">
        <v>16</v>
      </c>
      <c r="H5" s="30"/>
      <c r="I5" s="203" t="s">
        <v>0</v>
      </c>
      <c r="J5" s="204" t="s">
        <v>16</v>
      </c>
      <c r="L5" s="203" t="s">
        <v>0</v>
      </c>
      <c r="M5" s="204" t="s">
        <v>16</v>
      </c>
    </row>
    <row r="6" spans="1:13">
      <c r="A6" s="28"/>
      <c r="B6" s="42"/>
      <c r="C6" s="203" t="s">
        <v>3</v>
      </c>
      <c r="D6" s="204" t="s">
        <v>340</v>
      </c>
      <c r="E6" s="30"/>
      <c r="F6" s="203" t="s">
        <v>3</v>
      </c>
      <c r="G6" s="204" t="s">
        <v>421</v>
      </c>
      <c r="H6" s="30"/>
      <c r="I6" s="203" t="s">
        <v>3</v>
      </c>
      <c r="J6" s="204" t="s">
        <v>449</v>
      </c>
      <c r="L6" s="203" t="s">
        <v>3</v>
      </c>
      <c r="M6" s="204" t="s">
        <v>424</v>
      </c>
    </row>
    <row r="7" spans="1:13">
      <c r="A7" s="28"/>
      <c r="B7" s="42"/>
      <c r="C7" s="54"/>
      <c r="D7" s="54"/>
      <c r="F7" s="79"/>
      <c r="G7" s="79"/>
      <c r="I7" s="80"/>
      <c r="J7" s="80"/>
      <c r="L7" s="85"/>
      <c r="M7" s="85"/>
    </row>
    <row r="8" spans="1:13">
      <c r="A8" s="22" t="s">
        <v>680</v>
      </c>
      <c r="B8" s="43" t="s">
        <v>294</v>
      </c>
      <c r="C8" s="203" t="s">
        <v>286</v>
      </c>
      <c r="D8" t="s">
        <v>465</v>
      </c>
      <c r="F8" s="203" t="s">
        <v>286</v>
      </c>
      <c r="G8" t="s">
        <v>466</v>
      </c>
      <c r="I8" s="203" t="s">
        <v>286</v>
      </c>
      <c r="J8" t="s">
        <v>468</v>
      </c>
      <c r="L8" s="203" t="s">
        <v>286</v>
      </c>
      <c r="M8" t="s">
        <v>467</v>
      </c>
    </row>
    <row r="9" spans="1:13">
      <c r="A9" s="26" t="str">
        <f>INDEX('OS-Machine Info'!$B:$B,MATCH(C9,'OS-Machine Info'!$A:$A,0))</f>
        <v>TestDC</v>
      </c>
      <c r="B9" s="44" t="str">
        <f>INDEX('OS-Machine Info'!$X:X,MATCH(C9,'OS-Machine Info'!$A:$A,0))</f>
        <v>GC-CMS</v>
      </c>
      <c r="C9" s="4" t="s">
        <v>48</v>
      </c>
      <c r="D9" s="204">
        <v>2</v>
      </c>
      <c r="E9" s="5"/>
      <c r="F9" s="4" t="s">
        <v>48</v>
      </c>
      <c r="G9" s="204">
        <v>1</v>
      </c>
      <c r="H9" s="5"/>
      <c r="I9" s="4" t="s">
        <v>48</v>
      </c>
      <c r="J9" s="204">
        <v>3</v>
      </c>
      <c r="L9" s="4" t="s">
        <v>48</v>
      </c>
      <c r="M9" s="204">
        <v>1</v>
      </c>
    </row>
    <row r="10" spans="1:13">
      <c r="C10" s="4" t="s">
        <v>17</v>
      </c>
      <c r="D10" s="204">
        <v>2</v>
      </c>
      <c r="E10" s="5"/>
      <c r="F10" s="4" t="s">
        <v>17</v>
      </c>
      <c r="G10" s="204">
        <v>1</v>
      </c>
      <c r="H10" s="5"/>
      <c r="I10" s="4" t="s">
        <v>17</v>
      </c>
      <c r="J10" s="204">
        <v>3</v>
      </c>
      <c r="L10" s="4" t="s">
        <v>17</v>
      </c>
      <c r="M10" s="204">
        <v>1</v>
      </c>
    </row>
    <row r="11" spans="1:13">
      <c r="F11"/>
      <c r="G11"/>
    </row>
  </sheetData>
  <mergeCells count="1">
    <mergeCell ref="C4:M4"/>
  </mergeCells>
  <pageMargins left="0.7" right="0.7" top="0.75" bottom="0.75" header="0.3" footer="0.3"/>
  <pageSetup orientation="portrait"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0"/>
  <sheetViews>
    <sheetView workbookViewId="0">
      <selection activeCell="A11" sqref="A11"/>
    </sheetView>
  </sheetViews>
  <sheetFormatPr defaultColWidth="9.109375" defaultRowHeight="14.4"/>
  <cols>
    <col min="1" max="1" width="14.109375" style="193" customWidth="1"/>
    <col min="2" max="2" width="10.77734375" style="193" customWidth="1"/>
    <col min="3" max="3" width="33.21875" style="193" bestFit="1" customWidth="1"/>
    <col min="4" max="4" width="9.109375" style="193"/>
    <col min="5" max="5" width="10.77734375" style="193" customWidth="1"/>
    <col min="6" max="6" width="36.21875" style="193" bestFit="1" customWidth="1"/>
    <col min="7" max="7" width="9.109375" style="193"/>
    <col min="8" max="8" width="10.77734375" style="193" customWidth="1"/>
    <col min="9" max="9" width="51.33203125" style="193" customWidth="1"/>
    <col min="10" max="10" width="9.109375" style="193"/>
    <col min="11" max="11" width="10.77734375" style="193" customWidth="1"/>
    <col min="12" max="12" width="34" style="193" customWidth="1"/>
    <col min="13" max="16384" width="9.109375" style="193"/>
  </cols>
  <sheetData>
    <row r="1" spans="1:12" s="42" customFormat="1">
      <c r="A1" s="28"/>
    </row>
    <row r="2" spans="1:12" s="42" customFormat="1">
      <c r="A2" s="28"/>
    </row>
    <row r="3" spans="1:12" s="42" customFormat="1">
      <c r="A3" s="28"/>
    </row>
    <row r="4" spans="1:12" s="42" customFormat="1">
      <c r="A4" s="28"/>
      <c r="B4" s="226" t="s">
        <v>291</v>
      </c>
      <c r="C4" s="229"/>
      <c r="D4" s="229"/>
      <c r="E4" s="229"/>
      <c r="F4" s="229"/>
      <c r="G4" s="202"/>
      <c r="H4" s="202"/>
      <c r="I4" s="202"/>
      <c r="J4" s="202"/>
      <c r="K4" s="202"/>
      <c r="L4" s="202"/>
    </row>
    <row r="5" spans="1:12">
      <c r="A5" s="28"/>
      <c r="B5" s="203" t="s">
        <v>0</v>
      </c>
      <c r="C5" s="204" t="s">
        <v>16</v>
      </c>
      <c r="D5" s="30"/>
      <c r="E5" s="203" t="s">
        <v>0</v>
      </c>
      <c r="F5" s="204" t="s">
        <v>16</v>
      </c>
      <c r="G5" s="30"/>
      <c r="H5" s="204"/>
      <c r="I5" s="204"/>
      <c r="K5" s="204"/>
      <c r="L5" s="204"/>
    </row>
    <row r="6" spans="1:12">
      <c r="A6" s="28"/>
      <c r="B6" s="203" t="s">
        <v>3</v>
      </c>
      <c r="C6" s="204" t="s">
        <v>810</v>
      </c>
      <c r="D6" s="30"/>
      <c r="E6" s="203" t="s">
        <v>3</v>
      </c>
      <c r="F6" s="204" t="s">
        <v>814</v>
      </c>
      <c r="G6" s="30"/>
      <c r="H6" s="204"/>
      <c r="I6" s="204"/>
      <c r="K6" s="204"/>
      <c r="L6" s="204"/>
    </row>
    <row r="7" spans="1:12">
      <c r="A7" s="28"/>
    </row>
    <row r="8" spans="1:12">
      <c r="A8" s="22" t="s">
        <v>680</v>
      </c>
      <c r="B8" s="203" t="s">
        <v>286</v>
      </c>
      <c r="C8" t="s">
        <v>837</v>
      </c>
      <c r="E8" s="203" t="s">
        <v>286</v>
      </c>
      <c r="F8" t="s">
        <v>836</v>
      </c>
      <c r="H8" s="204"/>
      <c r="I8"/>
      <c r="K8" s="204"/>
      <c r="L8"/>
    </row>
    <row r="9" spans="1:12">
      <c r="A9" s="26" t="str">
        <f>INDEX('OS-Machine Info'!$B:$B,MATCH(B9,'OS-Machine Info'!$A:$A,0))</f>
        <v>TestDC</v>
      </c>
      <c r="B9" s="4" t="s">
        <v>48</v>
      </c>
      <c r="C9" s="204">
        <v>45</v>
      </c>
      <c r="D9" s="5"/>
      <c r="E9" s="4" t="s">
        <v>48</v>
      </c>
      <c r="F9" s="204">
        <v>45</v>
      </c>
      <c r="G9" s="5"/>
      <c r="H9" s="4"/>
      <c r="I9" s="204"/>
      <c r="K9" s="4"/>
      <c r="L9" s="204"/>
    </row>
    <row r="10" spans="1:12">
      <c r="B10" s="4" t="s">
        <v>17</v>
      </c>
      <c r="C10" s="204">
        <v>45</v>
      </c>
      <c r="D10" s="5"/>
      <c r="E10" s="4" t="s">
        <v>17</v>
      </c>
      <c r="F10" s="204">
        <v>45</v>
      </c>
      <c r="G10" s="5"/>
      <c r="H10" s="4"/>
      <c r="I10" s="204"/>
      <c r="K10" s="4"/>
      <c r="L10" s="204"/>
    </row>
  </sheetData>
  <mergeCells count="1">
    <mergeCell ref="B4:F4"/>
  </mergeCells>
  <pageMargins left="0.7" right="0.7" top="0.75" bottom="0.75" header="0.3" footer="0.3"/>
  <pageSetup orientation="portrait"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election activeCell="A3" sqref="A3"/>
    </sheetView>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85" customWidth="1"/>
    <col min="8" max="8" width="7.88671875" style="185" customWidth="1"/>
    <col min="9" max="9" width="7" style="139" customWidth="1"/>
    <col min="10" max="10" width="7" style="185" customWidth="1"/>
    <col min="11" max="11" width="16.44140625" style="139" customWidth="1"/>
    <col min="12" max="12" width="35.33203125" style="139" customWidth="1"/>
    <col min="13" max="13" width="8.44140625" style="185" customWidth="1"/>
    <col min="14" max="14" width="7.88671875" style="185" customWidth="1"/>
    <col min="15" max="15" width="7" style="185" customWidth="1"/>
    <col min="16" max="16" width="9.109375" style="139"/>
    <col min="17" max="17" width="16.44140625" style="139" customWidth="1"/>
    <col min="18" max="18" width="27.6640625" style="139" customWidth="1"/>
    <col min="19" max="19" width="7" style="185"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row r="2" spans="1:35" s="28" customFormat="1">
      <c r="B2" s="226" t="s">
        <v>291</v>
      </c>
      <c r="C2" s="229"/>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row>
    <row r="3" spans="1:35">
      <c r="A3" s="27"/>
      <c r="B3"/>
      <c r="C3"/>
      <c r="E3"/>
      <c r="F3"/>
      <c r="K3"/>
      <c r="L3"/>
      <c r="Q3"/>
      <c r="R3"/>
      <c r="U3"/>
      <c r="V3"/>
      <c r="W3" s="30"/>
      <c r="X3" s="30"/>
      <c r="Y3"/>
      <c r="Z3"/>
      <c r="AA3" s="30"/>
      <c r="AB3"/>
      <c r="AC3"/>
      <c r="AE3"/>
      <c r="AF3"/>
      <c r="AH3"/>
      <c r="AI3"/>
    </row>
    <row r="4" spans="1:35">
      <c r="A4" s="27"/>
      <c r="B4" s="179" t="s">
        <v>0</v>
      </c>
      <c r="C4" s="180" t="s">
        <v>16</v>
      </c>
      <c r="E4" s="184" t="s">
        <v>0</v>
      </c>
      <c r="F4" s="185" t="s">
        <v>16</v>
      </c>
      <c r="K4" s="184" t="s">
        <v>0</v>
      </c>
      <c r="L4" s="185" t="s">
        <v>16</v>
      </c>
      <c r="Q4" s="184" t="s">
        <v>0</v>
      </c>
      <c r="R4" s="185" t="s">
        <v>16</v>
      </c>
      <c r="U4" s="179" t="s">
        <v>0</v>
      </c>
      <c r="V4" s="180" t="s">
        <v>16</v>
      </c>
      <c r="W4" s="30"/>
      <c r="X4" s="30"/>
      <c r="Y4" s="179" t="s">
        <v>0</v>
      </c>
      <c r="Z4" s="180" t="s">
        <v>16</v>
      </c>
      <c r="AA4" s="30"/>
      <c r="AB4" s="179" t="s">
        <v>0</v>
      </c>
      <c r="AC4" s="180" t="s">
        <v>16</v>
      </c>
      <c r="AE4" s="179" t="s">
        <v>0</v>
      </c>
      <c r="AF4" s="180" t="s">
        <v>16</v>
      </c>
      <c r="AH4" s="179" t="s">
        <v>0</v>
      </c>
      <c r="AI4" s="180" t="s">
        <v>16</v>
      </c>
    </row>
    <row r="5" spans="1:35">
      <c r="A5" s="27"/>
      <c r="B5" s="179" t="s">
        <v>3</v>
      </c>
      <c r="C5" s="180" t="s">
        <v>635</v>
      </c>
      <c r="E5" s="184" t="s">
        <v>3</v>
      </c>
      <c r="F5" s="185" t="s">
        <v>636</v>
      </c>
      <c r="K5" s="184" t="s">
        <v>3</v>
      </c>
      <c r="L5" s="185" t="s">
        <v>638</v>
      </c>
      <c r="Q5" s="184" t="s">
        <v>3</v>
      </c>
      <c r="R5" s="185" t="s">
        <v>637</v>
      </c>
      <c r="U5" s="179" t="s">
        <v>3</v>
      </c>
      <c r="V5" s="180" t="s">
        <v>632</v>
      </c>
      <c r="Y5" s="179" t="s">
        <v>3</v>
      </c>
      <c r="Z5" s="180" t="s">
        <v>633</v>
      </c>
      <c r="AB5" s="179" t="s">
        <v>3</v>
      </c>
      <c r="AC5" s="180" t="s">
        <v>643</v>
      </c>
      <c r="AE5" s="179" t="s">
        <v>3</v>
      </c>
      <c r="AF5" s="180" t="s">
        <v>640</v>
      </c>
      <c r="AH5" s="179" t="s">
        <v>3</v>
      </c>
      <c r="AI5" s="180" t="s">
        <v>642</v>
      </c>
    </row>
    <row r="6" spans="1:35">
      <c r="A6" s="27"/>
    </row>
    <row r="7" spans="1:35">
      <c r="A7" s="22" t="s">
        <v>92</v>
      </c>
      <c r="B7" s="179" t="s">
        <v>720</v>
      </c>
      <c r="C7" t="s">
        <v>285</v>
      </c>
      <c r="E7" s="184" t="s">
        <v>720</v>
      </c>
      <c r="F7" s="185" t="s">
        <v>645</v>
      </c>
      <c r="G7" s="185" t="s">
        <v>806</v>
      </c>
      <c r="H7" s="185" t="s">
        <v>239</v>
      </c>
      <c r="I7" s="185" t="s">
        <v>521</v>
      </c>
      <c r="K7" s="184" t="s">
        <v>720</v>
      </c>
      <c r="L7" s="185" t="s">
        <v>646</v>
      </c>
      <c r="M7" s="185" t="s">
        <v>805</v>
      </c>
      <c r="N7" s="185" t="s">
        <v>239</v>
      </c>
      <c r="O7" s="185" t="s">
        <v>521</v>
      </c>
      <c r="Q7" s="184" t="s">
        <v>720</v>
      </c>
      <c r="R7" s="185" t="s">
        <v>297</v>
      </c>
      <c r="S7" s="185" t="s">
        <v>521</v>
      </c>
      <c r="U7" s="179" t="s">
        <v>720</v>
      </c>
      <c r="V7" s="180" t="s">
        <v>330</v>
      </c>
      <c r="W7" s="180" t="s">
        <v>403</v>
      </c>
      <c r="Y7" s="179" t="s">
        <v>720</v>
      </c>
      <c r="Z7" t="s">
        <v>293</v>
      </c>
      <c r="AB7" s="179" t="s">
        <v>720</v>
      </c>
      <c r="AC7" t="s">
        <v>647</v>
      </c>
      <c r="AE7" s="179" t="s">
        <v>720</v>
      </c>
      <c r="AF7" t="s">
        <v>648</v>
      </c>
      <c r="AH7" s="179" t="s">
        <v>720</v>
      </c>
      <c r="AI7" t="s">
        <v>649</v>
      </c>
    </row>
    <row r="8" spans="1:35">
      <c r="A8" s="21" t="e">
        <f>INDEX('DDL Tables'!$F:$F,MATCH(SUBSTITUTE(B8,"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A2" sqref="A2"/>
    </sheetView>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85" customWidth="1"/>
    <col min="9" max="9" width="7.88671875" style="185" customWidth="1"/>
    <col min="10" max="10" width="7" style="185" customWidth="1"/>
    <col min="11" max="11" width="9.109375" style="139"/>
    <col min="12" max="12" width="10.77734375" style="139" customWidth="1"/>
    <col min="13" max="13" width="35.33203125" style="139" customWidth="1"/>
    <col min="14" max="14" width="8.44140625" style="185" customWidth="1"/>
    <col min="15" max="15" width="7.88671875" style="185" customWidth="1"/>
    <col min="16" max="16" width="7" style="185"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X1" s="226"/>
      <c r="AY1" s="229"/>
      <c r="AZ1" s="229"/>
      <c r="BA1" s="229"/>
      <c r="BB1" s="229"/>
      <c r="BC1" s="226"/>
      <c r="BD1" s="229"/>
      <c r="BE1" s="229"/>
      <c r="BF1" s="229"/>
      <c r="BG1" s="229"/>
    </row>
    <row r="2" spans="1:59" s="28" customFormat="1">
      <c r="C2" s="226" t="s">
        <v>291</v>
      </c>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X2" s="226"/>
      <c r="AY2" s="229"/>
      <c r="AZ2" s="229"/>
      <c r="BA2" s="229"/>
      <c r="BB2" s="229"/>
      <c r="BC2" s="226"/>
      <c r="BD2" s="229"/>
      <c r="BE2" s="229"/>
      <c r="BF2" s="229"/>
      <c r="BG2" s="229"/>
    </row>
    <row r="3" spans="1:59" s="28" customFormat="1">
      <c r="C3" s="179" t="s">
        <v>0</v>
      </c>
      <c r="D3" s="180" t="s">
        <v>16</v>
      </c>
      <c r="E3" s="138"/>
      <c r="F3" s="184" t="s">
        <v>0</v>
      </c>
      <c r="G3" s="185" t="s">
        <v>16</v>
      </c>
      <c r="H3" s="185"/>
      <c r="I3" s="185"/>
      <c r="J3" s="185"/>
      <c r="K3" s="138"/>
      <c r="L3" s="184" t="s">
        <v>0</v>
      </c>
      <c r="M3" s="185" t="s">
        <v>16</v>
      </c>
      <c r="N3" s="185"/>
      <c r="O3" s="185"/>
      <c r="P3" s="185"/>
      <c r="Q3" s="138"/>
      <c r="R3" s="179" t="s">
        <v>0</v>
      </c>
      <c r="S3" s="180" t="s">
        <v>16</v>
      </c>
      <c r="T3" s="140"/>
      <c r="U3" s="138"/>
      <c r="V3" s="179" t="s">
        <v>0</v>
      </c>
      <c r="W3" s="180" t="s">
        <v>16</v>
      </c>
      <c r="X3" s="138"/>
      <c r="Y3" s="138"/>
      <c r="Z3" s="179" t="s">
        <v>0</v>
      </c>
      <c r="AA3" s="180" t="s">
        <v>16</v>
      </c>
      <c r="AB3" s="138"/>
      <c r="AC3" s="179" t="s">
        <v>0</v>
      </c>
      <c r="AD3" s="180" t="s">
        <v>16</v>
      </c>
      <c r="AE3" s="138"/>
      <c r="AF3" s="179" t="s">
        <v>0</v>
      </c>
      <c r="AG3" s="180" t="s">
        <v>16</v>
      </c>
      <c r="AH3" s="138"/>
      <c r="AI3" s="179" t="s">
        <v>0</v>
      </c>
      <c r="AJ3" s="180" t="s">
        <v>16</v>
      </c>
      <c r="AX3" s="226"/>
      <c r="AY3" s="229"/>
      <c r="AZ3" s="229"/>
      <c r="BA3" s="229"/>
      <c r="BB3" s="229"/>
      <c r="BC3" s="226"/>
      <c r="BD3" s="229"/>
      <c r="BE3" s="229"/>
      <c r="BF3" s="229"/>
      <c r="BG3" s="229"/>
    </row>
    <row r="4" spans="1:59">
      <c r="A4" s="28"/>
      <c r="B4" s="27"/>
      <c r="C4" s="179" t="s">
        <v>1</v>
      </c>
      <c r="D4" s="180" t="s">
        <v>16</v>
      </c>
      <c r="F4" s="184" t="s">
        <v>1</v>
      </c>
      <c r="G4" s="185" t="s">
        <v>16</v>
      </c>
      <c r="L4" s="184" t="s">
        <v>1</v>
      </c>
      <c r="M4" s="185" t="s">
        <v>16</v>
      </c>
      <c r="R4" s="179" t="s">
        <v>1</v>
      </c>
      <c r="S4" s="180" t="s">
        <v>16</v>
      </c>
      <c r="V4" s="179" t="s">
        <v>1</v>
      </c>
      <c r="W4" s="180" t="s">
        <v>16</v>
      </c>
      <c r="X4" s="30"/>
      <c r="Y4" s="30"/>
      <c r="Z4" s="179" t="s">
        <v>1</v>
      </c>
      <c r="AA4" s="180" t="s">
        <v>16</v>
      </c>
      <c r="AB4" s="30"/>
      <c r="AC4" s="179" t="s">
        <v>1</v>
      </c>
      <c r="AD4" s="180" t="s">
        <v>16</v>
      </c>
      <c r="AF4" s="179" t="s">
        <v>1</v>
      </c>
      <c r="AG4" s="180" t="s">
        <v>16</v>
      </c>
      <c r="AI4" s="179" t="s">
        <v>1</v>
      </c>
      <c r="AJ4" s="180" t="s">
        <v>16</v>
      </c>
      <c r="AM4" s="228" t="s">
        <v>435</v>
      </c>
      <c r="AN4" s="229"/>
      <c r="AO4" s="229"/>
      <c r="AP4" s="229"/>
      <c r="AQ4" s="229"/>
      <c r="AR4" s="229"/>
      <c r="AS4" s="229"/>
      <c r="AT4" s="229"/>
      <c r="AU4" s="229"/>
      <c r="AV4" s="229"/>
      <c r="AX4" s="226" t="s">
        <v>291</v>
      </c>
      <c r="AY4" s="229"/>
      <c r="AZ4" s="229"/>
      <c r="BA4" s="229"/>
      <c r="BB4" s="229"/>
      <c r="BC4" s="229"/>
      <c r="BD4" s="229"/>
      <c r="BE4" s="229"/>
      <c r="BF4" s="229"/>
      <c r="BG4" s="229"/>
    </row>
    <row r="5" spans="1:59">
      <c r="A5" s="28"/>
      <c r="B5" s="27"/>
      <c r="C5" s="179" t="s">
        <v>2</v>
      </c>
      <c r="D5" s="180" t="s">
        <v>16</v>
      </c>
      <c r="F5" s="184" t="s">
        <v>2</v>
      </c>
      <c r="G5" s="185" t="s">
        <v>16</v>
      </c>
      <c r="L5" s="184" t="s">
        <v>2</v>
      </c>
      <c r="M5" s="185" t="s">
        <v>16</v>
      </c>
      <c r="R5" s="179" t="s">
        <v>2</v>
      </c>
      <c r="S5" s="180" t="s">
        <v>16</v>
      </c>
      <c r="V5" s="179" t="s">
        <v>2</v>
      </c>
      <c r="W5" s="180" t="s">
        <v>16</v>
      </c>
      <c r="X5" s="30"/>
      <c r="Y5" s="30"/>
      <c r="Z5" s="179" t="s">
        <v>2</v>
      </c>
      <c r="AA5" s="180" t="s">
        <v>16</v>
      </c>
      <c r="AB5" s="30"/>
      <c r="AC5" s="179" t="s">
        <v>2</v>
      </c>
      <c r="AD5" s="180" t="s">
        <v>16</v>
      </c>
      <c r="AF5" s="179" t="s">
        <v>2</v>
      </c>
      <c r="AG5" s="180" t="s">
        <v>16</v>
      </c>
      <c r="AI5" s="179" t="s">
        <v>2</v>
      </c>
      <c r="AJ5" s="180" t="s">
        <v>16</v>
      </c>
      <c r="AM5" s="203" t="s">
        <v>0</v>
      </c>
      <c r="AN5" s="204" t="s">
        <v>16</v>
      </c>
      <c r="AO5" s="28"/>
      <c r="AP5" s="28"/>
      <c r="AQ5" s="28"/>
      <c r="AR5" s="203" t="s">
        <v>0</v>
      </c>
      <c r="AS5" s="204" t="s">
        <v>16</v>
      </c>
      <c r="AT5" s="28"/>
      <c r="AU5" s="28"/>
      <c r="AV5" s="28"/>
      <c r="AX5" s="203" t="s">
        <v>0</v>
      </c>
      <c r="AY5" s="204" t="s">
        <v>16</v>
      </c>
      <c r="AZ5" s="226"/>
      <c r="BA5" s="229"/>
      <c r="BB5" s="229"/>
      <c r="BC5" s="203" t="s">
        <v>0</v>
      </c>
      <c r="BD5" s="204" t="s">
        <v>16</v>
      </c>
      <c r="BE5" s="226"/>
      <c r="BF5" s="229"/>
      <c r="BG5" s="229"/>
    </row>
    <row r="6" spans="1:59">
      <c r="A6" s="28"/>
      <c r="B6" s="27"/>
      <c r="C6" s="179" t="s">
        <v>3</v>
      </c>
      <c r="D6" s="180" t="s">
        <v>635</v>
      </c>
      <c r="F6" s="184" t="s">
        <v>3</v>
      </c>
      <c r="G6" s="185" t="s">
        <v>636</v>
      </c>
      <c r="L6" s="184" t="s">
        <v>3</v>
      </c>
      <c r="M6" s="185" t="s">
        <v>638</v>
      </c>
      <c r="R6" s="179" t="s">
        <v>3</v>
      </c>
      <c r="S6" s="180" t="s">
        <v>637</v>
      </c>
      <c r="V6" s="179" t="s">
        <v>3</v>
      </c>
      <c r="W6" s="180" t="s">
        <v>632</v>
      </c>
      <c r="Z6" s="179" t="s">
        <v>3</v>
      </c>
      <c r="AA6" s="180" t="s">
        <v>633</v>
      </c>
      <c r="AC6" s="179" t="s">
        <v>3</v>
      </c>
      <c r="AD6" s="180" t="s">
        <v>643</v>
      </c>
      <c r="AF6" s="179" t="s">
        <v>3</v>
      </c>
      <c r="AG6" s="180" t="s">
        <v>640</v>
      </c>
      <c r="AI6" s="179" t="s">
        <v>3</v>
      </c>
      <c r="AJ6" s="180" t="s">
        <v>641</v>
      </c>
      <c r="AM6" s="203" t="s">
        <v>3</v>
      </c>
      <c r="AN6" s="204" t="s">
        <v>75</v>
      </c>
      <c r="AO6" s="164"/>
      <c r="AP6" s="164"/>
      <c r="AQ6" s="164"/>
      <c r="AR6" s="203" t="s">
        <v>3</v>
      </c>
      <c r="AS6" s="204" t="s">
        <v>76</v>
      </c>
      <c r="AT6" s="164"/>
      <c r="AU6" s="164"/>
      <c r="AV6" s="164"/>
      <c r="AX6" s="203" t="s">
        <v>3</v>
      </c>
      <c r="AY6" s="204" t="s">
        <v>191</v>
      </c>
      <c r="AZ6" s="226"/>
      <c r="BA6" s="229"/>
      <c r="BB6" s="229"/>
      <c r="BC6" s="203" t="s">
        <v>3</v>
      </c>
      <c r="BD6" s="204" t="s">
        <v>206</v>
      </c>
      <c r="BE6" s="226"/>
      <c r="BF6" s="229"/>
      <c r="BG6" s="229"/>
    </row>
    <row r="7" spans="1:59">
      <c r="A7" s="28"/>
      <c r="B7" s="27"/>
      <c r="AM7" s="164"/>
      <c r="AN7" s="164"/>
      <c r="AO7" s="164"/>
      <c r="AP7" s="164"/>
      <c r="AQ7" s="164"/>
      <c r="AR7" s="164"/>
      <c r="AS7" s="164"/>
      <c r="AT7" s="164"/>
      <c r="AU7" s="164"/>
      <c r="AV7" s="164"/>
      <c r="AX7" s="164"/>
      <c r="AY7" s="164"/>
      <c r="AZ7" s="226"/>
      <c r="BA7" s="229"/>
      <c r="BB7" s="229"/>
      <c r="BC7" s="164"/>
      <c r="BD7" s="164"/>
      <c r="BE7" s="226"/>
      <c r="BF7" s="229"/>
      <c r="BG7" s="229"/>
    </row>
    <row r="8" spans="1:59">
      <c r="A8" s="22" t="s">
        <v>680</v>
      </c>
      <c r="B8" s="22" t="s">
        <v>119</v>
      </c>
      <c r="C8" s="179" t="s">
        <v>286</v>
      </c>
      <c r="D8" t="s">
        <v>285</v>
      </c>
      <c r="F8" s="184" t="s">
        <v>286</v>
      </c>
      <c r="G8" s="185" t="s">
        <v>645</v>
      </c>
      <c r="H8" s="185" t="s">
        <v>806</v>
      </c>
      <c r="I8" s="185" t="s">
        <v>239</v>
      </c>
      <c r="J8" s="185" t="s">
        <v>521</v>
      </c>
      <c r="L8" s="184" t="s">
        <v>286</v>
      </c>
      <c r="M8" s="185" t="s">
        <v>646</v>
      </c>
      <c r="N8" s="185" t="s">
        <v>805</v>
      </c>
      <c r="O8" s="185" t="s">
        <v>239</v>
      </c>
      <c r="P8" s="185" t="s">
        <v>521</v>
      </c>
      <c r="R8" s="179" t="s">
        <v>286</v>
      </c>
      <c r="S8" s="180" t="s">
        <v>297</v>
      </c>
      <c r="T8" s="180" t="s">
        <v>521</v>
      </c>
      <c r="V8" s="179" t="s">
        <v>286</v>
      </c>
      <c r="W8" s="180" t="s">
        <v>330</v>
      </c>
      <c r="X8" s="180" t="s">
        <v>403</v>
      </c>
      <c r="Z8" s="179" t="s">
        <v>286</v>
      </c>
      <c r="AA8" t="s">
        <v>293</v>
      </c>
      <c r="AC8" s="179" t="s">
        <v>286</v>
      </c>
      <c r="AD8" t="s">
        <v>647</v>
      </c>
      <c r="AF8" s="179" t="s">
        <v>286</v>
      </c>
      <c r="AG8" t="s">
        <v>648</v>
      </c>
      <c r="AI8" s="179" t="s">
        <v>286</v>
      </c>
      <c r="AJ8" s="180" t="s">
        <v>650</v>
      </c>
      <c r="AK8" s="180" t="s">
        <v>651</v>
      </c>
      <c r="AM8" s="203" t="s">
        <v>286</v>
      </c>
      <c r="AN8" s="204" t="s">
        <v>730</v>
      </c>
      <c r="AO8" s="204" t="s">
        <v>731</v>
      </c>
      <c r="AP8" s="204" t="s">
        <v>732</v>
      </c>
      <c r="AQ8" s="204" t="s">
        <v>733</v>
      </c>
      <c r="AR8" s="203" t="s">
        <v>286</v>
      </c>
      <c r="AS8" s="204" t="s">
        <v>730</v>
      </c>
      <c r="AT8" s="204" t="s">
        <v>731</v>
      </c>
      <c r="AU8" s="204" t="s">
        <v>732</v>
      </c>
      <c r="AV8" s="204" t="s">
        <v>733</v>
      </c>
      <c r="AX8" s="203" t="s">
        <v>286</v>
      </c>
      <c r="AY8" s="204" t="s">
        <v>726</v>
      </c>
      <c r="AZ8" s="204" t="s">
        <v>727</v>
      </c>
      <c r="BA8" s="204" t="s">
        <v>728</v>
      </c>
      <c r="BB8" s="204" t="s">
        <v>729</v>
      </c>
      <c r="BC8" s="203" t="s">
        <v>286</v>
      </c>
      <c r="BD8" s="204" t="s">
        <v>726</v>
      </c>
      <c r="BE8" s="204" t="s">
        <v>727</v>
      </c>
      <c r="BF8" s="204" t="s">
        <v>728</v>
      </c>
      <c r="BG8" s="204" t="s">
        <v>729</v>
      </c>
    </row>
    <row r="9" spans="1:59">
      <c r="A9" s="26" t="str">
        <f>INDEX('OS-Machine Info'!$B:$B,MATCH(C9,'OS-Machine Info'!$A:$A,0))</f>
        <v>TestDC</v>
      </c>
      <c r="B9" s="47">
        <f>INDEX('Node Information'!$J:$J,MATCH(C9,'Node Information'!$A:$A,0))</f>
        <v>6.5428240740740704E-2</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AM4:AV4"/>
    <mergeCell ref="C2:AJ2"/>
    <mergeCell ref="AX1:BB1"/>
    <mergeCell ref="AX2:BB2"/>
    <mergeCell ref="AX3:BB3"/>
    <mergeCell ref="BE6:BG6"/>
    <mergeCell ref="BE7:BG7"/>
    <mergeCell ref="AX4:BG4"/>
    <mergeCell ref="BC1:BG1"/>
    <mergeCell ref="BC2:BG2"/>
    <mergeCell ref="BC3:BG3"/>
    <mergeCell ref="BE5:BG5"/>
    <mergeCell ref="AZ5:BB5"/>
    <mergeCell ref="AZ6:BB6"/>
    <mergeCell ref="AZ7:BB7"/>
  </mergeCells>
  <pageMargins left="0.7" right="0.7" top="0.75" bottom="0.75" header="0.3" footer="0.3"/>
  <pageSetup orientation="portrait" r:id="rId1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85" customWidth="1"/>
    <col min="8" max="8" width="7.88671875" style="185" customWidth="1"/>
    <col min="9" max="9" width="7" style="185" customWidth="1"/>
    <col min="11" max="11" width="16.44140625" customWidth="1"/>
    <col min="12" max="12" width="41.33203125" customWidth="1"/>
    <col min="13" max="13" width="8.44140625" style="185" customWidth="1"/>
    <col min="14" max="14" width="7.88671875" style="185" customWidth="1"/>
    <col min="15" max="15" width="7" style="185" customWidth="1"/>
    <col min="17" max="17" width="16.44140625" customWidth="1"/>
    <col min="18" max="18" width="22.109375" customWidth="1"/>
    <col min="19" max="19" width="7" style="185"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row r="2" spans="1:27" s="28" customFormat="1">
      <c r="B2" s="226" t="s">
        <v>291</v>
      </c>
      <c r="C2" s="229"/>
      <c r="D2" s="229"/>
      <c r="E2" s="229"/>
      <c r="F2" s="229"/>
      <c r="G2" s="229"/>
      <c r="H2" s="229"/>
      <c r="I2" s="229"/>
      <c r="J2" s="229"/>
      <c r="K2" s="229"/>
      <c r="L2" s="229"/>
      <c r="M2" s="229"/>
      <c r="N2" s="229"/>
      <c r="O2" s="229"/>
      <c r="P2" s="229"/>
      <c r="Q2" s="229"/>
      <c r="R2" s="229"/>
      <c r="S2" s="229"/>
      <c r="T2" s="229"/>
      <c r="U2" s="229"/>
      <c r="V2" s="229"/>
      <c r="W2" s="229"/>
      <c r="X2" s="229"/>
      <c r="Y2" s="229"/>
      <c r="Z2" s="229"/>
      <c r="AA2" s="229"/>
    </row>
    <row r="3" spans="1:27">
      <c r="A3" s="27"/>
      <c r="W3" s="30"/>
      <c r="X3" s="30"/>
      <c r="AA3" s="30"/>
    </row>
    <row r="4" spans="1:27">
      <c r="A4" s="27"/>
      <c r="B4" s="179" t="s">
        <v>0</v>
      </c>
      <c r="C4" s="180" t="s">
        <v>16</v>
      </c>
      <c r="E4" s="184" t="s">
        <v>0</v>
      </c>
      <c r="F4" s="185" t="s">
        <v>16</v>
      </c>
      <c r="K4" s="184" t="s">
        <v>0</v>
      </c>
      <c r="L4" s="185" t="s">
        <v>16</v>
      </c>
      <c r="Q4" s="184" t="s">
        <v>0</v>
      </c>
      <c r="R4" s="185" t="s">
        <v>16</v>
      </c>
      <c r="U4" s="179" t="s">
        <v>0</v>
      </c>
      <c r="V4" s="180" t="s">
        <v>16</v>
      </c>
      <c r="W4" s="30"/>
      <c r="X4" s="30"/>
      <c r="Y4" s="179" t="s">
        <v>0</v>
      </c>
      <c r="Z4" s="180" t="s">
        <v>16</v>
      </c>
      <c r="AA4" s="30"/>
    </row>
    <row r="5" spans="1:27">
      <c r="A5" s="27"/>
      <c r="B5" s="179" t="s">
        <v>3</v>
      </c>
      <c r="C5" s="180" t="s">
        <v>139</v>
      </c>
      <c r="E5" s="184" t="s">
        <v>3</v>
      </c>
      <c r="F5" s="185" t="s">
        <v>148</v>
      </c>
      <c r="K5" s="184" t="s">
        <v>3</v>
      </c>
      <c r="L5" s="185" t="s">
        <v>150</v>
      </c>
      <c r="Q5" s="184" t="s">
        <v>3</v>
      </c>
      <c r="R5" s="185" t="s">
        <v>151</v>
      </c>
      <c r="U5" s="179" t="s">
        <v>3</v>
      </c>
      <c r="V5" s="180" t="s">
        <v>401</v>
      </c>
      <c r="Y5" s="179" t="s">
        <v>3</v>
      </c>
      <c r="Z5" s="180" t="s">
        <v>402</v>
      </c>
    </row>
    <row r="6" spans="1:27">
      <c r="A6" s="27"/>
    </row>
    <row r="7" spans="1:27">
      <c r="A7" s="22" t="s">
        <v>92</v>
      </c>
      <c r="B7" s="179" t="s">
        <v>720</v>
      </c>
      <c r="C7" t="s">
        <v>285</v>
      </c>
      <c r="E7" s="184" t="s">
        <v>720</v>
      </c>
      <c r="F7" s="185" t="s">
        <v>295</v>
      </c>
      <c r="G7" s="185" t="s">
        <v>806</v>
      </c>
      <c r="H7" s="185" t="s">
        <v>239</v>
      </c>
      <c r="I7" s="185" t="s">
        <v>521</v>
      </c>
      <c r="K7" s="184" t="s">
        <v>720</v>
      </c>
      <c r="L7" s="185" t="s">
        <v>296</v>
      </c>
      <c r="M7" s="185" t="s">
        <v>805</v>
      </c>
      <c r="N7" s="185" t="s">
        <v>239</v>
      </c>
      <c r="O7" s="185" t="s">
        <v>521</v>
      </c>
      <c r="Q7" s="184" t="s">
        <v>720</v>
      </c>
      <c r="R7" s="185" t="s">
        <v>297</v>
      </c>
      <c r="S7" s="185" t="s">
        <v>521</v>
      </c>
      <c r="U7" s="179" t="s">
        <v>720</v>
      </c>
      <c r="V7" s="180" t="s">
        <v>330</v>
      </c>
      <c r="W7" s="180" t="s">
        <v>403</v>
      </c>
      <c r="Y7" s="179" t="s">
        <v>720</v>
      </c>
      <c r="Z7" t="s">
        <v>293</v>
      </c>
    </row>
    <row r="8" spans="1:27">
      <c r="A8" s="21" t="e">
        <f>INDEX('DDL Tables'!$F:$F,MATCH(SUBSTITUTE(B8,"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A2" sqref="A2"/>
    </sheetView>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85" customWidth="1"/>
    <col min="9" max="9" width="7.88671875" style="185" customWidth="1"/>
    <col min="10" max="10" width="7" style="185" customWidth="1"/>
    <col min="12" max="12" width="10.77734375" customWidth="1"/>
    <col min="13" max="13" width="41.33203125" customWidth="1"/>
    <col min="14" max="14" width="8.44140625" customWidth="1"/>
    <col min="15" max="15" width="7.88671875" style="185" customWidth="1"/>
    <col min="16" max="16" width="7" style="185" customWidth="1"/>
    <col min="17" max="17" width="5.5546875" style="185" customWidth="1"/>
    <col min="18" max="18" width="10.77734375" customWidth="1"/>
    <col min="19" max="19" width="22.109375" customWidth="1"/>
    <col min="20" max="20" width="7" style="185"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4"/>
      <c r="AI1" s="226"/>
      <c r="AJ1" s="229"/>
      <c r="AK1" s="229"/>
      <c r="AL1" s="229"/>
      <c r="AM1" s="229"/>
    </row>
    <row r="2" spans="1:53">
      <c r="A2" s="28"/>
      <c r="B2" s="28"/>
      <c r="C2" s="226" t="s">
        <v>291</v>
      </c>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8"/>
      <c r="AD2" s="28"/>
      <c r="AE2" s="28"/>
      <c r="AF2" s="28"/>
      <c r="AG2" s="28"/>
      <c r="AH2" s="164"/>
      <c r="AI2" s="226"/>
      <c r="AJ2" s="229"/>
      <c r="AK2" s="229"/>
      <c r="AL2" s="229"/>
      <c r="AM2" s="229"/>
    </row>
    <row r="3" spans="1:53" s="28" customFormat="1">
      <c r="C3" s="179" t="s">
        <v>0</v>
      </c>
      <c r="D3" s="180" t="s">
        <v>16</v>
      </c>
      <c r="F3" s="184" t="s">
        <v>0</v>
      </c>
      <c r="G3" s="185" t="s">
        <v>16</v>
      </c>
      <c r="H3" s="185"/>
      <c r="I3" s="185"/>
      <c r="J3" s="185"/>
      <c r="L3" s="184" t="s">
        <v>0</v>
      </c>
      <c r="M3" s="185" t="s">
        <v>16</v>
      </c>
      <c r="R3" s="184" t="s">
        <v>0</v>
      </c>
      <c r="S3" s="185" t="s">
        <v>16</v>
      </c>
      <c r="T3" s="185"/>
      <c r="V3" s="179" t="s">
        <v>0</v>
      </c>
      <c r="W3" s="180" t="s">
        <v>16</v>
      </c>
      <c r="Z3" s="179" t="s">
        <v>0</v>
      </c>
      <c r="AA3" s="180" t="s">
        <v>16</v>
      </c>
      <c r="AH3" s="164"/>
      <c r="AI3" s="226"/>
      <c r="AJ3" s="229"/>
      <c r="AK3" s="229"/>
      <c r="AL3" s="229"/>
      <c r="AM3" s="229"/>
    </row>
    <row r="4" spans="1:53">
      <c r="A4" s="28"/>
      <c r="B4" s="27"/>
      <c r="C4" s="179" t="s">
        <v>1</v>
      </c>
      <c r="D4" s="180" t="s">
        <v>16</v>
      </c>
      <c r="F4" s="184" t="s">
        <v>1</v>
      </c>
      <c r="G4" s="185" t="s">
        <v>16</v>
      </c>
      <c r="L4" s="184" t="s">
        <v>1</v>
      </c>
      <c r="M4" s="185" t="s">
        <v>16</v>
      </c>
      <c r="R4" s="184" t="s">
        <v>1</v>
      </c>
      <c r="S4" s="185" t="s">
        <v>16</v>
      </c>
      <c r="V4" s="179" t="s">
        <v>1</v>
      </c>
      <c r="W4" s="180" t="s">
        <v>16</v>
      </c>
      <c r="X4" s="30"/>
      <c r="Y4" s="30"/>
      <c r="Z4" s="179" t="s">
        <v>1</v>
      </c>
      <c r="AA4" s="180" t="s">
        <v>16</v>
      </c>
      <c r="AB4" s="30"/>
      <c r="AC4" s="228" t="s">
        <v>435</v>
      </c>
      <c r="AD4" s="229"/>
      <c r="AE4" s="229"/>
      <c r="AF4" s="229"/>
      <c r="AG4" s="229"/>
      <c r="AH4" s="164"/>
      <c r="AI4" s="226" t="s">
        <v>291</v>
      </c>
      <c r="AJ4" s="229"/>
      <c r="AK4" s="229"/>
      <c r="AL4" s="229"/>
      <c r="AM4" s="229"/>
      <c r="AN4" s="165"/>
      <c r="AO4" s="165"/>
      <c r="AP4" s="165"/>
      <c r="AQ4" s="165"/>
      <c r="AR4" s="165"/>
      <c r="AS4" s="165"/>
      <c r="AT4" s="165"/>
      <c r="AU4" s="165"/>
      <c r="AV4" s="165"/>
      <c r="AW4" s="165"/>
      <c r="AX4" s="165"/>
      <c r="AY4" s="165"/>
      <c r="AZ4" s="165"/>
      <c r="BA4" s="165"/>
    </row>
    <row r="5" spans="1:53">
      <c r="A5" s="28"/>
      <c r="B5" s="27"/>
      <c r="C5" s="179" t="s">
        <v>2</v>
      </c>
      <c r="D5" s="180" t="s">
        <v>16</v>
      </c>
      <c r="F5" s="184" t="s">
        <v>2</v>
      </c>
      <c r="G5" s="185" t="s">
        <v>16</v>
      </c>
      <c r="L5" s="184" t="s">
        <v>2</v>
      </c>
      <c r="M5" s="185" t="s">
        <v>16</v>
      </c>
      <c r="R5" s="184" t="s">
        <v>2</v>
      </c>
      <c r="S5" s="185" t="s">
        <v>16</v>
      </c>
      <c r="V5" s="179" t="s">
        <v>2</v>
      </c>
      <c r="W5" s="180" t="s">
        <v>16</v>
      </c>
      <c r="X5" s="30"/>
      <c r="Y5" s="30"/>
      <c r="Z5" s="179" t="s">
        <v>2</v>
      </c>
      <c r="AA5" s="180" t="s">
        <v>16</v>
      </c>
      <c r="AB5" s="30"/>
      <c r="AC5" s="203" t="s">
        <v>0</v>
      </c>
      <c r="AD5" s="204" t="s">
        <v>16</v>
      </c>
      <c r="AE5" s="28"/>
      <c r="AF5" s="28"/>
      <c r="AG5" s="28"/>
      <c r="AI5" s="203" t="s">
        <v>0</v>
      </c>
      <c r="AJ5" s="204" t="s">
        <v>16</v>
      </c>
      <c r="AK5" s="226"/>
      <c r="AL5" s="229"/>
      <c r="AM5" s="229"/>
    </row>
    <row r="6" spans="1:53">
      <c r="A6" s="28"/>
      <c r="B6" s="27"/>
      <c r="C6" s="179" t="s">
        <v>3</v>
      </c>
      <c r="D6" s="180" t="s">
        <v>139</v>
      </c>
      <c r="F6" s="184" t="s">
        <v>3</v>
      </c>
      <c r="G6" s="185" t="s">
        <v>148</v>
      </c>
      <c r="L6" s="184" t="s">
        <v>3</v>
      </c>
      <c r="M6" s="185" t="s">
        <v>150</v>
      </c>
      <c r="R6" s="184" t="s">
        <v>3</v>
      </c>
      <c r="S6" s="185" t="s">
        <v>151</v>
      </c>
      <c r="V6" s="179" t="s">
        <v>3</v>
      </c>
      <c r="W6" s="180" t="s">
        <v>401</v>
      </c>
      <c r="Z6" s="179" t="s">
        <v>3</v>
      </c>
      <c r="AA6" s="180" t="s">
        <v>402</v>
      </c>
      <c r="AC6" s="203" t="s">
        <v>3</v>
      </c>
      <c r="AD6" s="204" t="s">
        <v>69</v>
      </c>
      <c r="AI6" s="203" t="s">
        <v>3</v>
      </c>
      <c r="AJ6" s="204" t="s">
        <v>211</v>
      </c>
      <c r="AK6" s="226"/>
      <c r="AL6" s="229"/>
      <c r="AM6" s="229"/>
    </row>
    <row r="7" spans="1:53">
      <c r="A7" s="28"/>
      <c r="B7" s="27"/>
      <c r="AC7" s="164"/>
      <c r="AD7" s="164"/>
      <c r="AI7" s="164"/>
      <c r="AJ7" s="164"/>
      <c r="AK7" s="226"/>
      <c r="AL7" s="229"/>
      <c r="AM7" s="229"/>
    </row>
    <row r="8" spans="1:53">
      <c r="A8" s="22" t="s">
        <v>680</v>
      </c>
      <c r="B8" s="22" t="s">
        <v>119</v>
      </c>
      <c r="C8" s="179" t="s">
        <v>286</v>
      </c>
      <c r="D8" t="s">
        <v>285</v>
      </c>
      <c r="F8" s="184" t="s">
        <v>286</v>
      </c>
      <c r="G8" s="185" t="s">
        <v>295</v>
      </c>
      <c r="H8" s="185" t="s">
        <v>806</v>
      </c>
      <c r="I8" s="185" t="s">
        <v>239</v>
      </c>
      <c r="J8" s="185" t="s">
        <v>521</v>
      </c>
      <c r="L8" s="184" t="s">
        <v>286</v>
      </c>
      <c r="M8" s="185" t="s">
        <v>296</v>
      </c>
      <c r="N8" s="185" t="s">
        <v>805</v>
      </c>
      <c r="O8" s="185" t="s">
        <v>239</v>
      </c>
      <c r="P8" s="185" t="s">
        <v>521</v>
      </c>
      <c r="R8" s="184" t="s">
        <v>286</v>
      </c>
      <c r="S8" s="185" t="s">
        <v>297</v>
      </c>
      <c r="T8" s="185" t="s">
        <v>521</v>
      </c>
      <c r="V8" s="179" t="s">
        <v>286</v>
      </c>
      <c r="W8" s="180" t="s">
        <v>330</v>
      </c>
      <c r="X8" s="180" t="s">
        <v>409</v>
      </c>
      <c r="Z8" s="179" t="s">
        <v>286</v>
      </c>
      <c r="AA8" t="s">
        <v>293</v>
      </c>
      <c r="AC8" s="203" t="s">
        <v>286</v>
      </c>
      <c r="AD8" s="204" t="s">
        <v>722</v>
      </c>
      <c r="AE8" s="204" t="s">
        <v>723</v>
      </c>
      <c r="AF8" s="204" t="s">
        <v>724</v>
      </c>
      <c r="AG8" s="204" t="s">
        <v>725</v>
      </c>
      <c r="AI8" s="203" t="s">
        <v>286</v>
      </c>
      <c r="AJ8" s="204" t="s">
        <v>726</v>
      </c>
      <c r="AK8" s="204" t="s">
        <v>727</v>
      </c>
      <c r="AL8" s="204" t="s">
        <v>728</v>
      </c>
      <c r="AM8" s="204" t="s">
        <v>729</v>
      </c>
    </row>
    <row r="9" spans="1:53">
      <c r="A9" s="26" t="str">
        <f>INDEX('OS-Machine Info'!$B:$B,MATCH(C9,'OS-Machine Info'!$A:$A,0))</f>
        <v>TestDC</v>
      </c>
      <c r="B9" s="47">
        <f>INDEX('Node Information'!$J:$J,MATCH(C9,'Node Information'!$A:$A,0))</f>
        <v>6.5428240740740704E-2</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9.109375" style="130"/>
    <col min="5" max="5" width="16.44140625" style="130" customWidth="1"/>
    <col min="6" max="6" width="31.5546875" style="130" customWidth="1"/>
    <col min="7" max="7" width="9.109375" style="130"/>
    <col min="8" max="8" width="16.44140625" style="130" customWidth="1"/>
    <col min="9" max="9" width="32.88671875" style="130" customWidth="1"/>
    <col min="10" max="10" width="7" style="130" customWidth="1"/>
    <col min="11" max="11" width="9.109375" style="130"/>
    <col min="12" max="12" width="16.44140625" style="130" customWidth="1"/>
    <col min="13" max="13" width="31.109375" style="130" customWidth="1"/>
    <col min="14" max="14" width="9.109375" style="130"/>
    <col min="15" max="15" width="16.44140625" style="130" customWidth="1"/>
    <col min="16" max="16" width="28.5546875" style="130" customWidth="1"/>
    <col min="17" max="17" width="7.88671875" style="130" customWidth="1"/>
    <col min="18" max="18" width="13.109375" style="130" customWidth="1"/>
    <col min="19" max="19" width="11.44140625" style="130" customWidth="1"/>
    <col min="20" max="20" width="27.5546875" style="130" customWidth="1"/>
    <col min="21" max="16384" width="9.109375" style="130"/>
  </cols>
  <sheetData>
    <row r="1" spans="1:21" s="28" customFormat="1"/>
    <row r="2" spans="1:21" s="28" customFormat="1">
      <c r="B2" s="226" t="s">
        <v>291</v>
      </c>
      <c r="C2" s="229"/>
      <c r="D2" s="229"/>
      <c r="E2" s="229"/>
      <c r="F2" s="229"/>
      <c r="G2" s="229"/>
      <c r="H2" s="229"/>
      <c r="I2" s="229"/>
      <c r="J2" s="229"/>
      <c r="K2" s="229"/>
      <c r="L2" s="229"/>
      <c r="M2" s="229"/>
      <c r="N2" s="229"/>
      <c r="O2" s="229"/>
      <c r="P2" s="229"/>
      <c r="Q2" s="229"/>
      <c r="R2" s="229"/>
      <c r="S2" s="229"/>
      <c r="T2" s="229"/>
      <c r="U2" s="229"/>
    </row>
    <row r="3" spans="1:21">
      <c r="A3" s="27"/>
      <c r="B3"/>
      <c r="C3"/>
      <c r="E3"/>
      <c r="F3"/>
      <c r="H3"/>
      <c r="I3"/>
      <c r="L3"/>
      <c r="M3"/>
      <c r="O3"/>
      <c r="P3"/>
      <c r="Q3" s="30"/>
      <c r="R3" s="30"/>
      <c r="U3" s="30"/>
    </row>
    <row r="4" spans="1:21">
      <c r="A4" s="27"/>
      <c r="B4" s="179" t="s">
        <v>0</v>
      </c>
      <c r="C4" s="180" t="s">
        <v>16</v>
      </c>
      <c r="E4" s="179" t="s">
        <v>0</v>
      </c>
      <c r="F4" s="180" t="s">
        <v>16</v>
      </c>
      <c r="H4" s="179" t="s">
        <v>0</v>
      </c>
      <c r="I4" s="180" t="s">
        <v>16</v>
      </c>
      <c r="L4" s="179" t="s">
        <v>0</v>
      </c>
      <c r="M4" s="180" t="s">
        <v>16</v>
      </c>
      <c r="O4" s="179" t="s">
        <v>0</v>
      </c>
      <c r="P4" s="180" t="s">
        <v>16</v>
      </c>
      <c r="Q4" s="30"/>
      <c r="R4" s="30"/>
      <c r="U4" s="30"/>
    </row>
    <row r="5" spans="1:21">
      <c r="A5" s="27"/>
      <c r="B5" s="179" t="s">
        <v>3</v>
      </c>
      <c r="C5" s="180" t="s">
        <v>611</v>
      </c>
      <c r="E5" s="179" t="s">
        <v>3</v>
      </c>
      <c r="F5" s="180" t="s">
        <v>608</v>
      </c>
      <c r="H5" s="179" t="s">
        <v>3</v>
      </c>
      <c r="I5" s="180" t="s">
        <v>609</v>
      </c>
      <c r="L5" s="179" t="s">
        <v>3</v>
      </c>
      <c r="M5" s="180" t="s">
        <v>610</v>
      </c>
      <c r="O5" s="179" t="s">
        <v>3</v>
      </c>
      <c r="P5" s="180" t="s">
        <v>612</v>
      </c>
    </row>
    <row r="6" spans="1:21">
      <c r="A6" s="27"/>
    </row>
    <row r="7" spans="1:21">
      <c r="A7" s="22" t="s">
        <v>92</v>
      </c>
      <c r="B7" s="179" t="s">
        <v>720</v>
      </c>
      <c r="C7" t="s">
        <v>285</v>
      </c>
      <c r="E7" s="179" t="s">
        <v>720</v>
      </c>
      <c r="F7" t="s">
        <v>613</v>
      </c>
      <c r="H7" s="179" t="s">
        <v>720</v>
      </c>
      <c r="I7" s="180" t="s">
        <v>614</v>
      </c>
      <c r="J7" s="180" t="s">
        <v>521</v>
      </c>
      <c r="L7" s="179" t="s">
        <v>720</v>
      </c>
      <c r="M7" t="s">
        <v>615</v>
      </c>
      <c r="O7" s="179" t="s">
        <v>720</v>
      </c>
      <c r="P7" s="180" t="s">
        <v>618</v>
      </c>
      <c r="Q7" s="180" t="s">
        <v>616</v>
      </c>
      <c r="R7" s="180" t="s">
        <v>617</v>
      </c>
      <c r="S7" s="180" t="s">
        <v>619</v>
      </c>
      <c r="T7"/>
    </row>
    <row r="8" spans="1:21">
      <c r="A8" s="21"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9.109375" style="130"/>
    <col min="6" max="6" width="10.77734375" style="130" customWidth="1"/>
    <col min="7" max="7" width="44.109375" style="130" customWidth="1"/>
    <col min="8" max="8" width="7" style="130" customWidth="1"/>
    <col min="9" max="9" width="9.109375" style="130"/>
    <col min="10" max="10" width="10.77734375" style="130" customWidth="1"/>
    <col min="11" max="11" width="31.109375" style="130" customWidth="1"/>
    <col min="12" max="12" width="9.109375" style="130"/>
    <col min="13" max="13" width="10.77734375" style="130" customWidth="1"/>
    <col min="14" max="14" width="28.109375" style="130" customWidth="1"/>
    <col min="15" max="15" width="9.109375" style="130"/>
    <col min="16" max="16" width="10.77734375" style="130" customWidth="1"/>
    <col min="17" max="17" width="28.5546875" style="130" customWidth="1"/>
    <col min="18" max="18" width="7.88671875" style="130" customWidth="1"/>
    <col min="19" max="19" width="9.109375" style="130"/>
    <col min="20" max="20" width="13.109375" style="130" customWidth="1"/>
    <col min="21" max="21" width="27.5546875" style="130" customWidth="1"/>
    <col min="22" max="16384" width="9.109375" style="130"/>
  </cols>
  <sheetData>
    <row r="1" spans="1:22" s="28" customFormat="1"/>
    <row r="2" spans="1:22">
      <c r="A2" s="28"/>
      <c r="B2" s="28"/>
      <c r="C2" s="226" t="s">
        <v>291</v>
      </c>
      <c r="D2" s="229"/>
      <c r="E2" s="229"/>
      <c r="F2" s="229"/>
      <c r="G2" s="229"/>
      <c r="H2" s="229"/>
      <c r="I2" s="229"/>
      <c r="J2" s="229"/>
      <c r="K2" s="229"/>
      <c r="L2" s="229"/>
      <c r="M2" s="229"/>
      <c r="N2" s="229"/>
      <c r="O2" s="229"/>
      <c r="P2" s="229"/>
      <c r="Q2" s="229"/>
      <c r="R2" s="229"/>
      <c r="S2" s="229"/>
      <c r="T2" s="229"/>
      <c r="U2" s="229"/>
      <c r="V2" s="229"/>
    </row>
    <row r="3" spans="1:22" s="28" customFormat="1">
      <c r="C3" s="179" t="s">
        <v>0</v>
      </c>
      <c r="D3" s="180" t="s">
        <v>16</v>
      </c>
      <c r="F3" s="179" t="s">
        <v>0</v>
      </c>
      <c r="G3" s="180" t="s">
        <v>16</v>
      </c>
      <c r="H3" s="130"/>
      <c r="J3" s="179" t="s">
        <v>0</v>
      </c>
      <c r="K3" s="180" t="s">
        <v>16</v>
      </c>
      <c r="M3" s="179" t="s">
        <v>0</v>
      </c>
      <c r="N3" s="180" t="s">
        <v>16</v>
      </c>
      <c r="P3" s="179" t="s">
        <v>0</v>
      </c>
      <c r="Q3" s="180" t="s">
        <v>16</v>
      </c>
      <c r="T3" s="130"/>
      <c r="U3" s="130"/>
    </row>
    <row r="4" spans="1:22">
      <c r="A4" s="28"/>
      <c r="B4" s="27"/>
      <c r="C4" s="179" t="s">
        <v>1</v>
      </c>
      <c r="D4" s="180" t="s">
        <v>16</v>
      </c>
      <c r="F4" s="179" t="s">
        <v>1</v>
      </c>
      <c r="G4" s="180" t="s">
        <v>16</v>
      </c>
      <c r="J4" s="179" t="s">
        <v>1</v>
      </c>
      <c r="K4" s="180" t="s">
        <v>16</v>
      </c>
      <c r="M4" s="179" t="s">
        <v>1</v>
      </c>
      <c r="N4" s="180" t="s">
        <v>16</v>
      </c>
      <c r="P4" s="179" t="s">
        <v>1</v>
      </c>
      <c r="Q4" s="180" t="s">
        <v>16</v>
      </c>
      <c r="R4" s="30"/>
      <c r="S4" s="30"/>
      <c r="V4" s="30"/>
    </row>
    <row r="5" spans="1:22">
      <c r="A5" s="28"/>
      <c r="B5" s="27"/>
      <c r="C5" s="179" t="s">
        <v>2</v>
      </c>
      <c r="D5" s="180" t="s">
        <v>16</v>
      </c>
      <c r="F5" s="179" t="s">
        <v>2</v>
      </c>
      <c r="G5" s="180" t="s">
        <v>16</v>
      </c>
      <c r="J5" s="179" t="s">
        <v>2</v>
      </c>
      <c r="K5" s="180" t="s">
        <v>16</v>
      </c>
      <c r="M5" s="179" t="s">
        <v>2</v>
      </c>
      <c r="N5" s="180" t="s">
        <v>16</v>
      </c>
      <c r="P5" s="179" t="s">
        <v>2</v>
      </c>
      <c r="Q5" s="180" t="s">
        <v>16</v>
      </c>
      <c r="R5" s="30"/>
      <c r="S5" s="30"/>
      <c r="V5" s="30"/>
    </row>
    <row r="6" spans="1:22">
      <c r="A6" s="28"/>
      <c r="B6" s="27"/>
      <c r="C6" s="179" t="s">
        <v>3</v>
      </c>
      <c r="D6" s="180" t="s">
        <v>611</v>
      </c>
      <c r="F6" s="179" t="s">
        <v>3</v>
      </c>
      <c r="G6" s="180" t="s">
        <v>608</v>
      </c>
      <c r="J6" s="179" t="s">
        <v>3</v>
      </c>
      <c r="K6" s="180" t="s">
        <v>610</v>
      </c>
      <c r="M6" s="179" t="s">
        <v>3</v>
      </c>
      <c r="N6" s="180" t="s">
        <v>609</v>
      </c>
      <c r="P6" s="179" t="s">
        <v>3</v>
      </c>
      <c r="Q6" s="180" t="s">
        <v>612</v>
      </c>
    </row>
    <row r="7" spans="1:22">
      <c r="A7" s="28"/>
      <c r="B7" s="27"/>
    </row>
    <row r="8" spans="1:22">
      <c r="A8" s="22" t="s">
        <v>680</v>
      </c>
      <c r="B8" s="22" t="s">
        <v>119</v>
      </c>
      <c r="C8" s="179" t="s">
        <v>286</v>
      </c>
      <c r="D8" t="s">
        <v>285</v>
      </c>
      <c r="F8" s="179" t="s">
        <v>286</v>
      </c>
      <c r="G8" s="180" t="s">
        <v>620</v>
      </c>
      <c r="H8" s="180" t="s">
        <v>521</v>
      </c>
      <c r="J8" s="179" t="s">
        <v>286</v>
      </c>
      <c r="K8" t="s">
        <v>615</v>
      </c>
      <c r="M8" s="179" t="s">
        <v>286</v>
      </c>
      <c r="N8" t="s">
        <v>293</v>
      </c>
      <c r="P8" s="179" t="s">
        <v>286</v>
      </c>
      <c r="Q8" s="180" t="s">
        <v>621</v>
      </c>
      <c r="R8" s="180" t="s">
        <v>616</v>
      </c>
    </row>
    <row r="9" spans="1:22">
      <c r="A9" s="26" t="str">
        <f>INDEX('OS-Machine Info'!$B:$B,MATCH(C9,'OS-Machine Info'!$A:$A,0))</f>
        <v>TestDC</v>
      </c>
      <c r="B9" s="47">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28"/>
    </row>
    <row r="2" spans="1:40" s="42" customFormat="1">
      <c r="A2" s="28"/>
    </row>
    <row r="3" spans="1:40" s="42" customFormat="1">
      <c r="A3" s="28"/>
    </row>
    <row r="4" spans="1:40">
      <c r="A4" s="28"/>
      <c r="B4" s="229"/>
      <c r="C4" s="229"/>
      <c r="D4" s="229"/>
      <c r="E4" s="229"/>
      <c r="F4" s="229"/>
      <c r="G4" s="229"/>
      <c r="H4" s="229"/>
      <c r="I4" s="141"/>
      <c r="J4" s="141"/>
    </row>
    <row r="5" spans="1:40">
      <c r="A5" s="28"/>
      <c r="B5" s="203" t="s">
        <v>0</v>
      </c>
      <c r="C5" s="204" t="s">
        <v>16</v>
      </c>
      <c r="D5" s="239"/>
      <c r="E5" s="209"/>
      <c r="J5" s="203" t="s">
        <v>0</v>
      </c>
      <c r="K5" s="204" t="s">
        <v>16</v>
      </c>
      <c r="L5" s="239"/>
      <c r="M5" s="209"/>
      <c r="P5" s="203" t="s">
        <v>0</v>
      </c>
      <c r="Q5" s="204" t="s">
        <v>16</v>
      </c>
      <c r="R5" s="239"/>
      <c r="S5" s="209"/>
      <c r="V5" s="203" t="s">
        <v>0</v>
      </c>
      <c r="W5" s="204" t="s">
        <v>16</v>
      </c>
      <c r="X5" s="239"/>
      <c r="Y5" s="209"/>
      <c r="AB5" s="203" t="s">
        <v>0</v>
      </c>
      <c r="AC5" s="204" t="s">
        <v>16</v>
      </c>
      <c r="AD5" s="239"/>
      <c r="AE5" s="209"/>
      <c r="AF5" s="203" t="s">
        <v>0</v>
      </c>
      <c r="AG5" s="204" t="s">
        <v>16</v>
      </c>
      <c r="AH5" s="151"/>
      <c r="AI5" s="203" t="s">
        <v>0</v>
      </c>
      <c r="AJ5" s="204" t="s">
        <v>16</v>
      </c>
      <c r="AK5" s="239"/>
      <c r="AL5" s="209"/>
      <c r="AM5" s="203" t="s">
        <v>0</v>
      </c>
      <c r="AN5" s="204" t="s">
        <v>16</v>
      </c>
    </row>
    <row r="6" spans="1:40">
      <c r="A6" s="28"/>
      <c r="B6" s="203" t="s">
        <v>3</v>
      </c>
      <c r="C6" s="204" t="s">
        <v>668</v>
      </c>
      <c r="J6" s="203" t="s">
        <v>3</v>
      </c>
      <c r="K6" s="204" t="s">
        <v>664</v>
      </c>
      <c r="P6" s="203" t="s">
        <v>3</v>
      </c>
      <c r="Q6" s="204" t="s">
        <v>665</v>
      </c>
      <c r="V6" s="203" t="s">
        <v>3</v>
      </c>
      <c r="W6" s="204" t="s">
        <v>666</v>
      </c>
      <c r="AB6" s="203" t="s">
        <v>3</v>
      </c>
      <c r="AC6" s="204" t="s">
        <v>681</v>
      </c>
      <c r="AD6" s="149"/>
      <c r="AE6" s="149"/>
      <c r="AF6" s="203" t="s">
        <v>3</v>
      </c>
      <c r="AG6" s="204" t="s">
        <v>683</v>
      </c>
      <c r="AH6" s="149"/>
      <c r="AI6" s="203" t="s">
        <v>3</v>
      </c>
      <c r="AJ6" s="204" t="s">
        <v>691</v>
      </c>
      <c r="AK6" s="150"/>
      <c r="AL6" s="150"/>
      <c r="AM6" s="203" t="s">
        <v>3</v>
      </c>
      <c r="AN6" s="204" t="s">
        <v>693</v>
      </c>
    </row>
    <row r="7" spans="1:40">
      <c r="A7" s="28"/>
      <c r="AB7" s="149"/>
      <c r="AC7" s="149"/>
      <c r="AD7" s="149"/>
      <c r="AE7" s="149"/>
      <c r="AF7" s="149"/>
      <c r="AG7" s="149"/>
      <c r="AH7" s="149"/>
      <c r="AI7" s="150"/>
      <c r="AJ7" s="150"/>
      <c r="AK7" s="150"/>
      <c r="AL7" s="150"/>
      <c r="AM7" s="150"/>
      <c r="AN7" s="150"/>
    </row>
    <row r="8" spans="1:40">
      <c r="A8" s="22" t="s">
        <v>680</v>
      </c>
      <c r="B8" s="203" t="s">
        <v>286</v>
      </c>
      <c r="C8" s="204" t="s">
        <v>669</v>
      </c>
      <c r="D8" s="204" t="s">
        <v>670</v>
      </c>
      <c r="E8" s="204" t="s">
        <v>673</v>
      </c>
      <c r="F8" s="204" t="s">
        <v>346</v>
      </c>
      <c r="G8" s="204" t="s">
        <v>239</v>
      </c>
      <c r="H8" s="204" t="s">
        <v>521</v>
      </c>
      <c r="J8" s="203" t="s">
        <v>286</v>
      </c>
      <c r="K8" s="204" t="s">
        <v>672</v>
      </c>
      <c r="L8" s="204" t="s">
        <v>346</v>
      </c>
      <c r="M8" s="204" t="s">
        <v>239</v>
      </c>
      <c r="N8" s="204" t="s">
        <v>521</v>
      </c>
      <c r="O8"/>
      <c r="P8" s="203" t="s">
        <v>286</v>
      </c>
      <c r="Q8" s="204" t="s">
        <v>674</v>
      </c>
      <c r="R8" s="204" t="s">
        <v>346</v>
      </c>
      <c r="S8" s="204" t="s">
        <v>239</v>
      </c>
      <c r="T8" s="204" t="s">
        <v>521</v>
      </c>
      <c r="V8" s="203" t="s">
        <v>286</v>
      </c>
      <c r="W8" s="204" t="s">
        <v>675</v>
      </c>
      <c r="X8" s="204" t="s">
        <v>346</v>
      </c>
      <c r="Y8" s="204" t="s">
        <v>239</v>
      </c>
      <c r="Z8" s="204" t="s">
        <v>521</v>
      </c>
      <c r="AB8" s="203" t="s">
        <v>286</v>
      </c>
      <c r="AC8" s="204" t="s">
        <v>688</v>
      </c>
      <c r="AD8" s="204" t="s">
        <v>330</v>
      </c>
      <c r="AE8"/>
      <c r="AF8" s="203" t="s">
        <v>286</v>
      </c>
      <c r="AG8" t="s">
        <v>689</v>
      </c>
      <c r="AH8"/>
      <c r="AI8" s="203" t="s">
        <v>286</v>
      </c>
      <c r="AJ8" s="204" t="s">
        <v>695</v>
      </c>
      <c r="AK8" s="204" t="s">
        <v>696</v>
      </c>
      <c r="AL8" s="150"/>
      <c r="AM8" s="203"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2" customFormat="1">
      <c r="A1" s="28"/>
    </row>
    <row r="2" spans="1:25" s="42" customFormat="1">
      <c r="A2" s="28"/>
    </row>
    <row r="3" spans="1:25" s="42" customFormat="1">
      <c r="A3" s="28"/>
    </row>
    <row r="4" spans="1:25" s="91" customFormat="1">
      <c r="A4" s="28"/>
      <c r="B4" s="42"/>
      <c r="C4" s="228" t="s">
        <v>435</v>
      </c>
      <c r="D4" s="228"/>
      <c r="E4" s="228"/>
      <c r="F4" s="228"/>
      <c r="G4" s="228"/>
      <c r="H4" s="228"/>
      <c r="I4" s="228"/>
      <c r="J4" s="228"/>
      <c r="K4" s="228"/>
      <c r="L4" s="228"/>
      <c r="M4" s="228"/>
      <c r="N4" s="228"/>
      <c r="O4" s="228"/>
      <c r="P4" s="228"/>
      <c r="Q4" s="228"/>
      <c r="R4" s="228"/>
      <c r="S4" s="228"/>
      <c r="U4" s="236" t="s">
        <v>291</v>
      </c>
      <c r="V4" s="236"/>
      <c r="W4" s="236"/>
      <c r="X4" s="236"/>
      <c r="Y4" s="236"/>
    </row>
    <row r="5" spans="1:25">
      <c r="A5" s="28"/>
      <c r="B5" s="42"/>
      <c r="C5" s="203" t="s">
        <v>0</v>
      </c>
      <c r="D5" s="204" t="s">
        <v>16</v>
      </c>
      <c r="F5" s="203" t="s">
        <v>0</v>
      </c>
      <c r="G5" s="204" t="s">
        <v>16</v>
      </c>
      <c r="I5" s="203" t="s">
        <v>0</v>
      </c>
      <c r="J5" s="204" t="s">
        <v>16</v>
      </c>
      <c r="L5" s="203" t="s">
        <v>0</v>
      </c>
      <c r="M5" s="204" t="s">
        <v>16</v>
      </c>
      <c r="O5" s="203" t="s">
        <v>0</v>
      </c>
      <c r="P5" s="204" t="s">
        <v>16</v>
      </c>
      <c r="R5" s="203" t="s">
        <v>0</v>
      </c>
      <c r="S5" s="204" t="s">
        <v>16</v>
      </c>
      <c r="U5" s="203" t="s">
        <v>0</v>
      </c>
      <c r="V5" s="204" t="s">
        <v>16</v>
      </c>
      <c r="W5" s="85"/>
      <c r="X5" s="203" t="s">
        <v>0</v>
      </c>
      <c r="Y5" s="204" t="s">
        <v>16</v>
      </c>
    </row>
    <row r="6" spans="1:25">
      <c r="A6" s="28"/>
      <c r="B6" s="42"/>
      <c r="C6" s="203" t="s">
        <v>3</v>
      </c>
      <c r="D6" s="204" t="s">
        <v>300</v>
      </c>
      <c r="F6" s="203" t="s">
        <v>3</v>
      </c>
      <c r="G6" s="204" t="s">
        <v>86</v>
      </c>
      <c r="I6" s="203" t="s">
        <v>3</v>
      </c>
      <c r="J6" s="204" t="s">
        <v>78</v>
      </c>
      <c r="L6" s="203" t="s">
        <v>3</v>
      </c>
      <c r="M6" s="204" t="s">
        <v>79</v>
      </c>
      <c r="O6" s="203" t="s">
        <v>3</v>
      </c>
      <c r="P6" s="204" t="s">
        <v>85</v>
      </c>
      <c r="R6" s="203" t="s">
        <v>3</v>
      </c>
      <c r="S6" s="204" t="s">
        <v>84</v>
      </c>
      <c r="U6" s="203" t="s">
        <v>3</v>
      </c>
      <c r="V6" s="204" t="s">
        <v>460</v>
      </c>
      <c r="W6" s="85"/>
      <c r="X6" s="203" t="s">
        <v>3</v>
      </c>
      <c r="Y6" s="204" t="s">
        <v>464</v>
      </c>
    </row>
    <row r="7" spans="1:25">
      <c r="A7" s="28"/>
      <c r="B7" s="42"/>
      <c r="U7" s="85"/>
      <c r="V7" s="85"/>
      <c r="W7" s="85"/>
      <c r="X7" s="85"/>
      <c r="Y7" s="85"/>
    </row>
    <row r="8" spans="1:25">
      <c r="A8" s="22" t="s">
        <v>680</v>
      </c>
      <c r="B8" s="22" t="s">
        <v>119</v>
      </c>
      <c r="C8" s="203" t="s">
        <v>286</v>
      </c>
      <c r="D8" t="s">
        <v>314</v>
      </c>
      <c r="F8" s="203" t="s">
        <v>286</v>
      </c>
      <c r="G8" t="s">
        <v>315</v>
      </c>
      <c r="I8" s="203" t="s">
        <v>286</v>
      </c>
      <c r="J8" t="s">
        <v>316</v>
      </c>
      <c r="L8" s="203" t="s">
        <v>286</v>
      </c>
      <c r="M8" t="s">
        <v>317</v>
      </c>
      <c r="O8" s="203" t="s">
        <v>286</v>
      </c>
      <c r="P8" t="s">
        <v>319</v>
      </c>
      <c r="R8" s="203" t="s">
        <v>286</v>
      </c>
      <c r="S8" t="s">
        <v>318</v>
      </c>
      <c r="U8" s="203" t="s">
        <v>286</v>
      </c>
      <c r="V8" t="s">
        <v>698</v>
      </c>
      <c r="W8" s="85"/>
      <c r="X8" s="203" t="s">
        <v>286</v>
      </c>
      <c r="Y8" t="s">
        <v>699</v>
      </c>
    </row>
    <row r="9" spans="1:25">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85"/>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85"/>
      <c r="X10" s="4" t="s">
        <v>17</v>
      </c>
      <c r="Y10" s="5">
        <v>3</v>
      </c>
    </row>
    <row r="13" spans="1:25">
      <c r="U13" s="84"/>
    </row>
  </sheetData>
  <mergeCells count="2">
    <mergeCell ref="C4:S4"/>
    <mergeCell ref="U4:Y4"/>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179" t="s">
        <v>0</v>
      </c>
      <c r="J3" s="180" t="s">
        <v>16</v>
      </c>
      <c r="L3" s="32"/>
      <c r="M3" s="32"/>
    </row>
    <row r="4" spans="1:13">
      <c r="A4" s="179" t="s">
        <v>0</v>
      </c>
      <c r="B4" s="180" t="s">
        <v>16</v>
      </c>
      <c r="D4" s="32"/>
      <c r="E4" s="32"/>
      <c r="F4" s="32"/>
      <c r="G4" s="147"/>
      <c r="H4" s="28"/>
      <c r="I4" s="179" t="s">
        <v>1</v>
      </c>
      <c r="J4" s="180" t="s">
        <v>16</v>
      </c>
      <c r="L4" s="32"/>
      <c r="M4" s="32"/>
    </row>
    <row r="5" spans="1:13">
      <c r="A5" s="179" t="s">
        <v>51</v>
      </c>
      <c r="B5" s="180" t="s">
        <v>16</v>
      </c>
      <c r="D5" s="32"/>
      <c r="E5" s="32"/>
      <c r="F5" s="32"/>
      <c r="G5" s="147"/>
      <c r="H5" s="28"/>
      <c r="I5" s="179" t="s">
        <v>3</v>
      </c>
      <c r="J5" s="180" t="s">
        <v>7</v>
      </c>
      <c r="L5" s="32"/>
      <c r="M5" s="32"/>
    </row>
    <row r="6" spans="1:13">
      <c r="A6" s="179" t="s">
        <v>3</v>
      </c>
      <c r="B6" s="180" t="s">
        <v>7</v>
      </c>
      <c r="D6" s="32"/>
      <c r="E6" s="32"/>
      <c r="F6" s="32"/>
      <c r="G6" s="147"/>
      <c r="H6" s="28"/>
      <c r="I6" s="179" t="s">
        <v>2</v>
      </c>
      <c r="J6" s="180" t="s">
        <v>16</v>
      </c>
      <c r="L6" s="32"/>
      <c r="M6" s="32"/>
    </row>
    <row r="7" spans="1:13">
      <c r="D7" s="32"/>
      <c r="E7" s="32"/>
      <c r="F7" s="32"/>
      <c r="G7" s="147"/>
      <c r="H7" s="28"/>
      <c r="L7" s="32"/>
      <c r="M7" s="32"/>
    </row>
    <row r="8" spans="1:13" ht="57.6">
      <c r="A8" s="179" t="s">
        <v>720</v>
      </c>
      <c r="B8" s="29" t="s">
        <v>20</v>
      </c>
      <c r="C8" s="29" t="s">
        <v>18</v>
      </c>
      <c r="E8" s="33" t="s">
        <v>145</v>
      </c>
      <c r="F8" s="33" t="s">
        <v>146</v>
      </c>
      <c r="G8" s="147"/>
      <c r="H8" s="22" t="s">
        <v>680</v>
      </c>
      <c r="I8" s="179"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23" sqref="A23"/>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32"/>
      <c r="J1" s="233"/>
      <c r="K1" s="229"/>
      <c r="L1" s="229"/>
      <c r="M1" s="229"/>
      <c r="N1" s="229"/>
      <c r="O1" s="229"/>
      <c r="P1" s="229"/>
      <c r="Q1" s="229"/>
      <c r="R1" s="229"/>
    </row>
    <row r="2" spans="1:24">
      <c r="A2" s="28"/>
      <c r="B2" s="42"/>
      <c r="C2" s="226" t="s">
        <v>436</v>
      </c>
      <c r="D2" s="229"/>
      <c r="E2" s="229"/>
      <c r="F2" s="229"/>
      <c r="G2" s="229"/>
      <c r="H2" s="125"/>
      <c r="I2" s="226" t="s">
        <v>436</v>
      </c>
      <c r="J2" s="229"/>
      <c r="K2" s="229"/>
      <c r="L2" s="229"/>
      <c r="M2" s="229"/>
      <c r="N2" s="145"/>
      <c r="O2" s="234" t="s">
        <v>677</v>
      </c>
      <c r="P2" s="235"/>
      <c r="Q2" s="235"/>
      <c r="R2" s="235"/>
      <c r="S2" s="235"/>
      <c r="T2" s="235"/>
      <c r="U2" s="235"/>
      <c r="V2" s="235"/>
      <c r="W2" s="235"/>
      <c r="X2" s="235"/>
    </row>
    <row r="3" spans="1:24">
      <c r="A3" s="28"/>
      <c r="B3" s="42"/>
      <c r="C3" s="203" t="s">
        <v>0</v>
      </c>
      <c r="D3" s="204" t="s">
        <v>16</v>
      </c>
      <c r="E3" s="125"/>
      <c r="F3" s="203" t="s">
        <v>0</v>
      </c>
      <c r="G3" s="204" t="s">
        <v>16</v>
      </c>
      <c r="H3" s="125"/>
      <c r="I3" s="203" t="s">
        <v>0</v>
      </c>
      <c r="J3" s="204" t="s">
        <v>16</v>
      </c>
      <c r="K3" s="144"/>
      <c r="L3" s="203" t="s">
        <v>0</v>
      </c>
      <c r="M3" s="204" t="s">
        <v>16</v>
      </c>
      <c r="N3" s="144"/>
      <c r="O3" s="203" t="s">
        <v>0</v>
      </c>
      <c r="P3" s="204" t="s">
        <v>16</v>
      </c>
      <c r="Q3" s="30"/>
      <c r="R3" s="144"/>
      <c r="S3" s="144"/>
      <c r="T3" s="30"/>
      <c r="U3" s="203" t="s">
        <v>0</v>
      </c>
      <c r="V3" s="204" t="s">
        <v>16</v>
      </c>
      <c r="W3" s="144"/>
      <c r="X3" s="144"/>
    </row>
    <row r="4" spans="1:24">
      <c r="A4" s="28"/>
      <c r="B4" s="42"/>
      <c r="C4" s="203" t="s">
        <v>3</v>
      </c>
      <c r="D4" s="204" t="s">
        <v>593</v>
      </c>
      <c r="E4" s="125"/>
      <c r="F4" s="203" t="s">
        <v>3</v>
      </c>
      <c r="G4" s="204" t="s">
        <v>589</v>
      </c>
      <c r="H4" s="125"/>
      <c r="I4" s="203" t="s">
        <v>3</v>
      </c>
      <c r="J4" s="204" t="s">
        <v>434</v>
      </c>
      <c r="K4" s="144"/>
      <c r="L4" s="203" t="s">
        <v>3</v>
      </c>
      <c r="M4" s="204" t="s">
        <v>430</v>
      </c>
      <c r="N4" s="144"/>
      <c r="O4" s="203" t="s">
        <v>3</v>
      </c>
      <c r="P4" s="204" t="s">
        <v>64</v>
      </c>
      <c r="Q4" s="30"/>
      <c r="R4" s="144"/>
      <c r="S4" s="144"/>
      <c r="T4" s="30"/>
      <c r="U4" s="203" t="s">
        <v>3</v>
      </c>
      <c r="V4" s="204"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c r="A6" s="22" t="s">
        <v>680</v>
      </c>
      <c r="B6" s="22" t="s">
        <v>119</v>
      </c>
      <c r="C6" s="203" t="s">
        <v>286</v>
      </c>
      <c r="D6" t="s">
        <v>594</v>
      </c>
      <c r="E6" s="125"/>
      <c r="F6" s="203" t="s">
        <v>286</v>
      </c>
      <c r="G6" t="s">
        <v>678</v>
      </c>
      <c r="H6" s="125"/>
      <c r="I6" s="203" t="s">
        <v>286</v>
      </c>
      <c r="J6" t="s">
        <v>437</v>
      </c>
      <c r="K6" s="144"/>
      <c r="L6" s="203" t="s">
        <v>286</v>
      </c>
      <c r="M6" t="s">
        <v>679</v>
      </c>
      <c r="N6" s="144"/>
      <c r="O6" s="203" t="s">
        <v>286</v>
      </c>
      <c r="P6" s="204" t="s">
        <v>302</v>
      </c>
      <c r="Q6" s="204" t="s">
        <v>405</v>
      </c>
      <c r="R6" s="204" t="s">
        <v>301</v>
      </c>
      <c r="S6" s="204" t="s">
        <v>404</v>
      </c>
      <c r="T6" s="144"/>
      <c r="U6" s="203" t="s">
        <v>286</v>
      </c>
      <c r="V6" s="204" t="s">
        <v>306</v>
      </c>
      <c r="W6" s="204" t="s">
        <v>307</v>
      </c>
      <c r="X6" s="204" t="s">
        <v>308</v>
      </c>
    </row>
    <row r="7" spans="1:24">
      <c r="A7" s="26" t="str">
        <f>INDEX('OS-Machine Info'!$B:$B,MATCH(C7,'OS-Machine Info'!$A:$A,0))</f>
        <v>TestDC</v>
      </c>
      <c r="B7" s="26">
        <f>INDEX('Node Information'!J:$J,MATCH(C7,'Node Information'!$A:$A,0))</f>
        <v>6.5428240740740704E-2</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36" t="s">
        <v>443</v>
      </c>
      <c r="B2" s="227"/>
      <c r="C2" s="227"/>
      <c r="D2" s="227"/>
      <c r="E2" s="227"/>
      <c r="F2" s="227"/>
      <c r="G2" s="227"/>
      <c r="H2" s="237"/>
      <c r="J2" s="236" t="s">
        <v>444</v>
      </c>
      <c r="K2" s="227"/>
      <c r="L2" s="227"/>
      <c r="M2" s="227"/>
      <c r="N2" s="227"/>
      <c r="O2" s="227"/>
      <c r="P2" s="227"/>
      <c r="Q2" s="237"/>
    </row>
    <row r="3" spans="1:17">
      <c r="A3" s="56"/>
      <c r="B3" s="55"/>
      <c r="C3" s="55"/>
      <c r="D3" s="55"/>
      <c r="E3" s="55"/>
      <c r="F3" s="55"/>
      <c r="G3" s="55"/>
      <c r="H3" s="57"/>
      <c r="J3" s="87"/>
      <c r="K3" s="86"/>
      <c r="L3" s="86"/>
      <c r="M3" s="86"/>
      <c r="N3" s="86"/>
      <c r="O3" s="86"/>
      <c r="P3" s="86"/>
      <c r="Q3" s="88"/>
    </row>
    <row r="4" spans="1:17">
      <c r="C4" s="30"/>
      <c r="F4" s="30"/>
      <c r="L4" s="30"/>
      <c r="M4" s="179" t="s">
        <v>0</v>
      </c>
      <c r="N4" s="180" t="s">
        <v>16</v>
      </c>
      <c r="O4" s="30"/>
      <c r="P4" s="179" t="s">
        <v>0</v>
      </c>
      <c r="Q4" s="180" t="s">
        <v>16</v>
      </c>
    </row>
    <row r="5" spans="1:17">
      <c r="A5" s="179" t="s">
        <v>0</v>
      </c>
      <c r="B5" s="180" t="s">
        <v>16</v>
      </c>
      <c r="C5" s="30"/>
      <c r="D5" s="179" t="s">
        <v>0</v>
      </c>
      <c r="E5" s="180" t="s">
        <v>16</v>
      </c>
      <c r="F5" s="30"/>
      <c r="G5" s="179" t="s">
        <v>0</v>
      </c>
      <c r="H5" s="180" t="s">
        <v>16</v>
      </c>
      <c r="J5" s="179" t="s">
        <v>0</v>
      </c>
      <c r="K5" s="180" t="s">
        <v>16</v>
      </c>
      <c r="L5" s="30"/>
      <c r="M5" s="179" t="s">
        <v>1</v>
      </c>
      <c r="N5" s="180" t="s">
        <v>16</v>
      </c>
      <c r="O5" s="30"/>
      <c r="P5" s="179" t="s">
        <v>1</v>
      </c>
      <c r="Q5" s="180" t="s">
        <v>16</v>
      </c>
    </row>
    <row r="6" spans="1:17">
      <c r="A6" s="179" t="s">
        <v>3</v>
      </c>
      <c r="B6" s="180" t="s">
        <v>361</v>
      </c>
      <c r="C6" s="30"/>
      <c r="D6" s="179" t="s">
        <v>3</v>
      </c>
      <c r="E6" s="180" t="s">
        <v>358</v>
      </c>
      <c r="F6" s="30"/>
      <c r="G6" s="179" t="s">
        <v>3</v>
      </c>
      <c r="H6" s="180" t="s">
        <v>360</v>
      </c>
      <c r="J6" s="179" t="s">
        <v>3</v>
      </c>
      <c r="K6" s="180" t="s">
        <v>442</v>
      </c>
      <c r="L6" s="30"/>
      <c r="M6" s="179" t="s">
        <v>3</v>
      </c>
      <c r="N6" s="180" t="s">
        <v>438</v>
      </c>
      <c r="O6" s="30"/>
      <c r="P6" s="179" t="s">
        <v>3</v>
      </c>
      <c r="Q6" s="180" t="s">
        <v>440</v>
      </c>
    </row>
    <row r="7" spans="1:17">
      <c r="A7" s="54"/>
      <c r="B7" s="54"/>
      <c r="C7" s="54"/>
      <c r="D7" s="54"/>
      <c r="E7" s="54"/>
      <c r="F7" s="54"/>
      <c r="G7" s="54"/>
      <c r="H7" s="54"/>
      <c r="J7" s="85"/>
      <c r="K7" s="85"/>
      <c r="L7" s="85"/>
      <c r="M7" s="85"/>
      <c r="N7" s="85"/>
      <c r="O7" s="85"/>
      <c r="P7" s="85"/>
      <c r="Q7" s="85"/>
    </row>
    <row r="8" spans="1:17" ht="28.8">
      <c r="A8" s="179" t="s">
        <v>720</v>
      </c>
      <c r="B8" t="s">
        <v>285</v>
      </c>
      <c r="C8" s="54"/>
      <c r="D8" s="179" t="s">
        <v>720</v>
      </c>
      <c r="E8" s="29" t="s">
        <v>362</v>
      </c>
      <c r="F8" s="54"/>
      <c r="G8" s="179" t="s">
        <v>720</v>
      </c>
      <c r="H8" s="29" t="s">
        <v>363</v>
      </c>
      <c r="J8" s="179" t="s">
        <v>720</v>
      </c>
      <c r="K8" t="s">
        <v>469</v>
      </c>
      <c r="L8" s="85"/>
      <c r="M8" s="179" t="s">
        <v>286</v>
      </c>
      <c r="N8" s="29" t="s">
        <v>470</v>
      </c>
      <c r="O8" s="85"/>
      <c r="P8" s="179" t="s">
        <v>286</v>
      </c>
      <c r="Q8" s="29" t="s">
        <v>471</v>
      </c>
    </row>
    <row r="9" spans="1:17">
      <c r="A9" s="4" t="s">
        <v>47</v>
      </c>
      <c r="B9" s="180">
        <v>4</v>
      </c>
      <c r="C9" s="6"/>
      <c r="D9" s="4" t="s">
        <v>47</v>
      </c>
      <c r="E9" s="5">
        <v>2100</v>
      </c>
      <c r="F9" s="6"/>
      <c r="G9" s="4" t="s">
        <v>47</v>
      </c>
      <c r="H9" s="5">
        <v>1200</v>
      </c>
      <c r="J9" s="4" t="s">
        <v>47</v>
      </c>
      <c r="K9" s="180">
        <v>3</v>
      </c>
      <c r="L9" s="6"/>
      <c r="M9" s="4" t="s">
        <v>48</v>
      </c>
      <c r="N9" s="5">
        <v>12</v>
      </c>
      <c r="O9" s="6"/>
      <c r="P9" s="4" t="s">
        <v>48</v>
      </c>
      <c r="Q9" s="5">
        <v>4</v>
      </c>
    </row>
    <row r="10" spans="1:17">
      <c r="A10" s="4" t="s">
        <v>17</v>
      </c>
      <c r="B10" s="180">
        <v>4</v>
      </c>
      <c r="C10" s="6"/>
      <c r="D10" s="4" t="s">
        <v>17</v>
      </c>
      <c r="E10" s="5">
        <v>2100</v>
      </c>
      <c r="F10" s="6"/>
      <c r="G10" s="4" t="s">
        <v>17</v>
      </c>
      <c r="H10" s="5">
        <v>1200</v>
      </c>
      <c r="J10" s="4" t="s">
        <v>17</v>
      </c>
      <c r="K10" s="180">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69" customWidth="1"/>
    <col min="2" max="2" width="18.6640625" style="70"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2.5546875" style="69"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40" t="s">
        <v>397</v>
      </c>
      <c r="C1" s="229"/>
      <c r="D1" s="229"/>
      <c r="E1" s="229"/>
      <c r="F1" s="229"/>
      <c r="G1" s="229"/>
      <c r="H1" s="229"/>
      <c r="I1" s="229"/>
      <c r="J1" s="229"/>
      <c r="K1" s="229"/>
      <c r="L1" s="229"/>
      <c r="M1" s="229"/>
      <c r="N1" s="229"/>
      <c r="O1" s="229"/>
      <c r="P1" s="229"/>
      <c r="Q1" s="229"/>
      <c r="R1" s="229"/>
      <c r="S1" s="229"/>
      <c r="T1" s="229"/>
      <c r="U1" s="27"/>
      <c r="V1" s="240" t="s">
        <v>398</v>
      </c>
      <c r="W1" s="229"/>
      <c r="X1" s="229"/>
      <c r="Y1" s="229"/>
      <c r="Z1" s="229"/>
      <c r="AA1" s="229"/>
      <c r="AB1" s="229"/>
      <c r="AC1" s="229"/>
      <c r="AD1" s="229"/>
      <c r="AE1" s="229"/>
      <c r="AF1" s="229"/>
      <c r="AG1" s="229"/>
      <c r="AH1" s="229"/>
      <c r="AI1" s="229"/>
      <c r="AJ1" s="229"/>
      <c r="AK1" s="229"/>
      <c r="AL1" s="229"/>
      <c r="AM1" s="229"/>
      <c r="AN1" s="229"/>
    </row>
    <row r="2" spans="1:40" s="54" customFormat="1">
      <c r="A2" s="65"/>
      <c r="B2" s="240"/>
      <c r="C2" s="229"/>
      <c r="D2" s="229"/>
      <c r="E2" s="229"/>
      <c r="F2" s="229"/>
      <c r="G2" s="229"/>
      <c r="H2" s="229"/>
      <c r="I2" s="229"/>
      <c r="J2" s="229"/>
      <c r="K2" s="229"/>
      <c r="L2" s="229"/>
      <c r="M2" s="229"/>
      <c r="N2" s="229"/>
      <c r="O2" s="229"/>
      <c r="P2" s="229"/>
      <c r="Q2" s="229"/>
      <c r="R2" s="229"/>
      <c r="S2" s="229"/>
      <c r="T2" s="229"/>
      <c r="U2" s="27"/>
      <c r="V2" s="159" t="s">
        <v>0</v>
      </c>
      <c r="W2" s="160"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351</v>
      </c>
      <c r="D5" s="27"/>
      <c r="E5" s="27"/>
      <c r="F5" s="27"/>
      <c r="G5" s="27"/>
      <c r="H5" s="27"/>
      <c r="I5" s="27"/>
      <c r="J5" s="27"/>
      <c r="K5" s="27"/>
      <c r="L5" s="27"/>
      <c r="M5" s="27"/>
      <c r="N5" s="27"/>
      <c r="O5" s="27"/>
      <c r="P5" s="27"/>
      <c r="Q5" s="27"/>
      <c r="R5" s="27"/>
      <c r="S5" s="27"/>
      <c r="T5" s="27"/>
      <c r="V5" s="159" t="s">
        <v>3</v>
      </c>
      <c r="W5" s="160"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720</v>
      </c>
      <c r="C7" s="29" t="s">
        <v>379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379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69" customWidth="1"/>
    <col min="2" max="2" width="17.21875" style="70"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40" t="s">
        <v>397</v>
      </c>
      <c r="C1" s="229"/>
      <c r="D1" s="229"/>
      <c r="E1" s="229"/>
      <c r="F1" s="229"/>
      <c r="G1" s="229"/>
      <c r="H1" s="229"/>
      <c r="I1" s="229"/>
      <c r="J1" s="229"/>
      <c r="K1" s="229"/>
      <c r="L1" s="229"/>
      <c r="M1" s="229"/>
      <c r="N1" s="229"/>
      <c r="O1" s="229"/>
      <c r="P1" s="229"/>
      <c r="Q1" s="229"/>
      <c r="R1" s="229"/>
      <c r="S1" s="229"/>
      <c r="T1" s="229"/>
      <c r="V1" s="240" t="s">
        <v>398</v>
      </c>
      <c r="W1" s="229"/>
      <c r="X1" s="229"/>
      <c r="Y1" s="229"/>
      <c r="Z1" s="229"/>
      <c r="AA1" s="229"/>
      <c r="AB1" s="229"/>
      <c r="AC1" s="229"/>
      <c r="AD1" s="229"/>
      <c r="AE1" s="229"/>
      <c r="AF1" s="229"/>
      <c r="AG1" s="229"/>
      <c r="AH1" s="229"/>
      <c r="AI1" s="229"/>
      <c r="AJ1" s="229"/>
      <c r="AK1" s="229"/>
      <c r="AL1" s="229"/>
      <c r="AM1" s="229"/>
      <c r="AN1" s="229"/>
    </row>
    <row r="2" spans="1:40">
      <c r="A2" s="65"/>
      <c r="B2" s="240"/>
      <c r="C2" s="229"/>
      <c r="D2" s="229"/>
      <c r="E2" s="229"/>
      <c r="F2" s="229"/>
      <c r="G2" s="229"/>
      <c r="H2" s="229"/>
      <c r="I2" s="229"/>
      <c r="J2" s="229"/>
      <c r="K2" s="229"/>
      <c r="L2" s="229"/>
      <c r="M2" s="229"/>
      <c r="N2" s="229"/>
      <c r="O2" s="229"/>
      <c r="P2" s="229"/>
      <c r="Q2" s="229"/>
      <c r="R2" s="229"/>
      <c r="S2" s="229"/>
      <c r="T2" s="229"/>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349</v>
      </c>
      <c r="D5" s="27"/>
      <c r="E5" s="27"/>
      <c r="F5" s="27"/>
      <c r="G5" s="27"/>
      <c r="H5" s="27"/>
      <c r="I5" s="27"/>
      <c r="J5" s="27"/>
      <c r="K5" s="27"/>
      <c r="L5" s="27"/>
      <c r="M5" s="27"/>
      <c r="N5" s="27"/>
      <c r="O5" s="27"/>
      <c r="P5" s="27"/>
      <c r="Q5" s="27"/>
      <c r="R5" s="27"/>
      <c r="S5" s="27"/>
      <c r="T5" s="27"/>
      <c r="V5" s="159" t="s">
        <v>3</v>
      </c>
      <c r="W5" s="160"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507</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507</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69" customWidth="1"/>
    <col min="2" max="2" width="16.77734375" style="70"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2.5546875" style="69"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40" t="s">
        <v>397</v>
      </c>
      <c r="C1" s="229"/>
      <c r="D1" s="229"/>
      <c r="E1" s="229"/>
      <c r="F1" s="229"/>
      <c r="G1" s="229"/>
      <c r="H1" s="229"/>
      <c r="I1" s="229"/>
      <c r="J1" s="229"/>
      <c r="K1" s="229"/>
      <c r="L1" s="229"/>
      <c r="M1" s="229"/>
      <c r="N1" s="229"/>
      <c r="O1" s="229"/>
      <c r="P1" s="229"/>
      <c r="Q1" s="229"/>
      <c r="R1" s="229"/>
      <c r="S1" s="229"/>
      <c r="T1" s="229"/>
      <c r="V1" s="240" t="s">
        <v>398</v>
      </c>
      <c r="W1" s="229"/>
      <c r="X1" s="229"/>
      <c r="Y1" s="229"/>
      <c r="Z1" s="229"/>
      <c r="AA1" s="229"/>
      <c r="AB1" s="229"/>
      <c r="AC1" s="229"/>
      <c r="AD1" s="229"/>
      <c r="AE1" s="229"/>
      <c r="AF1" s="229"/>
      <c r="AG1" s="229"/>
      <c r="AH1" s="229"/>
      <c r="AI1" s="229"/>
      <c r="AJ1" s="229"/>
      <c r="AK1" s="229"/>
      <c r="AL1" s="229"/>
      <c r="AM1" s="229"/>
      <c r="AN1" s="229"/>
    </row>
    <row r="2" spans="1:40">
      <c r="A2" s="65"/>
      <c r="B2" s="240"/>
      <c r="C2" s="229"/>
      <c r="D2" s="229"/>
      <c r="E2" s="229"/>
      <c r="F2" s="229"/>
      <c r="G2" s="229"/>
      <c r="H2" s="229"/>
      <c r="I2" s="229"/>
      <c r="J2" s="229"/>
      <c r="K2" s="229"/>
      <c r="L2" s="229"/>
      <c r="M2" s="229"/>
      <c r="N2" s="229"/>
      <c r="O2" s="229"/>
      <c r="P2" s="229"/>
      <c r="Q2" s="229"/>
      <c r="R2" s="229"/>
      <c r="S2" s="229"/>
      <c r="T2" s="229"/>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350</v>
      </c>
      <c r="D5" s="27"/>
      <c r="E5" s="27"/>
      <c r="F5" s="27"/>
      <c r="G5" s="27"/>
      <c r="H5" s="27"/>
      <c r="I5" s="27"/>
      <c r="J5" s="27"/>
      <c r="K5" s="27"/>
      <c r="L5" s="27"/>
      <c r="M5" s="27"/>
      <c r="N5" s="27"/>
      <c r="O5" s="27"/>
      <c r="P5" s="27"/>
      <c r="Q5" s="27"/>
      <c r="R5" s="27"/>
      <c r="S5" s="27"/>
      <c r="T5" s="27"/>
      <c r="V5" s="159" t="s">
        <v>3</v>
      </c>
      <c r="W5" s="160"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720</v>
      </c>
      <c r="C7" s="29" t="s">
        <v>508</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508</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69" customWidth="1"/>
    <col min="2" max="2" width="16.88671875" style="70"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2.5546875" style="69"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40" t="s">
        <v>397</v>
      </c>
      <c r="C1" s="229"/>
      <c r="D1" s="229"/>
      <c r="E1" s="229"/>
      <c r="F1" s="229"/>
      <c r="G1" s="229"/>
      <c r="H1" s="229"/>
      <c r="I1" s="229"/>
      <c r="J1" s="229"/>
      <c r="K1" s="229"/>
      <c r="L1" s="229"/>
      <c r="M1" s="229"/>
      <c r="N1" s="229"/>
      <c r="O1" s="229"/>
      <c r="P1" s="229"/>
      <c r="Q1" s="229"/>
      <c r="R1" s="229"/>
      <c r="S1" s="229"/>
      <c r="T1" s="229"/>
      <c r="V1" s="240" t="s">
        <v>398</v>
      </c>
      <c r="W1" s="229"/>
      <c r="X1" s="229"/>
      <c r="Y1" s="229"/>
      <c r="Z1" s="229"/>
      <c r="AA1" s="229"/>
      <c r="AB1" s="229"/>
      <c r="AC1" s="229"/>
      <c r="AD1" s="229"/>
      <c r="AE1" s="229"/>
      <c r="AF1" s="229"/>
      <c r="AG1" s="229"/>
      <c r="AH1" s="229"/>
      <c r="AI1" s="229"/>
      <c r="AJ1" s="229"/>
      <c r="AK1" s="229"/>
      <c r="AL1" s="229"/>
      <c r="AM1" s="229"/>
      <c r="AN1" s="229"/>
    </row>
    <row r="2" spans="1:40">
      <c r="A2" s="65"/>
      <c r="B2" s="240"/>
      <c r="C2" s="229"/>
      <c r="D2" s="229"/>
      <c r="E2" s="229"/>
      <c r="F2" s="229"/>
      <c r="G2" s="229"/>
      <c r="H2" s="229"/>
      <c r="I2" s="229"/>
      <c r="J2" s="229"/>
      <c r="K2" s="229"/>
      <c r="L2" s="229"/>
      <c r="M2" s="229"/>
      <c r="N2" s="229"/>
      <c r="O2" s="229"/>
      <c r="P2" s="229"/>
      <c r="Q2" s="229"/>
      <c r="R2" s="229"/>
      <c r="S2" s="229"/>
      <c r="T2" s="229"/>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353</v>
      </c>
      <c r="D5" s="27"/>
      <c r="E5" s="27"/>
      <c r="F5" s="27"/>
      <c r="G5" s="27"/>
      <c r="H5" s="27"/>
      <c r="I5" s="27"/>
      <c r="J5" s="27"/>
      <c r="K5" s="27"/>
      <c r="L5" s="27"/>
      <c r="M5" s="27"/>
      <c r="N5" s="27"/>
      <c r="O5" s="27"/>
      <c r="P5" s="27"/>
      <c r="Q5" s="27"/>
      <c r="R5" s="27"/>
      <c r="S5" s="27"/>
      <c r="T5" s="27"/>
      <c r="V5" s="159" t="s">
        <v>3</v>
      </c>
      <c r="W5" s="160"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69" customWidth="1"/>
    <col min="2" max="2" width="17.44140625" style="70"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40" t="s">
        <v>397</v>
      </c>
      <c r="C1" s="229"/>
      <c r="D1" s="229"/>
      <c r="E1" s="229"/>
      <c r="F1" s="229"/>
      <c r="G1" s="229"/>
      <c r="H1" s="229"/>
      <c r="I1" s="229"/>
      <c r="J1" s="229"/>
      <c r="K1" s="229"/>
      <c r="L1" s="229"/>
      <c r="M1" s="229"/>
      <c r="N1" s="229"/>
      <c r="O1" s="229"/>
      <c r="P1" s="229"/>
      <c r="Q1" s="229"/>
      <c r="R1" s="229"/>
      <c r="S1" s="229"/>
      <c r="T1" s="229"/>
      <c r="V1" s="240" t="s">
        <v>398</v>
      </c>
      <c r="W1" s="229"/>
      <c r="X1" s="229"/>
      <c r="Y1" s="229"/>
      <c r="Z1" s="229"/>
      <c r="AA1" s="229"/>
      <c r="AB1" s="229"/>
      <c r="AC1" s="229"/>
      <c r="AD1" s="229"/>
      <c r="AE1" s="229"/>
      <c r="AF1" s="229"/>
      <c r="AG1" s="229"/>
      <c r="AH1" s="229"/>
      <c r="AI1" s="229"/>
      <c r="AJ1" s="229"/>
      <c r="AK1" s="229"/>
      <c r="AL1" s="229"/>
      <c r="AM1" s="229"/>
      <c r="AN1" s="229"/>
    </row>
    <row r="2" spans="1:40">
      <c r="A2" s="65"/>
      <c r="B2" s="240"/>
      <c r="C2" s="229"/>
      <c r="D2" s="229"/>
      <c r="E2" s="229"/>
      <c r="F2" s="229"/>
      <c r="G2" s="229"/>
      <c r="H2" s="229"/>
      <c r="I2" s="229"/>
      <c r="J2" s="229"/>
      <c r="K2" s="229"/>
      <c r="L2" s="229"/>
      <c r="M2" s="229"/>
      <c r="N2" s="229"/>
      <c r="O2" s="229"/>
      <c r="P2" s="229"/>
      <c r="Q2" s="229"/>
      <c r="R2" s="229"/>
      <c r="S2" s="229"/>
      <c r="T2" s="229"/>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352</v>
      </c>
      <c r="D5" s="27"/>
      <c r="E5" s="27"/>
      <c r="F5" s="27"/>
      <c r="G5" s="27"/>
      <c r="H5" s="27"/>
      <c r="I5" s="27"/>
      <c r="J5" s="27"/>
      <c r="K5" s="27"/>
      <c r="L5" s="27"/>
      <c r="M5" s="27"/>
      <c r="N5" s="27"/>
      <c r="O5" s="27"/>
      <c r="P5" s="27"/>
      <c r="Q5" s="27"/>
      <c r="R5" s="27"/>
      <c r="S5" s="27"/>
      <c r="T5" s="27"/>
      <c r="V5" s="159" t="s">
        <v>3</v>
      </c>
      <c r="W5" s="160"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510</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511</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J11" sqref="J11"/>
    </sheetView>
  </sheetViews>
  <sheetFormatPr defaultColWidth="9.109375" defaultRowHeight="14.4"/>
  <cols>
    <col min="1" max="1" width="43.44140625" style="78"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26.44140625" style="78"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26" t="s">
        <v>498</v>
      </c>
      <c r="B1" s="229"/>
      <c r="C1" s="229"/>
      <c r="D1" s="229"/>
      <c r="E1" s="229"/>
      <c r="F1" s="229"/>
      <c r="G1" s="229"/>
      <c r="H1" s="229"/>
      <c r="I1" s="229"/>
      <c r="J1" s="229"/>
    </row>
    <row r="2" spans="1:10">
      <c r="A2" s="92"/>
      <c r="B2" s="92"/>
      <c r="C2" s="92"/>
      <c r="D2" s="146"/>
      <c r="E2" s="92"/>
      <c r="F2" s="92"/>
      <c r="G2" s="92"/>
      <c r="H2" s="92"/>
      <c r="I2" s="188" t="s">
        <v>411</v>
      </c>
      <c r="J2" s="189" t="s">
        <v>16</v>
      </c>
    </row>
    <row r="3" spans="1:10">
      <c r="A3" s="92"/>
      <c r="B3" s="92"/>
      <c r="C3" s="92"/>
      <c r="D3" s="28"/>
      <c r="E3" s="92"/>
      <c r="F3" s="92"/>
      <c r="G3" s="92"/>
      <c r="H3" s="92"/>
      <c r="I3" s="188" t="s">
        <v>0</v>
      </c>
      <c r="J3" s="189" t="s">
        <v>16</v>
      </c>
    </row>
    <row r="4" spans="1:10">
      <c r="A4" s="188" t="s">
        <v>411</v>
      </c>
      <c r="B4" s="189" t="s">
        <v>16</v>
      </c>
      <c r="D4" s="28"/>
      <c r="E4" s="92"/>
      <c r="F4" s="188" t="s">
        <v>411</v>
      </c>
      <c r="G4" s="189" t="s">
        <v>16</v>
      </c>
      <c r="I4" s="188" t="s">
        <v>413</v>
      </c>
      <c r="J4" s="189" t="s">
        <v>16</v>
      </c>
    </row>
    <row r="5" spans="1:10">
      <c r="A5" s="188" t="s">
        <v>0</v>
      </c>
      <c r="B5" s="189" t="s">
        <v>16</v>
      </c>
      <c r="D5" s="28"/>
      <c r="E5" s="92"/>
      <c r="F5" s="188" t="s">
        <v>0</v>
      </c>
      <c r="G5" s="189" t="s">
        <v>16</v>
      </c>
      <c r="I5" s="188" t="s">
        <v>428</v>
      </c>
      <c r="J5" s="189" t="s">
        <v>16</v>
      </c>
    </row>
    <row r="6" spans="1:10">
      <c r="A6" s="188" t="s">
        <v>413</v>
      </c>
      <c r="B6" s="189" t="s">
        <v>16</v>
      </c>
      <c r="D6" s="28"/>
      <c r="E6" s="92"/>
      <c r="F6" s="188" t="s">
        <v>413</v>
      </c>
      <c r="G6" s="189" t="s">
        <v>16</v>
      </c>
      <c r="I6" s="188" t="s">
        <v>496</v>
      </c>
      <c r="J6" s="189" t="s">
        <v>16</v>
      </c>
    </row>
    <row r="7" spans="1:10">
      <c r="A7" s="188" t="s">
        <v>475</v>
      </c>
      <c r="B7" s="189" t="s">
        <v>16</v>
      </c>
      <c r="D7" s="28"/>
      <c r="E7" s="92"/>
      <c r="F7" s="188" t="s">
        <v>475</v>
      </c>
      <c r="G7" s="189" t="s">
        <v>16</v>
      </c>
      <c r="I7" s="188" t="s">
        <v>1</v>
      </c>
      <c r="J7" s="189" t="s">
        <v>16</v>
      </c>
    </row>
    <row r="8" spans="1:10">
      <c r="D8" s="28"/>
      <c r="E8" s="92"/>
      <c r="I8" s="188" t="s">
        <v>2</v>
      </c>
      <c r="J8" s="189" t="s">
        <v>16</v>
      </c>
    </row>
    <row r="9" spans="1:10">
      <c r="A9" s="188" t="s">
        <v>476</v>
      </c>
      <c r="B9" t="s">
        <v>477</v>
      </c>
      <c r="D9" s="22" t="s">
        <v>680</v>
      </c>
      <c r="E9" s="93" t="s">
        <v>119</v>
      </c>
      <c r="F9" s="188" t="s">
        <v>286</v>
      </c>
      <c r="G9" t="s">
        <v>477</v>
      </c>
      <c r="I9"/>
      <c r="J9"/>
    </row>
    <row r="10" spans="1:10">
      <c r="A10" s="4" t="s">
        <v>479</v>
      </c>
      <c r="B10" s="5">
        <v>19</v>
      </c>
      <c r="D10" s="26" t="e">
        <f>INDEX('OS-Machine Info'!$B:$B,MATCH(F10,'OS-Machine Info'!$A:$A,0))</f>
        <v>#N/A</v>
      </c>
      <c r="E10" s="94" t="e">
        <f>INDEX('Node Information'!J:$J,MATCH(F10,'Node Information'!$A:$A,0))</f>
        <v>#N/A</v>
      </c>
      <c r="F10" s="4" t="s">
        <v>482</v>
      </c>
      <c r="G10" s="5"/>
      <c r="I10" s="188" t="s">
        <v>478</v>
      </c>
      <c r="J10" t="s">
        <v>477</v>
      </c>
    </row>
    <row r="11" spans="1:10">
      <c r="A11" s="4" t="s">
        <v>480</v>
      </c>
      <c r="B11" s="5">
        <v>46</v>
      </c>
      <c r="D11" s="26" t="str">
        <f>INDEX('OS-Machine Info'!$B:$B,MATCH(F11,'OS-Machine Info'!$A:$A,0))</f>
        <v>TestDC</v>
      </c>
      <c r="E11" s="94">
        <f>INDEX('Node Information'!J:$J,MATCH(F11,'Node Information'!$A:$A,0))</f>
        <v>6.5428240740740704E-2</v>
      </c>
      <c r="F11" s="4" t="s">
        <v>48</v>
      </c>
      <c r="G11" s="5">
        <v>459</v>
      </c>
      <c r="I11" s="4" t="s">
        <v>482</v>
      </c>
      <c r="J11" s="5">
        <v>215</v>
      </c>
    </row>
    <row r="12" spans="1:10">
      <c r="A12" s="4" t="s">
        <v>481</v>
      </c>
      <c r="B12" s="5">
        <v>5</v>
      </c>
      <c r="F12" s="4" t="s">
        <v>17</v>
      </c>
      <c r="G12" s="5">
        <v>459</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17</v>
      </c>
      <c r="B17" s="5">
        <v>459</v>
      </c>
      <c r="F17"/>
      <c r="G17"/>
      <c r="I17" s="4" t="s">
        <v>504</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5.77734375" style="191" bestFit="1" customWidth="1"/>
    <col min="2" max="2" width="18" style="191" bestFit="1" customWidth="1"/>
    <col min="3" max="3" width="10.77734375" style="191" customWidth="1"/>
    <col min="4" max="4" width="10.77734375" style="191" bestFit="1" customWidth="1"/>
    <col min="5" max="16384" width="8.88671875" style="191"/>
  </cols>
  <sheetData>
    <row r="1" spans="1:3">
      <c r="A1"/>
      <c r="B1"/>
    </row>
    <row r="2" spans="1:3">
      <c r="A2" s="190" t="s">
        <v>428</v>
      </c>
      <c r="B2" s="191" t="s">
        <v>300</v>
      </c>
    </row>
    <row r="3" spans="1:3">
      <c r="A3" s="190" t="s">
        <v>1</v>
      </c>
      <c r="B3" s="191" t="s">
        <v>16</v>
      </c>
    </row>
    <row r="4" spans="1:3">
      <c r="A4" s="190" t="s">
        <v>2</v>
      </c>
      <c r="B4" s="191" t="s">
        <v>16</v>
      </c>
    </row>
    <row r="5" spans="1:3">
      <c r="A5" s="190" t="s">
        <v>411</v>
      </c>
      <c r="B5" s="191" t="s">
        <v>16</v>
      </c>
    </row>
    <row r="6" spans="1:3">
      <c r="A6"/>
      <c r="B6"/>
      <c r="C6"/>
    </row>
    <row r="7" spans="1:3">
      <c r="A7" s="190" t="s">
        <v>802</v>
      </c>
      <c r="B7" t="s">
        <v>334</v>
      </c>
      <c r="C7"/>
    </row>
    <row r="8" spans="1:3">
      <c r="A8" s="4" t="s">
        <v>105</v>
      </c>
      <c r="B8" s="5"/>
      <c r="C8"/>
    </row>
    <row r="9" spans="1:3">
      <c r="A9" s="194" t="s">
        <v>48</v>
      </c>
      <c r="B9" s="5">
        <v>408</v>
      </c>
      <c r="C9"/>
    </row>
    <row r="10" spans="1:3">
      <c r="A10" s="4" t="s">
        <v>807</v>
      </c>
      <c r="B10" s="5">
        <v>408</v>
      </c>
      <c r="C10"/>
    </row>
    <row r="11" spans="1:3">
      <c r="A11" s="4" t="s">
        <v>17</v>
      </c>
      <c r="B11" s="5">
        <v>408</v>
      </c>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188" t="s">
        <v>0</v>
      </c>
      <c r="B1" s="189" t="s">
        <v>16</v>
      </c>
    </row>
    <row r="2" spans="1:3">
      <c r="A2" s="188" t="s">
        <v>428</v>
      </c>
      <c r="B2" s="189" t="s">
        <v>16</v>
      </c>
    </row>
    <row r="3" spans="1:3">
      <c r="A3" s="188" t="s">
        <v>1</v>
      </c>
      <c r="B3" s="189" t="s">
        <v>16</v>
      </c>
    </row>
    <row r="4" spans="1:3">
      <c r="A4" s="188" t="s">
        <v>2</v>
      </c>
      <c r="B4" s="189" t="s">
        <v>16</v>
      </c>
    </row>
    <row r="6" spans="1:3">
      <c r="A6" s="188" t="s">
        <v>334</v>
      </c>
      <c r="B6" s="188" t="s">
        <v>803</v>
      </c>
    </row>
    <row r="7" spans="1:3">
      <c r="A7" s="188" t="s">
        <v>802</v>
      </c>
      <c r="B7" s="189" t="s">
        <v>48</v>
      </c>
      <c r="C7" s="189" t="s">
        <v>17</v>
      </c>
    </row>
    <row r="8" spans="1:3">
      <c r="A8" s="192">
        <v>42625.416666666664</v>
      </c>
      <c r="B8" s="5">
        <v>6</v>
      </c>
      <c r="C8" s="5">
        <v>6</v>
      </c>
    </row>
    <row r="9" spans="1:3">
      <c r="A9" s="192">
        <v>42625.427083333336</v>
      </c>
      <c r="B9" s="5">
        <v>159</v>
      </c>
      <c r="C9" s="5">
        <v>159</v>
      </c>
    </row>
    <row r="10" spans="1:3">
      <c r="A10" s="192">
        <v>42625.4375</v>
      </c>
      <c r="B10" s="5">
        <v>165</v>
      </c>
      <c r="C10" s="5">
        <v>165</v>
      </c>
    </row>
    <row r="11" spans="1:3">
      <c r="A11" s="192">
        <v>42625.447916666664</v>
      </c>
      <c r="B11" s="5">
        <v>129</v>
      </c>
      <c r="C11" s="5">
        <v>129</v>
      </c>
    </row>
    <row r="12" spans="1:3">
      <c r="A12" s="4" t="s">
        <v>17</v>
      </c>
      <c r="B12" s="5">
        <v>459</v>
      </c>
      <c r="C12" s="5">
        <v>459</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3"/>
  <sheetViews>
    <sheetView workbookViewId="0">
      <selection activeCell="A8" sqref="A8:C8"/>
    </sheetView>
  </sheetViews>
  <sheetFormatPr defaultRowHeight="14.4"/>
  <cols>
    <col min="1" max="1" width="18" style="189" bestFit="1" customWidth="1"/>
    <col min="2" max="2" width="23.6640625" style="189" bestFit="1" customWidth="1"/>
    <col min="3" max="3" width="17.5546875" style="189" customWidth="1"/>
    <col min="4" max="4" width="24.77734375" style="189" customWidth="1"/>
    <col min="5" max="5" width="23.109375" style="189" bestFit="1" customWidth="1"/>
    <col min="6" max="6" width="10.77734375" style="189" customWidth="1"/>
    <col min="7" max="7" width="23.109375" style="189" bestFit="1" customWidth="1"/>
    <col min="8" max="8" width="10.77734375" style="189" bestFit="1" customWidth="1"/>
    <col min="9" max="16384" width="8.88671875" style="189"/>
  </cols>
  <sheetData>
    <row r="1" spans="1:8">
      <c r="A1"/>
      <c r="B1"/>
    </row>
    <row r="2" spans="1:8">
      <c r="A2" s="188" t="s">
        <v>0</v>
      </c>
      <c r="B2" s="189" t="s">
        <v>16</v>
      </c>
    </row>
    <row r="3" spans="1:8">
      <c r="A3" s="188" t="s">
        <v>87</v>
      </c>
      <c r="B3" s="189" t="s">
        <v>48</v>
      </c>
    </row>
    <row r="4" spans="1:8">
      <c r="A4" s="188" t="s">
        <v>1</v>
      </c>
      <c r="B4" s="189" t="s">
        <v>16</v>
      </c>
    </row>
    <row r="5" spans="1:8">
      <c r="A5" s="188" t="s">
        <v>2</v>
      </c>
      <c r="B5" s="189" t="s">
        <v>16</v>
      </c>
    </row>
    <row r="6" spans="1:8">
      <c r="A6"/>
      <c r="B6"/>
      <c r="C6"/>
    </row>
    <row r="7" spans="1:8">
      <c r="A7" s="188" t="s">
        <v>334</v>
      </c>
      <c r="B7" s="188" t="s">
        <v>803</v>
      </c>
      <c r="C7"/>
      <c r="D7"/>
      <c r="E7"/>
      <c r="F7"/>
      <c r="G7"/>
      <c r="H7"/>
    </row>
    <row r="8" spans="1:8">
      <c r="A8" s="188" t="s">
        <v>802</v>
      </c>
      <c r="B8" s="189" t="s">
        <v>479</v>
      </c>
      <c r="C8" s="189" t="s">
        <v>483</v>
      </c>
      <c r="D8" s="189" t="s">
        <v>484</v>
      </c>
      <c r="E8" s="189" t="s">
        <v>485</v>
      </c>
      <c r="F8" s="189" t="s">
        <v>17</v>
      </c>
      <c r="G8"/>
      <c r="H8"/>
    </row>
    <row r="9" spans="1:8">
      <c r="A9" s="192">
        <v>42625.416666666664</v>
      </c>
      <c r="B9" s="5">
        <v>6</v>
      </c>
      <c r="C9" s="5"/>
      <c r="D9" s="5"/>
      <c r="E9" s="5"/>
      <c r="F9" s="5">
        <v>6</v>
      </c>
      <c r="G9"/>
      <c r="H9"/>
    </row>
    <row r="10" spans="1:8">
      <c r="A10" s="192">
        <v>42625.427083333336</v>
      </c>
      <c r="B10" s="5">
        <v>3</v>
      </c>
      <c r="C10" s="5">
        <v>60</v>
      </c>
      <c r="D10" s="5">
        <v>5</v>
      </c>
      <c r="E10" s="5">
        <v>69</v>
      </c>
      <c r="F10" s="5">
        <v>137</v>
      </c>
      <c r="G10"/>
      <c r="H10"/>
    </row>
    <row r="11" spans="1:8">
      <c r="A11" s="192">
        <v>42625.4375</v>
      </c>
      <c r="B11" s="5">
        <v>8</v>
      </c>
      <c r="C11" s="5">
        <v>63</v>
      </c>
      <c r="D11" s="5">
        <v>7</v>
      </c>
      <c r="E11" s="5">
        <v>70</v>
      </c>
      <c r="F11" s="5">
        <v>148</v>
      </c>
      <c r="G11"/>
      <c r="H11"/>
    </row>
    <row r="12" spans="1:8">
      <c r="A12" s="192">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4"/>
  <sheetViews>
    <sheetView topLeftCell="E1" workbookViewId="0">
      <pane ySplit="2" topLeftCell="A93" activePane="bottomLeft" state="frozen"/>
      <selection pane="bottomLeft" activeCell="K109" sqref="K109"/>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41" t="s">
        <v>414</v>
      </c>
      <c r="B1" s="242" t="s">
        <v>410</v>
      </c>
      <c r="C1" s="243" t="s">
        <v>410</v>
      </c>
      <c r="D1" s="243" t="s">
        <v>410</v>
      </c>
      <c r="E1" s="243" t="s">
        <v>410</v>
      </c>
      <c r="F1" s="243" t="s">
        <v>410</v>
      </c>
      <c r="G1" s="243" t="s">
        <v>410</v>
      </c>
      <c r="H1" s="243" t="s">
        <v>410</v>
      </c>
      <c r="I1" s="244"/>
      <c r="J1" s="245"/>
      <c r="K1" s="243"/>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809</v>
      </c>
      <c r="G102" s="10" t="s">
        <v>810</v>
      </c>
      <c r="H102" s="10" t="s">
        <v>811</v>
      </c>
      <c r="I102" s="10" t="s">
        <v>812</v>
      </c>
      <c r="J102" s="118">
        <v>42913.123880208303</v>
      </c>
      <c r="K102" s="11">
        <v>3</v>
      </c>
      <c r="L102" s="10">
        <v>416</v>
      </c>
    </row>
    <row r="103" spans="1:14" s="10" customFormat="1">
      <c r="A103" s="95">
        <v>42625.416666666701</v>
      </c>
      <c r="B103" s="18">
        <v>1.0416666666666701E-2</v>
      </c>
      <c r="C103" s="20" t="s">
        <v>105</v>
      </c>
      <c r="D103" s="20" t="s">
        <v>48</v>
      </c>
      <c r="E103" s="10" t="s">
        <v>476</v>
      </c>
      <c r="F103" s="10" t="s">
        <v>809</v>
      </c>
      <c r="G103" s="10" t="s">
        <v>810</v>
      </c>
      <c r="H103" s="10" t="s">
        <v>811</v>
      </c>
      <c r="I103" s="10" t="s">
        <v>812</v>
      </c>
      <c r="J103" s="118">
        <v>42913.103046053198</v>
      </c>
      <c r="K103" s="11">
        <v>3</v>
      </c>
      <c r="L103" s="10">
        <v>436</v>
      </c>
    </row>
    <row r="104" spans="1:14" s="10" customFormat="1">
      <c r="A104" s="95">
        <v>42625.416666666701</v>
      </c>
      <c r="B104" s="18">
        <v>1.0416666666666701E-2</v>
      </c>
      <c r="C104" s="20" t="s">
        <v>105</v>
      </c>
      <c r="D104" s="20" t="s">
        <v>48</v>
      </c>
      <c r="E104" s="10" t="s">
        <v>476</v>
      </c>
      <c r="F104" s="10" t="s">
        <v>809</v>
      </c>
      <c r="G104" s="10" t="s">
        <v>810</v>
      </c>
      <c r="H104" s="10" t="s">
        <v>811</v>
      </c>
      <c r="I104" s="10" t="s">
        <v>812</v>
      </c>
      <c r="J104" s="118">
        <v>42913.082212627298</v>
      </c>
      <c r="K104" s="11">
        <v>3</v>
      </c>
      <c r="L104" s="10">
        <v>455</v>
      </c>
    </row>
    <row r="105" spans="1:14" s="10" customFormat="1">
      <c r="A105" s="95">
        <v>42625.416666666701</v>
      </c>
      <c r="B105" s="18">
        <v>1.0416666666666701E-2</v>
      </c>
      <c r="C105" s="20" t="s">
        <v>105</v>
      </c>
      <c r="D105" s="20" t="s">
        <v>48</v>
      </c>
      <c r="E105" s="10" t="s">
        <v>476</v>
      </c>
      <c r="F105" s="10" t="s">
        <v>809</v>
      </c>
      <c r="G105" s="10" t="s">
        <v>810</v>
      </c>
      <c r="H105" s="10" t="s">
        <v>811</v>
      </c>
      <c r="I105" s="10" t="s">
        <v>812</v>
      </c>
      <c r="J105" s="118">
        <v>42913.061379224499</v>
      </c>
      <c r="K105" s="11">
        <v>3</v>
      </c>
      <c r="L105" s="10">
        <v>559</v>
      </c>
    </row>
    <row r="106" spans="1:14" s="10" customFormat="1">
      <c r="A106" s="95">
        <v>42625.416666666701</v>
      </c>
      <c r="B106" s="18">
        <v>1.0416666666666701E-2</v>
      </c>
      <c r="C106" s="20" t="s">
        <v>105</v>
      </c>
      <c r="D106" s="20" t="s">
        <v>48</v>
      </c>
      <c r="E106" s="10" t="s">
        <v>476</v>
      </c>
      <c r="F106" s="10" t="s">
        <v>809</v>
      </c>
      <c r="G106" s="10" t="s">
        <v>810</v>
      </c>
      <c r="H106" s="10" t="s">
        <v>811</v>
      </c>
      <c r="I106" s="10" t="s">
        <v>812</v>
      </c>
      <c r="J106" s="118">
        <v>42913.040545844902</v>
      </c>
      <c r="K106" s="11">
        <v>3</v>
      </c>
      <c r="L106" s="10">
        <v>594</v>
      </c>
    </row>
    <row r="107" spans="1:14" s="10" customFormat="1">
      <c r="A107" s="95">
        <v>42625.416666666701</v>
      </c>
      <c r="B107" s="18">
        <v>1.0416666666666701E-2</v>
      </c>
      <c r="C107" s="20" t="s">
        <v>105</v>
      </c>
      <c r="D107" s="20" t="s">
        <v>48</v>
      </c>
      <c r="E107" s="10" t="s">
        <v>476</v>
      </c>
      <c r="F107" s="10" t="s">
        <v>809</v>
      </c>
      <c r="G107" s="10" t="s">
        <v>810</v>
      </c>
      <c r="H107" s="10" t="s">
        <v>811</v>
      </c>
      <c r="I107" s="10" t="s">
        <v>812</v>
      </c>
      <c r="J107" s="118">
        <v>42913.019712499998</v>
      </c>
      <c r="K107" s="11">
        <v>3</v>
      </c>
      <c r="L107" s="10">
        <v>617</v>
      </c>
    </row>
    <row r="108" spans="1:14" s="10" customFormat="1">
      <c r="A108" s="95">
        <v>42625.416666666701</v>
      </c>
      <c r="B108" s="18">
        <v>1.0416666666666701E-2</v>
      </c>
      <c r="C108" s="20" t="s">
        <v>105</v>
      </c>
      <c r="D108" s="20" t="s">
        <v>48</v>
      </c>
      <c r="E108" s="10" t="s">
        <v>476</v>
      </c>
      <c r="F108" s="10" t="s">
        <v>809</v>
      </c>
      <c r="G108" s="10" t="s">
        <v>810</v>
      </c>
      <c r="H108" s="10" t="s">
        <v>811</v>
      </c>
      <c r="I108" s="10" t="s">
        <v>812</v>
      </c>
      <c r="J108" s="118">
        <v>42912.998879120401</v>
      </c>
      <c r="K108" s="11">
        <v>3</v>
      </c>
      <c r="L108" s="10">
        <v>652</v>
      </c>
    </row>
    <row r="109" spans="1:14" s="10" customFormat="1">
      <c r="A109" s="95">
        <v>42625.416666666701</v>
      </c>
      <c r="B109" s="18">
        <v>1.0416666666666701E-2</v>
      </c>
      <c r="C109" s="20" t="s">
        <v>105</v>
      </c>
      <c r="D109" s="20" t="s">
        <v>48</v>
      </c>
      <c r="E109" s="10" t="s">
        <v>476</v>
      </c>
      <c r="F109" s="10" t="s">
        <v>813</v>
      </c>
      <c r="G109" s="10" t="s">
        <v>814</v>
      </c>
      <c r="H109" s="10" t="s">
        <v>811</v>
      </c>
      <c r="I109" s="10" t="s">
        <v>815</v>
      </c>
      <c r="J109" s="118">
        <v>42911.189270254603</v>
      </c>
      <c r="K109" s="11">
        <v>19</v>
      </c>
      <c r="L109" s="10">
        <v>3650</v>
      </c>
    </row>
    <row r="110" spans="1:14" s="10" customFormat="1">
      <c r="A110" s="95">
        <v>42625.416666666701</v>
      </c>
      <c r="B110" s="18">
        <v>1.0416666666666701E-2</v>
      </c>
      <c r="C110" s="20" t="s">
        <v>105</v>
      </c>
      <c r="D110" s="20" t="s">
        <v>48</v>
      </c>
      <c r="E110" s="10" t="s">
        <v>476</v>
      </c>
      <c r="F110" s="10" t="s">
        <v>813</v>
      </c>
      <c r="G110" s="10" t="s">
        <v>814</v>
      </c>
      <c r="H110" s="10" t="s">
        <v>811</v>
      </c>
      <c r="I110" s="10" t="s">
        <v>816</v>
      </c>
      <c r="J110" s="118">
        <v>42911.187318842603</v>
      </c>
      <c r="K110" s="11">
        <v>1</v>
      </c>
      <c r="L110" s="10">
        <v>3673</v>
      </c>
    </row>
    <row r="111" spans="1:14" s="10" customFormat="1">
      <c r="A111" s="95">
        <v>42625.416666666701</v>
      </c>
      <c r="B111" s="18">
        <v>1.0416666666666701E-2</v>
      </c>
      <c r="C111" s="20" t="s">
        <v>105</v>
      </c>
      <c r="D111" s="20" t="s">
        <v>48</v>
      </c>
      <c r="E111" s="10" t="s">
        <v>476</v>
      </c>
      <c r="F111" s="10" t="s">
        <v>813</v>
      </c>
      <c r="G111" s="10" t="s">
        <v>814</v>
      </c>
      <c r="H111" s="10" t="s">
        <v>811</v>
      </c>
      <c r="I111" s="10" t="s">
        <v>817</v>
      </c>
      <c r="J111" s="118">
        <v>42911.055489398103</v>
      </c>
      <c r="K111" s="11">
        <v>16</v>
      </c>
      <c r="L111" s="10">
        <v>4099</v>
      </c>
    </row>
    <row r="112" spans="1:14" s="10" customFormat="1">
      <c r="A112" s="95">
        <v>42625.416666666701</v>
      </c>
      <c r="B112" s="18">
        <v>1.0416666666666701E-2</v>
      </c>
      <c r="C112" s="20" t="s">
        <v>105</v>
      </c>
      <c r="D112" s="20" t="s">
        <v>48</v>
      </c>
      <c r="E112" s="10" t="s">
        <v>476</v>
      </c>
      <c r="F112" s="10" t="s">
        <v>813</v>
      </c>
      <c r="G112" s="10" t="s">
        <v>814</v>
      </c>
      <c r="H112" s="10" t="s">
        <v>811</v>
      </c>
      <c r="I112" s="10" t="s">
        <v>808</v>
      </c>
      <c r="J112" s="118">
        <v>42910.411132743102</v>
      </c>
      <c r="K112" s="11">
        <v>1</v>
      </c>
      <c r="L112" s="10">
        <v>5949</v>
      </c>
    </row>
    <row r="113" spans="1:12" s="10" customFormat="1">
      <c r="A113" s="95">
        <v>42625.416666666701</v>
      </c>
      <c r="B113" s="18">
        <v>1.0416666666666701E-2</v>
      </c>
      <c r="C113" s="20" t="s">
        <v>105</v>
      </c>
      <c r="D113" s="20" t="s">
        <v>48</v>
      </c>
      <c r="E113" s="10" t="s">
        <v>476</v>
      </c>
      <c r="F113" s="10" t="s">
        <v>813</v>
      </c>
      <c r="G113" s="10" t="s">
        <v>814</v>
      </c>
      <c r="H113" s="10" t="s">
        <v>811</v>
      </c>
      <c r="I113" s="10" t="s">
        <v>818</v>
      </c>
      <c r="J113" s="118">
        <v>42910.4011363194</v>
      </c>
      <c r="K113" s="11">
        <v>1</v>
      </c>
      <c r="L113" s="10">
        <v>6021</v>
      </c>
    </row>
    <row r="114" spans="1:12" s="10" customFormat="1">
      <c r="A114" s="95">
        <v>42625.416666666701</v>
      </c>
      <c r="B114" s="18">
        <v>1.0416666666666701E-2</v>
      </c>
      <c r="C114" s="20" t="s">
        <v>105</v>
      </c>
      <c r="D114" s="20" t="s">
        <v>48</v>
      </c>
      <c r="E114" s="10" t="s">
        <v>476</v>
      </c>
      <c r="F114" s="10" t="s">
        <v>813</v>
      </c>
      <c r="G114" s="10" t="s">
        <v>814</v>
      </c>
      <c r="H114" s="10" t="s">
        <v>811</v>
      </c>
      <c r="I114" s="10" t="s">
        <v>819</v>
      </c>
      <c r="J114" s="118">
        <v>42910.350493796301</v>
      </c>
      <c r="K114" s="11">
        <v>1</v>
      </c>
      <c r="L114" s="10">
        <v>6233</v>
      </c>
    </row>
  </sheetData>
  <autoFilter ref="A2:H2"/>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1" customWidth="1"/>
    <col min="4" max="4" width="7" style="169"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36" t="s">
        <v>291</v>
      </c>
      <c r="B2" s="227"/>
      <c r="C2" s="227"/>
      <c r="D2" s="227"/>
      <c r="E2" s="227"/>
      <c r="F2" s="227"/>
      <c r="G2" s="227"/>
      <c r="H2" s="227"/>
      <c r="I2" s="227"/>
      <c r="J2" s="237"/>
      <c r="M2" s="236" t="s">
        <v>291</v>
      </c>
      <c r="N2" s="227"/>
      <c r="O2" s="227"/>
      <c r="P2" s="227"/>
      <c r="Q2" s="227"/>
      <c r="R2" s="227"/>
      <c r="S2" s="227"/>
      <c r="T2" s="227"/>
      <c r="U2" s="227"/>
      <c r="V2" s="237"/>
      <c r="W2" s="171"/>
    </row>
    <row r="3" spans="1:24">
      <c r="C3" s="132"/>
      <c r="D3" s="170"/>
      <c r="E3" s="132"/>
      <c r="H3" s="132"/>
      <c r="M3" s="171"/>
      <c r="N3" s="171"/>
      <c r="O3" s="172"/>
      <c r="P3" s="172"/>
      <c r="Q3" s="172"/>
      <c r="T3" s="172"/>
      <c r="W3" s="171"/>
    </row>
    <row r="4" spans="1:24">
      <c r="A4" s="179" t="s">
        <v>147</v>
      </c>
      <c r="B4" s="180" t="s">
        <v>16</v>
      </c>
      <c r="E4" s="30"/>
      <c r="F4" s="179" t="s">
        <v>147</v>
      </c>
      <c r="G4" s="180" t="s">
        <v>16</v>
      </c>
      <c r="H4" s="30"/>
      <c r="I4" s="179" t="s">
        <v>147</v>
      </c>
      <c r="J4" s="180" t="s">
        <v>16</v>
      </c>
      <c r="M4" s="179" t="s">
        <v>147</v>
      </c>
      <c r="N4" s="180" t="s">
        <v>16</v>
      </c>
      <c r="O4" s="171"/>
      <c r="P4" s="171"/>
      <c r="Q4" s="30"/>
      <c r="R4" s="179" t="s">
        <v>147</v>
      </c>
      <c r="S4" s="180" t="s">
        <v>16</v>
      </c>
      <c r="T4" s="30"/>
      <c r="U4" s="179" t="s">
        <v>147</v>
      </c>
      <c r="V4" s="180" t="s">
        <v>16</v>
      </c>
      <c r="W4" s="171"/>
    </row>
    <row r="5" spans="1:24">
      <c r="A5" s="179" t="s">
        <v>0</v>
      </c>
      <c r="B5" s="180" t="s">
        <v>16</v>
      </c>
      <c r="E5" s="30"/>
      <c r="F5" s="179" t="s">
        <v>0</v>
      </c>
      <c r="G5" s="180" t="s">
        <v>16</v>
      </c>
      <c r="H5" s="30"/>
      <c r="I5" s="179" t="s">
        <v>0</v>
      </c>
      <c r="J5" s="180" t="s">
        <v>16</v>
      </c>
      <c r="M5" s="179" t="s">
        <v>0</v>
      </c>
      <c r="N5" s="180" t="s">
        <v>16</v>
      </c>
      <c r="O5" s="171"/>
      <c r="P5" s="171"/>
      <c r="Q5" s="30"/>
      <c r="R5" s="179" t="s">
        <v>0</v>
      </c>
      <c r="S5" s="180" t="s">
        <v>16</v>
      </c>
      <c r="T5" s="30"/>
      <c r="U5" s="179" t="s">
        <v>0</v>
      </c>
      <c r="V5" s="180" t="s">
        <v>16</v>
      </c>
      <c r="W5" s="171"/>
    </row>
    <row r="6" spans="1:24">
      <c r="A6" s="179" t="s">
        <v>3</v>
      </c>
      <c r="B6" s="180" t="s">
        <v>550</v>
      </c>
      <c r="E6" s="30"/>
      <c r="F6" s="179" t="s">
        <v>3</v>
      </c>
      <c r="G6" s="180" t="s">
        <v>554</v>
      </c>
      <c r="H6" s="30"/>
      <c r="I6" s="179" t="s">
        <v>3</v>
      </c>
      <c r="J6" s="180" t="s">
        <v>552</v>
      </c>
      <c r="M6" s="179" t="s">
        <v>3</v>
      </c>
      <c r="N6" s="180" t="s">
        <v>736</v>
      </c>
      <c r="O6" s="171"/>
      <c r="P6" s="171"/>
      <c r="Q6" s="30"/>
      <c r="R6" s="179" t="s">
        <v>3</v>
      </c>
      <c r="S6" s="180" t="s">
        <v>740</v>
      </c>
      <c r="T6" s="30"/>
      <c r="U6" s="179" t="s">
        <v>3</v>
      </c>
      <c r="V6" s="180" t="s">
        <v>738</v>
      </c>
      <c r="W6" s="171"/>
    </row>
    <row r="7" spans="1:24">
      <c r="A7" s="131"/>
      <c r="B7" s="131"/>
      <c r="E7" s="131"/>
      <c r="F7" s="131"/>
      <c r="G7" s="131"/>
      <c r="H7" s="131"/>
      <c r="I7" s="131"/>
      <c r="J7" s="131"/>
      <c r="M7" s="171"/>
      <c r="N7" s="171"/>
      <c r="O7" s="171"/>
      <c r="P7" s="171"/>
      <c r="Q7" s="171"/>
      <c r="R7" s="171"/>
      <c r="S7" s="171"/>
      <c r="T7" s="171"/>
      <c r="U7" s="171"/>
      <c r="V7" s="171"/>
      <c r="W7" s="171"/>
    </row>
    <row r="8" spans="1:24">
      <c r="A8" s="179" t="s">
        <v>720</v>
      </c>
      <c r="B8" s="180" t="s">
        <v>622</v>
      </c>
      <c r="C8" s="180" t="s">
        <v>239</v>
      </c>
      <c r="D8" s="180" t="s">
        <v>521</v>
      </c>
      <c r="E8" s="131"/>
      <c r="F8" s="179" t="s">
        <v>720</v>
      </c>
      <c r="G8" s="29" t="s">
        <v>285</v>
      </c>
      <c r="H8" s="131"/>
      <c r="I8" s="179" t="s">
        <v>720</v>
      </c>
      <c r="J8" s="180" t="s">
        <v>623</v>
      </c>
      <c r="K8" s="180" t="s">
        <v>521</v>
      </c>
      <c r="M8" s="179" t="s">
        <v>720</v>
      </c>
      <c r="N8" s="180" t="s">
        <v>622</v>
      </c>
      <c r="O8" s="180" t="s">
        <v>239</v>
      </c>
      <c r="P8" s="180" t="s">
        <v>521</v>
      </c>
      <c r="Q8" s="171"/>
      <c r="R8" s="179" t="s">
        <v>720</v>
      </c>
      <c r="S8" s="29" t="s">
        <v>285</v>
      </c>
      <c r="T8" s="171"/>
      <c r="U8" s="179" t="s">
        <v>720</v>
      </c>
      <c r="V8" s="180" t="s">
        <v>623</v>
      </c>
      <c r="W8" s="180"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9"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71"/>
    </row>
    <row r="2" spans="1:24">
      <c r="A2" s="28"/>
      <c r="B2" s="236" t="s">
        <v>291</v>
      </c>
      <c r="C2" s="227"/>
      <c r="D2" s="227"/>
      <c r="E2" s="227"/>
      <c r="F2" s="227"/>
      <c r="G2" s="227"/>
      <c r="H2" s="227"/>
      <c r="I2" s="227"/>
      <c r="J2" s="227"/>
      <c r="K2" s="237"/>
      <c r="N2" s="236" t="s">
        <v>291</v>
      </c>
      <c r="O2" s="227"/>
      <c r="P2" s="227"/>
      <c r="Q2" s="227"/>
      <c r="R2" s="227"/>
      <c r="S2" s="227"/>
      <c r="T2" s="227"/>
      <c r="U2" s="227"/>
      <c r="V2" s="227"/>
      <c r="W2" s="237"/>
      <c r="X2" s="171"/>
    </row>
    <row r="3" spans="1:24">
      <c r="A3" s="28"/>
      <c r="B3" s="179" t="s">
        <v>147</v>
      </c>
      <c r="C3" s="180" t="s">
        <v>16</v>
      </c>
      <c r="D3" s="132"/>
      <c r="E3" s="170"/>
      <c r="F3" s="132"/>
      <c r="G3" s="179" t="s">
        <v>147</v>
      </c>
      <c r="H3" s="180" t="s">
        <v>16</v>
      </c>
      <c r="I3" s="132"/>
      <c r="J3" s="179" t="s">
        <v>147</v>
      </c>
      <c r="K3" s="180" t="s">
        <v>16</v>
      </c>
      <c r="N3" s="179" t="s">
        <v>147</v>
      </c>
      <c r="O3" s="180" t="s">
        <v>16</v>
      </c>
      <c r="P3" s="172"/>
      <c r="Q3" s="172"/>
      <c r="R3" s="172"/>
      <c r="S3" s="179" t="s">
        <v>147</v>
      </c>
      <c r="T3" s="180" t="s">
        <v>16</v>
      </c>
      <c r="U3" s="172"/>
      <c r="V3" s="179" t="s">
        <v>147</v>
      </c>
      <c r="W3" s="180" t="s">
        <v>16</v>
      </c>
      <c r="X3" s="171"/>
    </row>
    <row r="4" spans="1:24">
      <c r="A4" s="28"/>
      <c r="B4" s="179" t="s">
        <v>0</v>
      </c>
      <c r="C4" s="180" t="s">
        <v>16</v>
      </c>
      <c r="F4" s="30"/>
      <c r="G4" s="179" t="s">
        <v>0</v>
      </c>
      <c r="H4" s="180" t="s">
        <v>16</v>
      </c>
      <c r="I4" s="30"/>
      <c r="J4" s="179" t="s">
        <v>0</v>
      </c>
      <c r="K4" s="180" t="s">
        <v>16</v>
      </c>
      <c r="N4" s="179" t="s">
        <v>0</v>
      </c>
      <c r="O4" s="180" t="s">
        <v>16</v>
      </c>
      <c r="P4" s="171"/>
      <c r="Q4" s="171"/>
      <c r="R4" s="30"/>
      <c r="S4" s="179" t="s">
        <v>0</v>
      </c>
      <c r="T4" s="180" t="s">
        <v>16</v>
      </c>
      <c r="U4" s="30"/>
      <c r="V4" s="179" t="s">
        <v>0</v>
      </c>
      <c r="W4" s="180" t="s">
        <v>16</v>
      </c>
      <c r="X4" s="171"/>
    </row>
    <row r="5" spans="1:24">
      <c r="A5" s="28"/>
      <c r="B5" s="179" t="s">
        <v>1</v>
      </c>
      <c r="C5" s="180" t="s">
        <v>16</v>
      </c>
      <c r="F5" s="30"/>
      <c r="G5" s="179" t="s">
        <v>1</v>
      </c>
      <c r="H5" s="180" t="s">
        <v>16</v>
      </c>
      <c r="I5" s="30"/>
      <c r="J5" s="179" t="s">
        <v>1</v>
      </c>
      <c r="K5" s="180" t="s">
        <v>16</v>
      </c>
      <c r="N5" s="179" t="s">
        <v>1</v>
      </c>
      <c r="O5" s="180" t="s">
        <v>16</v>
      </c>
      <c r="P5" s="171"/>
      <c r="Q5" s="171"/>
      <c r="R5" s="30"/>
      <c r="S5" s="179" t="s">
        <v>1</v>
      </c>
      <c r="T5" s="180" t="s">
        <v>16</v>
      </c>
      <c r="U5" s="30"/>
      <c r="V5" s="179" t="s">
        <v>1</v>
      </c>
      <c r="W5" s="180" t="s">
        <v>16</v>
      </c>
      <c r="X5" s="171"/>
    </row>
    <row r="6" spans="1:24">
      <c r="A6" s="28"/>
      <c r="B6" s="179" t="s">
        <v>3</v>
      </c>
      <c r="C6" s="180" t="s">
        <v>550</v>
      </c>
      <c r="F6" s="30"/>
      <c r="G6" s="179" t="s">
        <v>3</v>
      </c>
      <c r="H6" s="180" t="s">
        <v>554</v>
      </c>
      <c r="I6" s="30"/>
      <c r="J6" s="179" t="s">
        <v>3</v>
      </c>
      <c r="K6" s="180" t="s">
        <v>552</v>
      </c>
      <c r="N6" s="179" t="s">
        <v>3</v>
      </c>
      <c r="O6" s="180" t="s">
        <v>736</v>
      </c>
      <c r="P6" s="171"/>
      <c r="Q6" s="171"/>
      <c r="R6" s="30"/>
      <c r="S6" s="179" t="s">
        <v>3</v>
      </c>
      <c r="T6" s="180" t="s">
        <v>740</v>
      </c>
      <c r="U6" s="30"/>
      <c r="V6" s="179" t="s">
        <v>3</v>
      </c>
      <c r="W6" s="180" t="s">
        <v>738</v>
      </c>
      <c r="X6" s="171"/>
    </row>
    <row r="7" spans="1:24">
      <c r="A7" s="28"/>
      <c r="N7" s="171"/>
      <c r="O7" s="171"/>
      <c r="P7" s="171"/>
      <c r="Q7" s="171"/>
      <c r="R7" s="171"/>
      <c r="S7" s="171"/>
      <c r="T7" s="171"/>
      <c r="U7" s="171"/>
      <c r="V7" s="171"/>
      <c r="W7" s="171"/>
      <c r="X7" s="171"/>
    </row>
    <row r="8" spans="1:24">
      <c r="A8" s="22" t="s">
        <v>680</v>
      </c>
      <c r="B8" s="179" t="s">
        <v>286</v>
      </c>
      <c r="C8" s="180" t="s">
        <v>622</v>
      </c>
      <c r="D8" s="180" t="s">
        <v>239</v>
      </c>
      <c r="E8" s="180" t="s">
        <v>521</v>
      </c>
      <c r="G8" s="179" t="s">
        <v>286</v>
      </c>
      <c r="H8" s="29" t="s">
        <v>285</v>
      </c>
      <c r="J8" s="179" t="s">
        <v>286</v>
      </c>
      <c r="K8" s="180" t="s">
        <v>623</v>
      </c>
      <c r="L8" s="180" t="s">
        <v>521</v>
      </c>
      <c r="N8" s="179" t="s">
        <v>286</v>
      </c>
      <c r="O8" s="180" t="s">
        <v>622</v>
      </c>
      <c r="P8" s="180" t="s">
        <v>239</v>
      </c>
      <c r="Q8" s="180" t="s">
        <v>521</v>
      </c>
      <c r="R8" s="171"/>
      <c r="S8" s="179" t="s">
        <v>286</v>
      </c>
      <c r="T8" s="29" t="s">
        <v>285</v>
      </c>
      <c r="U8" s="171"/>
      <c r="V8" s="179" t="s">
        <v>286</v>
      </c>
      <c r="W8" s="180" t="s">
        <v>623</v>
      </c>
      <c r="X8" s="180"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19" t="s">
        <v>735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112"/>
      <c r="B1" s="112"/>
      <c r="C1" s="112"/>
      <c r="D1" s="112"/>
      <c r="E1" s="112"/>
      <c r="F1" s="112"/>
      <c r="G1" s="112"/>
      <c r="H1" s="112"/>
      <c r="I1" s="216" t="s">
        <v>88</v>
      </c>
      <c r="J1" s="247" t="s">
        <v>88</v>
      </c>
      <c r="K1" s="217" t="s">
        <v>88</v>
      </c>
      <c r="L1" s="217" t="s">
        <v>88</v>
      </c>
      <c r="M1" s="248" t="s">
        <v>88</v>
      </c>
      <c r="N1" s="217" t="s">
        <v>88</v>
      </c>
      <c r="O1" s="248" t="s">
        <v>88</v>
      </c>
      <c r="P1" s="217" t="s">
        <v>88</v>
      </c>
      <c r="Q1" s="248" t="s">
        <v>88</v>
      </c>
      <c r="R1" s="248" t="s">
        <v>88</v>
      </c>
      <c r="S1" s="248" t="s">
        <v>88</v>
      </c>
      <c r="T1" s="248" t="s">
        <v>88</v>
      </c>
      <c r="U1" s="248" t="s">
        <v>88</v>
      </c>
      <c r="V1" s="248" t="s">
        <v>88</v>
      </c>
      <c r="W1" s="217" t="s">
        <v>88</v>
      </c>
      <c r="X1" s="249" t="s">
        <v>88</v>
      </c>
      <c r="Y1" s="158"/>
      <c r="Z1" s="246" t="s">
        <v>253</v>
      </c>
      <c r="AA1" s="250" t="s">
        <v>253</v>
      </c>
      <c r="AB1" s="250" t="s">
        <v>253</v>
      </c>
      <c r="AC1" s="251" t="s">
        <v>253</v>
      </c>
      <c r="AD1" s="246" t="s">
        <v>557</v>
      </c>
      <c r="AE1" s="250" t="s">
        <v>557</v>
      </c>
      <c r="AF1" s="248" t="s">
        <v>557</v>
      </c>
      <c r="AG1" s="248" t="s">
        <v>557</v>
      </c>
      <c r="AH1" s="252" t="s">
        <v>557</v>
      </c>
      <c r="AI1" s="246" t="s">
        <v>624</v>
      </c>
      <c r="AJ1" s="253" t="s">
        <v>624</v>
      </c>
      <c r="AK1" s="248" t="s">
        <v>624</v>
      </c>
      <c r="AL1" s="248" t="s">
        <v>624</v>
      </c>
      <c r="AM1" s="252" t="s">
        <v>624</v>
      </c>
      <c r="AN1" s="246" t="s">
        <v>687</v>
      </c>
      <c r="AO1" s="249" t="s">
        <v>687</v>
      </c>
      <c r="AP1" s="246" t="s">
        <v>745</v>
      </c>
      <c r="AQ1" s="220" t="s">
        <v>745</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712</v>
      </c>
      <c r="N2" s="113" t="s">
        <v>713</v>
      </c>
      <c r="O2" s="113" t="s">
        <v>714</v>
      </c>
      <c r="P2" s="113" t="s">
        <v>715</v>
      </c>
      <c r="Q2" s="113" t="s">
        <v>565</v>
      </c>
      <c r="R2" s="113" t="s">
        <v>566</v>
      </c>
      <c r="S2" s="113" t="s">
        <v>716</v>
      </c>
      <c r="T2" s="113" t="s">
        <v>567</v>
      </c>
      <c r="U2" s="113" t="s">
        <v>742</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743</v>
      </c>
      <c r="AQ2" s="16" t="s">
        <v>744</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746</v>
      </c>
      <c r="C8" s="10" t="s">
        <v>50</v>
      </c>
      <c r="D8" s="20" t="s">
        <v>48</v>
      </c>
      <c r="E8" s="10" t="s">
        <v>557</v>
      </c>
      <c r="F8" s="19" t="s">
        <v>47</v>
      </c>
      <c r="G8" s="19" t="s">
        <v>49</v>
      </c>
      <c r="H8" s="118">
        <v>42872.467159942098</v>
      </c>
      <c r="I8" s="10" t="s">
        <v>746</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c r="H99" s="10" t="s">
        <v>704</v>
      </c>
      <c r="I99" s="24"/>
      <c r="J99" s="10" t="b">
        <v>1</v>
      </c>
      <c r="K99" s="10"/>
    </row>
    <row r="100" spans="1:12">
      <c r="A100" s="10" t="s">
        <v>154</v>
      </c>
      <c r="B100" s="153" t="s">
        <v>50</v>
      </c>
      <c r="C100" s="153" t="s">
        <v>48</v>
      </c>
      <c r="D100" s="153" t="s">
        <v>47</v>
      </c>
      <c r="E100" s="153" t="s">
        <v>49</v>
      </c>
      <c r="F100" s="10" t="s">
        <v>703</v>
      </c>
      <c r="G100" s="10"/>
      <c r="H100" s="10" t="s">
        <v>705</v>
      </c>
      <c r="I100" s="24"/>
      <c r="J100" s="10" t="b">
        <v>1</v>
      </c>
      <c r="K100" s="10"/>
    </row>
    <row r="101" spans="1:12">
      <c r="A101" s="10" t="s">
        <v>154</v>
      </c>
      <c r="B101" s="153" t="s">
        <v>50</v>
      </c>
      <c r="C101" s="153" t="s">
        <v>48</v>
      </c>
      <c r="D101" s="153" t="s">
        <v>47</v>
      </c>
      <c r="E101" s="153" t="s">
        <v>49</v>
      </c>
      <c r="F101" s="10" t="s">
        <v>703</v>
      </c>
      <c r="G101" s="10"/>
      <c r="H101" s="10" t="s">
        <v>706</v>
      </c>
      <c r="I101" s="24"/>
      <c r="J101" s="10" t="b">
        <v>1</v>
      </c>
      <c r="K101" s="10"/>
    </row>
    <row r="102" spans="1:12">
      <c r="A102" s="10" t="s">
        <v>154</v>
      </c>
      <c r="B102" s="153" t="s">
        <v>50</v>
      </c>
      <c r="C102" s="153" t="s">
        <v>48</v>
      </c>
      <c r="D102" s="153" t="s">
        <v>47</v>
      </c>
      <c r="E102" s="153" t="s">
        <v>49</v>
      </c>
      <c r="F102" s="10" t="s">
        <v>703</v>
      </c>
      <c r="G102" s="10"/>
      <c r="H102" s="10" t="s">
        <v>707</v>
      </c>
      <c r="I102" s="24"/>
      <c r="J102" s="10" t="b">
        <v>1</v>
      </c>
      <c r="K102" s="10"/>
    </row>
    <row r="103" spans="1:12">
      <c r="A103" s="10" t="s">
        <v>154</v>
      </c>
      <c r="B103" s="153" t="s">
        <v>50</v>
      </c>
      <c r="C103" s="153" t="s">
        <v>48</v>
      </c>
      <c r="D103" s="153" t="s">
        <v>47</v>
      </c>
      <c r="E103" s="153" t="s">
        <v>49</v>
      </c>
      <c r="F103" s="10" t="s">
        <v>703</v>
      </c>
      <c r="G103" s="10"/>
      <c r="H103" s="10" t="s">
        <v>704</v>
      </c>
      <c r="I103" s="24"/>
      <c r="J103" s="10" t="b">
        <v>1</v>
      </c>
      <c r="K103" s="10"/>
    </row>
    <row r="104" spans="1:12">
      <c r="A104" s="10" t="s">
        <v>154</v>
      </c>
      <c r="B104" s="153" t="s">
        <v>50</v>
      </c>
      <c r="C104" s="153" t="s">
        <v>48</v>
      </c>
      <c r="D104" s="153" t="s">
        <v>47</v>
      </c>
      <c r="E104" s="153" t="s">
        <v>49</v>
      </c>
      <c r="F104" s="10" t="s">
        <v>703</v>
      </c>
      <c r="G104" s="10"/>
      <c r="H104" s="10" t="s">
        <v>708</v>
      </c>
      <c r="I104" s="24"/>
      <c r="J104" s="10" t="b">
        <v>1</v>
      </c>
      <c r="K104" s="10"/>
    </row>
    <row r="105" spans="1:12">
      <c r="A105" s="10" t="s">
        <v>154</v>
      </c>
      <c r="B105" s="153" t="s">
        <v>50</v>
      </c>
      <c r="C105" s="153" t="s">
        <v>48</v>
      </c>
      <c r="D105" s="153" t="s">
        <v>47</v>
      </c>
      <c r="E105" s="153" t="s">
        <v>49</v>
      </c>
      <c r="F105" s="10" t="s">
        <v>703</v>
      </c>
      <c r="G105" s="10"/>
      <c r="H105" s="10" t="s">
        <v>704</v>
      </c>
      <c r="I105" s="24"/>
      <c r="J105" s="10" t="b">
        <v>1</v>
      </c>
      <c r="K105" s="10"/>
    </row>
    <row r="106" spans="1:12">
      <c r="A106" s="10" t="s">
        <v>154</v>
      </c>
      <c r="B106" s="153" t="s">
        <v>50</v>
      </c>
      <c r="C106" s="153" t="s">
        <v>48</v>
      </c>
      <c r="D106" s="153" t="s">
        <v>47</v>
      </c>
      <c r="E106" s="153" t="s">
        <v>49</v>
      </c>
      <c r="F106" s="10" t="s">
        <v>703</v>
      </c>
      <c r="G106" s="10"/>
      <c r="H106" s="10" t="s">
        <v>709</v>
      </c>
      <c r="I106" s="24"/>
      <c r="J106" s="10" t="b">
        <v>1</v>
      </c>
      <c r="K106" s="10"/>
    </row>
    <row r="107" spans="1:12">
      <c r="A107" s="10" t="s">
        <v>154</v>
      </c>
      <c r="B107" s="153" t="s">
        <v>50</v>
      </c>
      <c r="C107" s="153" t="s">
        <v>48</v>
      </c>
      <c r="D107" s="153" t="s">
        <v>47</v>
      </c>
      <c r="E107" s="153" t="s">
        <v>49</v>
      </c>
      <c r="F107" s="10" t="s">
        <v>703</v>
      </c>
      <c r="G107" s="10"/>
      <c r="H107" s="10" t="s">
        <v>710</v>
      </c>
      <c r="I107" s="24"/>
      <c r="J107" s="10" t="b">
        <v>1</v>
      </c>
      <c r="K107" s="10"/>
    </row>
    <row r="108" spans="1:12" s="10" customFormat="1">
      <c r="A108" s="10" t="s">
        <v>152</v>
      </c>
      <c r="B108" s="171" t="s">
        <v>50</v>
      </c>
      <c r="C108" s="171" t="s">
        <v>48</v>
      </c>
      <c r="D108" s="171" t="s">
        <v>47</v>
      </c>
      <c r="E108" s="19" t="s">
        <v>741</v>
      </c>
      <c r="F108" s="10" t="s">
        <v>736</v>
      </c>
      <c r="G108" s="10">
        <v>1574</v>
      </c>
      <c r="H108" s="10" t="s">
        <v>34</v>
      </c>
      <c r="I108" s="24"/>
      <c r="J108" s="10" t="b">
        <v>1</v>
      </c>
      <c r="K108" s="10">
        <v>1574</v>
      </c>
      <c r="L108" s="10">
        <v>58</v>
      </c>
    </row>
    <row r="109" spans="1:12" s="10" customFormat="1">
      <c r="A109" s="10" t="s">
        <v>152</v>
      </c>
      <c r="B109" s="171" t="s">
        <v>50</v>
      </c>
      <c r="C109" s="171" t="s">
        <v>48</v>
      </c>
      <c r="D109" s="171" t="s">
        <v>47</v>
      </c>
      <c r="E109" s="19" t="s">
        <v>741</v>
      </c>
      <c r="F109" s="10" t="s">
        <v>737</v>
      </c>
      <c r="G109" s="10">
        <v>111</v>
      </c>
      <c r="H109" s="10" t="s">
        <v>34</v>
      </c>
      <c r="I109" s="24"/>
      <c r="J109" s="10" t="b">
        <v>1</v>
      </c>
      <c r="K109" s="10">
        <v>111</v>
      </c>
      <c r="L109" s="10">
        <v>58</v>
      </c>
    </row>
    <row r="110" spans="1:12" s="10" customFormat="1">
      <c r="A110" s="10" t="s">
        <v>152</v>
      </c>
      <c r="B110" s="171" t="s">
        <v>50</v>
      </c>
      <c r="C110" s="171" t="s">
        <v>48</v>
      </c>
      <c r="D110" s="171" t="s">
        <v>47</v>
      </c>
      <c r="E110" s="19" t="s">
        <v>741</v>
      </c>
      <c r="F110" s="10" t="s">
        <v>738</v>
      </c>
      <c r="G110" s="10">
        <v>550.5</v>
      </c>
      <c r="H110" s="10" t="s">
        <v>34</v>
      </c>
      <c r="I110" s="24"/>
      <c r="J110" s="10" t="b">
        <v>1</v>
      </c>
      <c r="K110" s="10">
        <v>550.5</v>
      </c>
      <c r="L110" s="10">
        <v>58</v>
      </c>
    </row>
    <row r="111" spans="1:12" s="10" customFormat="1">
      <c r="A111" s="10" t="s">
        <v>152</v>
      </c>
      <c r="B111" s="171" t="s">
        <v>50</v>
      </c>
      <c r="C111" s="171" t="s">
        <v>48</v>
      </c>
      <c r="D111" s="171" t="s">
        <v>47</v>
      </c>
      <c r="E111" s="19" t="s">
        <v>741</v>
      </c>
      <c r="F111" s="10" t="s">
        <v>739</v>
      </c>
      <c r="G111" s="10">
        <v>441.62229336843944</v>
      </c>
      <c r="H111" s="10" t="s">
        <v>34</v>
      </c>
      <c r="I111" s="24"/>
      <c r="J111" s="10" t="b">
        <v>1</v>
      </c>
      <c r="K111" s="10">
        <v>441.62229336843944</v>
      </c>
      <c r="L111" s="10">
        <v>58</v>
      </c>
    </row>
    <row r="112" spans="1:12" s="10" customFormat="1">
      <c r="A112" s="10" t="s">
        <v>152</v>
      </c>
      <c r="B112" s="171" t="s">
        <v>50</v>
      </c>
      <c r="C112" s="171" t="s">
        <v>48</v>
      </c>
      <c r="D112" s="171" t="s">
        <v>47</v>
      </c>
      <c r="E112" s="19" t="s">
        <v>741</v>
      </c>
      <c r="F112" s="10" t="s">
        <v>740</v>
      </c>
      <c r="G112" s="10">
        <v>8</v>
      </c>
      <c r="I112" s="24"/>
      <c r="J112" s="10" t="b">
        <v>1</v>
      </c>
      <c r="K112" s="10">
        <v>8</v>
      </c>
      <c r="L112" s="10">
        <v>58</v>
      </c>
    </row>
    <row r="113" spans="1:12" s="10" customFormat="1">
      <c r="A113" s="10" t="s">
        <v>152</v>
      </c>
      <c r="B113" s="171" t="s">
        <v>50</v>
      </c>
      <c r="C113" s="171" t="s">
        <v>48</v>
      </c>
      <c r="D113" s="171" t="s">
        <v>47</v>
      </c>
      <c r="E113" s="19" t="s">
        <v>741</v>
      </c>
      <c r="F113" s="10" t="s">
        <v>736</v>
      </c>
      <c r="G113" s="10">
        <v>240</v>
      </c>
      <c r="H113" s="10" t="s">
        <v>34</v>
      </c>
      <c r="I113" s="24"/>
      <c r="J113" s="10" t="b">
        <v>1</v>
      </c>
      <c r="K113" s="10">
        <v>240</v>
      </c>
      <c r="L113" s="10">
        <v>45</v>
      </c>
    </row>
    <row r="114" spans="1:12" s="10" customFormat="1">
      <c r="A114" s="10" t="s">
        <v>152</v>
      </c>
      <c r="B114" s="171" t="s">
        <v>50</v>
      </c>
      <c r="C114" s="171" t="s">
        <v>48</v>
      </c>
      <c r="D114" s="171" t="s">
        <v>47</v>
      </c>
      <c r="E114" s="19" t="s">
        <v>741</v>
      </c>
      <c r="F114" s="10" t="s">
        <v>737</v>
      </c>
      <c r="G114" s="10">
        <v>166</v>
      </c>
      <c r="H114" s="10" t="s">
        <v>34</v>
      </c>
      <c r="I114" s="24"/>
      <c r="J114" s="10" t="b">
        <v>1</v>
      </c>
      <c r="K114" s="10">
        <v>166</v>
      </c>
      <c r="L114" s="10">
        <v>45</v>
      </c>
    </row>
    <row r="115" spans="1:12" s="10" customFormat="1">
      <c r="A115" s="10" t="s">
        <v>152</v>
      </c>
      <c r="B115" s="171" t="s">
        <v>50</v>
      </c>
      <c r="C115" s="171" t="s">
        <v>48</v>
      </c>
      <c r="D115" s="171" t="s">
        <v>47</v>
      </c>
      <c r="E115" s="19" t="s">
        <v>741</v>
      </c>
      <c r="F115" s="10" t="s">
        <v>738</v>
      </c>
      <c r="G115" s="10">
        <v>201.33333333333334</v>
      </c>
      <c r="H115" s="10" t="s">
        <v>34</v>
      </c>
      <c r="I115" s="24"/>
      <c r="J115" s="10" t="b">
        <v>1</v>
      </c>
      <c r="K115" s="10">
        <v>201.33333333333334</v>
      </c>
      <c r="L115" s="10">
        <v>45</v>
      </c>
    </row>
    <row r="116" spans="1:12" s="10" customFormat="1">
      <c r="A116" s="10" t="s">
        <v>152</v>
      </c>
      <c r="B116" s="171" t="s">
        <v>50</v>
      </c>
      <c r="C116" s="171" t="s">
        <v>48</v>
      </c>
      <c r="D116" s="171" t="s">
        <v>47</v>
      </c>
      <c r="E116" s="19" t="s">
        <v>741</v>
      </c>
      <c r="F116" s="10" t="s">
        <v>739</v>
      </c>
      <c r="G116" s="10">
        <v>30.302181806302698</v>
      </c>
      <c r="H116" s="10" t="s">
        <v>34</v>
      </c>
      <c r="I116" s="24"/>
      <c r="J116" s="10" t="b">
        <v>1</v>
      </c>
      <c r="K116" s="10">
        <v>30.302181806302698</v>
      </c>
      <c r="L116" s="10">
        <v>45</v>
      </c>
    </row>
    <row r="117" spans="1:12" s="10" customFormat="1">
      <c r="A117" s="10" t="s">
        <v>152</v>
      </c>
      <c r="B117" s="171" t="s">
        <v>50</v>
      </c>
      <c r="C117" s="171" t="s">
        <v>48</v>
      </c>
      <c r="D117" s="171" t="s">
        <v>47</v>
      </c>
      <c r="E117" s="19" t="s">
        <v>741</v>
      </c>
      <c r="F117" s="10" t="s">
        <v>740</v>
      </c>
      <c r="G117" s="10">
        <v>3</v>
      </c>
      <c r="I117" s="24"/>
      <c r="J117" s="10" t="b">
        <v>1</v>
      </c>
      <c r="K117" s="10">
        <v>3</v>
      </c>
      <c r="L117" s="10">
        <v>45</v>
      </c>
    </row>
    <row r="118" spans="1:12" s="10" customFormat="1">
      <c r="A118" s="10" t="s">
        <v>152</v>
      </c>
      <c r="B118" s="177" t="s">
        <v>50</v>
      </c>
      <c r="C118" s="177" t="s">
        <v>48</v>
      </c>
      <c r="F118" s="10" t="s">
        <v>752</v>
      </c>
      <c r="G118" s="10">
        <v>1</v>
      </c>
      <c r="I118" s="24"/>
      <c r="K118" s="10">
        <v>1</v>
      </c>
      <c r="L118" s="10">
        <v>27</v>
      </c>
    </row>
    <row r="119" spans="1:12" s="10" customFormat="1">
      <c r="A119" s="10" t="s">
        <v>152</v>
      </c>
      <c r="B119" s="177" t="s">
        <v>50</v>
      </c>
      <c r="C119" s="177" t="s">
        <v>48</v>
      </c>
      <c r="D119" s="177" t="s">
        <v>47</v>
      </c>
      <c r="F119" s="10" t="s">
        <v>753</v>
      </c>
      <c r="G119" s="10">
        <v>1</v>
      </c>
      <c r="I119" s="24"/>
      <c r="K119" s="10">
        <v>1</v>
      </c>
      <c r="L119" s="10">
        <v>19</v>
      </c>
    </row>
    <row r="120" spans="1:12" s="10" customFormat="1">
      <c r="A120" s="10" t="s">
        <v>152</v>
      </c>
      <c r="B120" s="177" t="s">
        <v>50</v>
      </c>
      <c r="C120" s="177" t="s">
        <v>48</v>
      </c>
      <c r="D120" s="177" t="s">
        <v>47</v>
      </c>
      <c r="E120" s="177" t="s">
        <v>49</v>
      </c>
      <c r="F120" s="10" t="s">
        <v>754</v>
      </c>
      <c r="G120" s="10">
        <v>1</v>
      </c>
      <c r="I120" s="24"/>
      <c r="J120" s="10" t="b">
        <v>1</v>
      </c>
      <c r="K120" s="10">
        <v>1</v>
      </c>
      <c r="L120" s="10">
        <v>33</v>
      </c>
    </row>
    <row r="121" spans="1:12" s="10" customFormat="1">
      <c r="A121" s="10" t="s">
        <v>152</v>
      </c>
      <c r="B121" s="180" t="s">
        <v>50</v>
      </c>
      <c r="C121" s="180" t="s">
        <v>48</v>
      </c>
      <c r="D121" s="180" t="s">
        <v>47</v>
      </c>
      <c r="E121" s="180" t="s">
        <v>49</v>
      </c>
      <c r="F121" s="10" t="s">
        <v>760</v>
      </c>
      <c r="G121" s="10">
        <v>16107106</v>
      </c>
      <c r="H121" s="10" t="s">
        <v>153</v>
      </c>
      <c r="I121" s="24"/>
      <c r="J121" s="10" t="b">
        <v>1</v>
      </c>
      <c r="K121" s="10">
        <v>16107106</v>
      </c>
      <c r="L121" s="10">
        <v>5</v>
      </c>
    </row>
    <row r="122" spans="1:12" s="10" customFormat="1">
      <c r="A122" s="10" t="s">
        <v>152</v>
      </c>
      <c r="B122" s="180" t="s">
        <v>50</v>
      </c>
      <c r="C122" s="180" t="s">
        <v>48</v>
      </c>
      <c r="D122" s="180" t="s">
        <v>47</v>
      </c>
      <c r="E122" s="180" t="s">
        <v>49</v>
      </c>
      <c r="F122" s="10" t="s">
        <v>761</v>
      </c>
      <c r="G122" s="10">
        <v>216159</v>
      </c>
      <c r="H122" s="10" t="s">
        <v>153</v>
      </c>
      <c r="I122" s="24"/>
      <c r="J122" s="10" t="b">
        <v>1</v>
      </c>
      <c r="K122" s="10">
        <v>216159</v>
      </c>
      <c r="L122" s="10">
        <v>5</v>
      </c>
    </row>
    <row r="123" spans="1:12" s="10" customFormat="1">
      <c r="A123" s="10" t="s">
        <v>152</v>
      </c>
      <c r="B123" s="180" t="s">
        <v>50</v>
      </c>
      <c r="C123" s="180" t="s">
        <v>48</v>
      </c>
      <c r="D123" s="180" t="s">
        <v>47</v>
      </c>
      <c r="E123" s="180" t="s">
        <v>49</v>
      </c>
      <c r="F123" s="10" t="s">
        <v>762</v>
      </c>
      <c r="G123" s="10">
        <v>7522042</v>
      </c>
      <c r="H123" s="10" t="s">
        <v>153</v>
      </c>
      <c r="I123" s="24"/>
      <c r="J123" s="10" t="b">
        <v>1</v>
      </c>
      <c r="K123" s="10">
        <v>7522042</v>
      </c>
      <c r="L123" s="10">
        <v>5</v>
      </c>
    </row>
    <row r="124" spans="1:12" s="10" customFormat="1">
      <c r="A124" s="10" t="s">
        <v>152</v>
      </c>
      <c r="B124" s="180" t="s">
        <v>50</v>
      </c>
      <c r="C124" s="180" t="s">
        <v>48</v>
      </c>
      <c r="D124" s="180" t="s">
        <v>47</v>
      </c>
      <c r="E124" s="180" t="s">
        <v>49</v>
      </c>
      <c r="F124" s="10" t="s">
        <v>763</v>
      </c>
      <c r="G124" s="10">
        <v>94</v>
      </c>
      <c r="I124" s="24"/>
      <c r="J124" s="10" t="b">
        <v>1</v>
      </c>
      <c r="K124" s="10">
        <v>94</v>
      </c>
      <c r="L124" s="10">
        <v>5</v>
      </c>
    </row>
    <row r="125" spans="1:12" s="10" customFormat="1">
      <c r="A125" s="10" t="s">
        <v>152</v>
      </c>
      <c r="B125" s="180" t="s">
        <v>50</v>
      </c>
      <c r="C125" s="180" t="s">
        <v>48</v>
      </c>
      <c r="D125" s="180" t="s">
        <v>47</v>
      </c>
      <c r="E125" s="180" t="s">
        <v>49</v>
      </c>
      <c r="F125" s="10" t="s">
        <v>764</v>
      </c>
      <c r="G125" s="10">
        <v>692979776</v>
      </c>
      <c r="H125" s="10" t="s">
        <v>107</v>
      </c>
      <c r="I125" s="24">
        <v>660.87701416015625</v>
      </c>
      <c r="J125" s="10" t="b">
        <v>1</v>
      </c>
      <c r="L125" s="10">
        <v>5</v>
      </c>
    </row>
    <row r="126" spans="1:12" s="10" customFormat="1">
      <c r="A126" s="10" t="s">
        <v>152</v>
      </c>
      <c r="B126" s="180" t="s">
        <v>50</v>
      </c>
      <c r="C126" s="180" t="s">
        <v>48</v>
      </c>
      <c r="D126" s="180" t="s">
        <v>47</v>
      </c>
      <c r="E126" s="180" t="s">
        <v>49</v>
      </c>
      <c r="F126" s="10" t="s">
        <v>765</v>
      </c>
      <c r="G126" s="10">
        <v>8286272</v>
      </c>
      <c r="H126" s="10" t="s">
        <v>107</v>
      </c>
      <c r="I126" s="24">
        <v>7.90240478515625</v>
      </c>
      <c r="J126" s="10" t="b">
        <v>1</v>
      </c>
      <c r="L126" s="10">
        <v>5</v>
      </c>
    </row>
    <row r="127" spans="1:12" s="10" customFormat="1">
      <c r="A127" s="10" t="s">
        <v>152</v>
      </c>
      <c r="B127" s="180" t="s">
        <v>50</v>
      </c>
      <c r="C127" s="180" t="s">
        <v>48</v>
      </c>
      <c r="D127" s="180" t="s">
        <v>47</v>
      </c>
      <c r="E127" s="180" t="s">
        <v>49</v>
      </c>
      <c r="F127" s="10" t="s">
        <v>766</v>
      </c>
      <c r="G127" s="10">
        <v>329273688</v>
      </c>
      <c r="H127" s="10" t="s">
        <v>107</v>
      </c>
      <c r="I127" s="24">
        <v>314.01985947629237</v>
      </c>
      <c r="J127" s="10" t="b">
        <v>1</v>
      </c>
      <c r="L127" s="10">
        <v>5</v>
      </c>
    </row>
    <row r="128" spans="1:12" s="10" customFormat="1">
      <c r="A128" s="10" t="s">
        <v>152</v>
      </c>
      <c r="B128" s="180" t="s">
        <v>50</v>
      </c>
      <c r="C128" s="180" t="s">
        <v>48</v>
      </c>
      <c r="D128" s="180" t="s">
        <v>47</v>
      </c>
      <c r="E128" s="180" t="s">
        <v>49</v>
      </c>
      <c r="F128" s="10" t="s">
        <v>767</v>
      </c>
      <c r="G128" s="10">
        <v>10149889</v>
      </c>
      <c r="H128" s="10" t="s">
        <v>153</v>
      </c>
      <c r="I128" s="24"/>
      <c r="J128" s="10" t="b">
        <v>1</v>
      </c>
      <c r="K128" s="10">
        <v>10149889</v>
      </c>
      <c r="L128" s="10">
        <v>5</v>
      </c>
    </row>
    <row r="129" spans="1:12" s="10" customFormat="1">
      <c r="A129" s="10" t="s">
        <v>152</v>
      </c>
      <c r="B129" s="180" t="s">
        <v>50</v>
      </c>
      <c r="C129" s="180" t="s">
        <v>48</v>
      </c>
      <c r="D129" s="180" t="s">
        <v>47</v>
      </c>
      <c r="E129" s="180" t="s">
        <v>49</v>
      </c>
      <c r="F129" s="10" t="s">
        <v>768</v>
      </c>
      <c r="G129" s="10">
        <v>216159</v>
      </c>
      <c r="H129" s="10" t="s">
        <v>153</v>
      </c>
      <c r="I129" s="24"/>
      <c r="J129" s="10" t="b">
        <v>1</v>
      </c>
      <c r="K129" s="10">
        <v>216159</v>
      </c>
      <c r="L129" s="10">
        <v>5</v>
      </c>
    </row>
    <row r="130" spans="1:12" s="10" customFormat="1">
      <c r="A130" s="10" t="s">
        <v>152</v>
      </c>
      <c r="B130" s="180" t="s">
        <v>50</v>
      </c>
      <c r="C130" s="180" t="s">
        <v>48</v>
      </c>
      <c r="D130" s="180" t="s">
        <v>47</v>
      </c>
      <c r="E130" s="180" t="s">
        <v>49</v>
      </c>
      <c r="F130" s="10" t="s">
        <v>769</v>
      </c>
      <c r="G130" s="10">
        <v>5706858</v>
      </c>
      <c r="H130" s="10" t="s">
        <v>153</v>
      </c>
      <c r="I130" s="24"/>
      <c r="J130" s="10" t="b">
        <v>1</v>
      </c>
      <c r="K130" s="10">
        <v>5706858</v>
      </c>
      <c r="L130" s="10">
        <v>5</v>
      </c>
    </row>
    <row r="131" spans="1:12" s="10" customFormat="1">
      <c r="A131" s="10" t="s">
        <v>152</v>
      </c>
      <c r="B131" s="180" t="s">
        <v>50</v>
      </c>
      <c r="C131" s="180" t="s">
        <v>48</v>
      </c>
      <c r="D131" s="180" t="s">
        <v>47</v>
      </c>
      <c r="E131" s="180" t="s">
        <v>49</v>
      </c>
      <c r="F131" s="20" t="s">
        <v>774</v>
      </c>
      <c r="G131" s="10">
        <v>80</v>
      </c>
      <c r="I131" s="24"/>
      <c r="J131" s="10" t="b">
        <v>1</v>
      </c>
      <c r="K131" s="10">
        <v>80</v>
      </c>
      <c r="L131" s="10">
        <v>5</v>
      </c>
    </row>
    <row r="132" spans="1:12" s="10" customFormat="1">
      <c r="A132" s="10" t="s">
        <v>152</v>
      </c>
      <c r="B132" s="180" t="s">
        <v>50</v>
      </c>
      <c r="C132" s="180" t="s">
        <v>48</v>
      </c>
      <c r="D132" s="180" t="s">
        <v>47</v>
      </c>
      <c r="E132" s="180" t="s">
        <v>49</v>
      </c>
      <c r="F132" s="10" t="s">
        <v>770</v>
      </c>
      <c r="G132" s="10">
        <v>444342300</v>
      </c>
      <c r="H132" s="10" t="s">
        <v>107</v>
      </c>
      <c r="I132" s="24">
        <v>240.49652033003522</v>
      </c>
      <c r="J132" s="10" t="b">
        <v>1</v>
      </c>
      <c r="L132" s="10">
        <v>5</v>
      </c>
    </row>
    <row r="133" spans="1:12" s="10" customFormat="1">
      <c r="A133" s="10" t="s">
        <v>152</v>
      </c>
      <c r="B133" s="180" t="s">
        <v>50</v>
      </c>
      <c r="C133" s="180" t="s">
        <v>48</v>
      </c>
      <c r="D133" s="180" t="s">
        <v>47</v>
      </c>
      <c r="E133" s="180" t="s">
        <v>49</v>
      </c>
      <c r="F133" s="10" t="s">
        <v>771</v>
      </c>
      <c r="G133" s="10">
        <v>8286272</v>
      </c>
      <c r="H133" s="10" t="s">
        <v>107</v>
      </c>
      <c r="I133" s="24">
        <v>7.90240478515625</v>
      </c>
      <c r="J133" s="10" t="b">
        <v>1</v>
      </c>
      <c r="L133" s="10">
        <v>5</v>
      </c>
    </row>
    <row r="134" spans="1:12" s="10" customFormat="1">
      <c r="A134" s="10" t="s">
        <v>152</v>
      </c>
      <c r="B134" s="180" t="s">
        <v>50</v>
      </c>
      <c r="C134" s="180" t="s">
        <v>48</v>
      </c>
      <c r="D134" s="180" t="s">
        <v>47</v>
      </c>
      <c r="E134" s="180" t="s">
        <v>49</v>
      </c>
      <c r="F134" s="10" t="s">
        <v>772</v>
      </c>
      <c r="G134" s="10">
        <v>252178879.30158731</v>
      </c>
      <c r="H134" s="10" t="s">
        <v>107</v>
      </c>
      <c r="I134" s="24">
        <v>240.49652033003522</v>
      </c>
      <c r="J134" s="10" t="b">
        <v>1</v>
      </c>
      <c r="L134" s="10">
        <v>5</v>
      </c>
    </row>
    <row r="135" spans="1:12" s="10" customFormat="1">
      <c r="A135" s="10" t="s">
        <v>152</v>
      </c>
      <c r="B135" s="180" t="s">
        <v>50</v>
      </c>
      <c r="C135" s="180" t="s">
        <v>48</v>
      </c>
      <c r="D135" s="180" t="s">
        <v>47</v>
      </c>
      <c r="E135" s="180" t="s">
        <v>49</v>
      </c>
      <c r="F135" s="10" t="s">
        <v>773</v>
      </c>
      <c r="G135" s="10">
        <v>15887269396</v>
      </c>
      <c r="H135" s="10" t="s">
        <v>107</v>
      </c>
      <c r="I135" s="24">
        <v>15151.280780792236</v>
      </c>
      <c r="J135" s="10" t="b">
        <v>1</v>
      </c>
      <c r="L135" s="10">
        <v>5</v>
      </c>
    </row>
    <row r="136" spans="1:12">
      <c r="B136" s="10"/>
      <c r="C136" s="10"/>
      <c r="D136" s="10"/>
      <c r="E136" s="10"/>
      <c r="F136" s="10"/>
      <c r="G136" s="10"/>
      <c r="H136" s="10"/>
      <c r="I136" s="83"/>
      <c r="J136" s="11"/>
      <c r="K136" s="10"/>
    </row>
    <row r="137" spans="1:12">
      <c r="B137" s="10"/>
      <c r="C137" s="10"/>
      <c r="D137" s="10"/>
      <c r="E137" s="10"/>
      <c r="F137" s="10"/>
      <c r="G137" s="10"/>
      <c r="H137" s="10"/>
      <c r="I137" s="83"/>
      <c r="J137" s="11"/>
      <c r="K137" s="10"/>
    </row>
    <row r="138" spans="1:12">
      <c r="B138" s="10"/>
      <c r="C138" s="10"/>
      <c r="D138" s="10"/>
      <c r="E138" s="10"/>
      <c r="F138" s="10"/>
      <c r="G138" s="10"/>
      <c r="H138" s="10"/>
      <c r="I138" s="83"/>
      <c r="J138" s="11"/>
      <c r="K138" s="10"/>
    </row>
    <row r="139" spans="1:12">
      <c r="B139" s="10"/>
      <c r="C139" s="10"/>
      <c r="D139" s="10"/>
      <c r="E139" s="10"/>
      <c r="F139" s="10"/>
      <c r="G139" s="10"/>
      <c r="H139" s="10"/>
      <c r="I139" s="83"/>
      <c r="J139" s="11"/>
      <c r="K139" s="10"/>
    </row>
    <row r="140" spans="1:12">
      <c r="B140" s="10"/>
      <c r="C140" s="10"/>
      <c r="D140" s="10"/>
      <c r="E140" s="10"/>
      <c r="F140" s="10"/>
      <c r="G140" s="10"/>
      <c r="H140" s="10"/>
      <c r="I140" s="83"/>
      <c r="J140" s="11"/>
      <c r="K140" s="10"/>
    </row>
    <row r="141" spans="1:12">
      <c r="B141" s="10"/>
      <c r="C141" s="10"/>
      <c r="D141" s="10"/>
      <c r="E141" s="10"/>
      <c r="F141" s="10"/>
      <c r="G141" s="10"/>
      <c r="H141" s="10"/>
      <c r="I141" s="83"/>
      <c r="J141" s="11"/>
      <c r="K141" s="10"/>
    </row>
    <row r="142" spans="1:12">
      <c r="B142" s="10"/>
      <c r="C142" s="10"/>
      <c r="D142" s="10"/>
      <c r="E142" s="10"/>
      <c r="F142" s="10"/>
      <c r="G142" s="10"/>
      <c r="H142" s="10"/>
      <c r="I142" s="83"/>
      <c r="J142" s="11"/>
      <c r="K142" s="10"/>
    </row>
    <row r="143" spans="1:12">
      <c r="B143" s="10"/>
      <c r="C143" s="10"/>
      <c r="D143" s="10"/>
      <c r="E143" s="10"/>
      <c r="F143" s="10"/>
      <c r="G143" s="10"/>
      <c r="H143" s="10"/>
      <c r="I143" s="83"/>
      <c r="J143" s="11"/>
      <c r="K143" s="10"/>
    </row>
    <row r="144" spans="1:12">
      <c r="B144" s="10"/>
      <c r="C144" s="10"/>
      <c r="D144" s="10"/>
      <c r="E144" s="10"/>
      <c r="F144" s="10"/>
      <c r="G144" s="10"/>
      <c r="H144" s="10"/>
      <c r="I144" s="83"/>
      <c r="J144" s="11"/>
      <c r="K144" s="10"/>
    </row>
    <row r="145" spans="2:11">
      <c r="B145" s="10"/>
      <c r="C145" s="10"/>
      <c r="D145" s="10"/>
      <c r="E145" s="10"/>
      <c r="F145" s="10"/>
      <c r="G145" s="10"/>
      <c r="H145" s="10"/>
      <c r="I145" s="83"/>
      <c r="J145" s="11"/>
      <c r="K145" s="10"/>
    </row>
    <row r="146" spans="2:11">
      <c r="B146" s="10"/>
      <c r="C146" s="10"/>
      <c r="D146" s="10"/>
      <c r="E146" s="10"/>
      <c r="F146" s="10"/>
      <c r="G146" s="10"/>
      <c r="H146" s="10"/>
      <c r="I146" s="83"/>
      <c r="J146" s="11"/>
      <c r="K146" s="10"/>
    </row>
    <row r="147" spans="2:11">
      <c r="B147" s="10"/>
      <c r="C147" s="10"/>
      <c r="D147" s="10"/>
      <c r="E147" s="10"/>
      <c r="F147" s="10"/>
      <c r="G147" s="10"/>
      <c r="H147" s="10"/>
      <c r="I147" s="83"/>
      <c r="J147" s="11"/>
      <c r="K147" s="10"/>
    </row>
    <row r="148" spans="2:11">
      <c r="B148" s="10"/>
      <c r="C148" s="10"/>
      <c r="D148" s="10"/>
      <c r="E148" s="10"/>
      <c r="F148" s="10"/>
      <c r="G148" s="10"/>
      <c r="H148" s="10"/>
      <c r="I148" s="83"/>
      <c r="J148" s="11"/>
      <c r="K148" s="10"/>
    </row>
    <row r="149" spans="2:11">
      <c r="B149" s="10"/>
      <c r="C149" s="10"/>
      <c r="D149" s="10"/>
      <c r="E149" s="10"/>
      <c r="F149" s="10"/>
      <c r="G149" s="10"/>
      <c r="H149" s="10"/>
      <c r="I149" s="83"/>
      <c r="J149" s="11"/>
      <c r="K149" s="10"/>
    </row>
    <row r="150" spans="2:11">
      <c r="B150" s="10"/>
      <c r="C150" s="10"/>
      <c r="D150" s="10"/>
      <c r="E150" s="10"/>
      <c r="F150" s="10"/>
      <c r="G150" s="10"/>
      <c r="H150" s="10"/>
      <c r="I150" s="83"/>
      <c r="J150" s="11"/>
      <c r="K150" s="10"/>
    </row>
    <row r="151" spans="2:11">
      <c r="B151" s="10"/>
      <c r="C151" s="10"/>
      <c r="D151" s="10"/>
      <c r="E151" s="10"/>
      <c r="F151" s="10"/>
      <c r="G151" s="10"/>
      <c r="H151" s="10"/>
      <c r="I151" s="83"/>
      <c r="J151" s="11"/>
      <c r="K151" s="10"/>
    </row>
    <row r="152" spans="2:11">
      <c r="B152" s="10"/>
      <c r="C152" s="10"/>
      <c r="D152" s="10"/>
      <c r="E152" s="10"/>
      <c r="F152" s="10"/>
      <c r="G152" s="10"/>
      <c r="H152" s="10"/>
      <c r="I152" s="83"/>
      <c r="J152" s="11"/>
      <c r="K152" s="10"/>
    </row>
    <row r="153" spans="2:11">
      <c r="B153" s="10"/>
      <c r="C153" s="10"/>
      <c r="D153" s="10"/>
      <c r="E153" s="10"/>
      <c r="F153" s="10"/>
      <c r="G153" s="10"/>
      <c r="H153" s="10"/>
      <c r="I153" s="83"/>
      <c r="J153" s="11"/>
      <c r="K153" s="10"/>
    </row>
    <row r="154" spans="2:11">
      <c r="B154" s="10"/>
      <c r="C154" s="10"/>
      <c r="D154" s="10"/>
      <c r="E154" s="10"/>
      <c r="F154" s="10"/>
      <c r="G154" s="10"/>
      <c r="H154" s="10"/>
      <c r="I154" s="83"/>
      <c r="J154" s="11"/>
      <c r="K154" s="10"/>
    </row>
    <row r="155" spans="2:11">
      <c r="B155" s="10"/>
      <c r="C155" s="10"/>
      <c r="D155" s="10"/>
      <c r="E155" s="10"/>
      <c r="F155" s="10"/>
      <c r="G155" s="10"/>
      <c r="H155" s="10"/>
      <c r="I155" s="83"/>
      <c r="J155" s="11"/>
      <c r="K155" s="10"/>
    </row>
    <row r="156" spans="2:11">
      <c r="B156" s="10"/>
      <c r="C156" s="10"/>
      <c r="D156" s="10"/>
      <c r="E156" s="10"/>
      <c r="F156" s="10"/>
      <c r="G156" s="10"/>
      <c r="H156" s="10"/>
      <c r="I156" s="83"/>
      <c r="J156" s="11"/>
      <c r="K156" s="10"/>
    </row>
    <row r="157" spans="2:11">
      <c r="B157" s="10"/>
      <c r="C157" s="10"/>
      <c r="D157" s="10"/>
      <c r="E157" s="10"/>
      <c r="F157" s="10"/>
      <c r="G157" s="10"/>
      <c r="H157" s="10"/>
      <c r="I157" s="83"/>
      <c r="J157" s="11"/>
      <c r="K157" s="10"/>
    </row>
    <row r="158" spans="2:11">
      <c r="B158" s="10"/>
      <c r="C158" s="10"/>
      <c r="D158" s="10"/>
      <c r="E158" s="10"/>
      <c r="F158" s="10"/>
      <c r="G158" s="10"/>
      <c r="H158" s="10"/>
      <c r="I158" s="83"/>
      <c r="J158" s="11"/>
      <c r="K158" s="10"/>
    </row>
    <row r="159" spans="2:11">
      <c r="B159" s="10"/>
      <c r="C159" s="10"/>
      <c r="D159" s="10"/>
      <c r="E159" s="10"/>
      <c r="F159" s="10"/>
      <c r="G159" s="10"/>
      <c r="H159" s="10"/>
      <c r="I159" s="83"/>
      <c r="J159" s="11"/>
      <c r="K159" s="10"/>
    </row>
    <row r="160" spans="2: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61"/>
  <pageMargins left="0.7" right="0.7" top="0.75" bottom="0.75" header="0.3" footer="0.3"/>
  <pageSetup orientation="portrait" r:id="rId1"/>
  <legacy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750</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751</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810</v>
      </c>
      <c r="L181" s="11">
        <v>45</v>
      </c>
    </row>
    <row r="182" spans="1:18">
      <c r="A182" s="10" t="s">
        <v>152</v>
      </c>
      <c r="B182" s="10" t="s">
        <v>50</v>
      </c>
      <c r="C182" s="10" t="s">
        <v>48</v>
      </c>
      <c r="D182" t="s">
        <v>814</v>
      </c>
      <c r="L182" s="11">
        <v>45</v>
      </c>
    </row>
  </sheetData>
  <autoFilter ref="A1:M170"/>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Global Filters</vt:lpstr>
      <vt:lpstr>OS-Machine Info</vt:lpstr>
      <vt:lpstr>Node Information</vt:lpstr>
      <vt:lpstr>Ring Token Ranges</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2017-08-03T10:55:06Z</dcterms:modified>
</cp:coreProperties>
</file>