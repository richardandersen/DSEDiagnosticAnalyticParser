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48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SSTables" sheetId="61" r:id="rId10"/>
    <sheet name="Write" sheetId="11" r:id="rId11"/>
    <sheet name="Write by Node" sheetId="35" r:id="rId12"/>
    <sheet name="TombStones" sheetId="22" r:id="rId13"/>
    <sheet name="TombStones by Node" sheetId="28" r:id="rId14"/>
    <sheet name="Query" sheetId="24" r:id="rId15"/>
    <sheet name="Repair" sheetId="56" r:id="rId16"/>
    <sheet name="Read-Repair by Node" sheetId="25" r:id="rId17"/>
    <sheet name="Partitions" sheetId="12" r:id="rId18"/>
    <sheet name="Partitions by Node" sheetId="29" r:id="rId19"/>
    <sheet name="GC" sheetId="23" r:id="rId20"/>
    <sheet name="Pauses-JVM" sheetId="31" r:id="rId21"/>
    <sheet name="memtable Flush" sheetId="57" r:id="rId22"/>
    <sheet name="memtable Flush by Node" sheetId="59" r:id="rId23"/>
    <sheet name="Compaction" sheetId="19" r:id="rId24"/>
    <sheet name="Compaction by Node" sheetId="30" r:id="rId25"/>
    <sheet name="AntiCompaction" sheetId="51" r:id="rId26"/>
    <sheet name="AntiCompaction by Node" sheetId="53" r:id="rId27"/>
    <sheet name="Concurrent CompactionFlushes" sheetId="60" r:id="rId28"/>
    <sheet name="Droppable" sheetId="26" r:id="rId29"/>
    <sheet name="Storage-Size" sheetId="15" r:id="rId30"/>
    <sheet name="Hints" sheetId="50" r:id="rId31"/>
    <sheet name="Batches" sheetId="33" r:id="rId32"/>
    <sheet name="Histogram - Read" sheetId="36" r:id="rId33"/>
    <sheet name="Histogram - SSTables" sheetId="45" r:id="rId34"/>
    <sheet name="Histogram - Write" sheetId="37" r:id="rId35"/>
    <sheet name="Histogram - Cell Counts" sheetId="38" r:id="rId36"/>
    <sheet name="Histogram - Partition" sheetId="44" r:id="rId37"/>
    <sheet name="Cassandra Log Exceptions" sheetId="47" r:id="rId38"/>
    <sheet name="Cassandra Summary Logs" sheetId="39" r:id="rId39"/>
    <sheet name="Solr" sheetId="54" r:id="rId40"/>
    <sheet name="Solr by Node" sheetId="55" r:id="rId41"/>
    <sheet name="Application" sheetId="27" r:id="rId42"/>
    <sheet name="--Marker--" sheetId="42" r:id="rId43"/>
    <sheet name="Read Repair History" sheetId="49" r:id="rId44"/>
    <sheet name="CFStats" sheetId="4" r:id="rId45"/>
    <sheet name="NodeStats" sheetId="16" r:id="rId46"/>
    <sheet name="TableHistogram" sheetId="32" r:id="rId47"/>
  </sheets>
  <definedNames>
    <definedName name="_xlnm._FilterDatabase" localSheetId="38" hidden="1">'Cassandra Summary Logs'!$A$2:$H$2</definedName>
    <definedName name="_xlnm._FilterDatabase" localSheetId="44" hidden="1">CFStats!$A$1:$K$68</definedName>
    <definedName name="_xlnm._FilterDatabase" localSheetId="5" hidden="1">'DDL Keyspaces'!$A$1:$E$1</definedName>
    <definedName name="_xlnm._FilterDatabase" localSheetId="45" hidden="1">NodeStats!$A$1:$M$170</definedName>
    <definedName name="_xlnm._FilterDatabase" localSheetId="4" hidden="1">'Settings-Yamls'!$A$1:$E$1</definedName>
    <definedName name="_xlnm._FilterDatabase" localSheetId="46"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7" r:id="rId48"/>
    <pivotCache cacheId="8" r:id="rId49"/>
    <pivotCache cacheId="9" r:id="rId50"/>
    <pivotCache cacheId="10" r:id="rId51"/>
    <pivotCache cacheId="12" r:id="rId52"/>
    <pivotCache cacheId="13" r:id="rId53"/>
    <pivotCache cacheId="27" r:id="rId54"/>
  </pivotCaches>
  <extLst>
    <ext xmlns:x14="http://schemas.microsoft.com/office/spreadsheetml/2009/9/main" uri="{BBE1A952-AA13-448e-AADC-164F8A28A991}">
      <x14:slicerCaches>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s>
    </ext>
    <ext xmlns:x14="http://schemas.microsoft.com/office/spreadsheetml/2009/9/main" uri="{79F54976-1DA5-4618-B147-4CDE4B953A38}">
      <x14:workbookPr/>
    </ext>
  </extLst>
</workbook>
</file>

<file path=xl/calcChain.xml><?xml version="1.0" encoding="utf-8"?>
<calcChain xmlns="http://schemas.openxmlformats.org/spreadsheetml/2006/main">
  <c r="B8" i="61" l="1"/>
  <c r="A8" i="61"/>
  <c r="E11" i="47" l="1"/>
  <c r="D11" i="47"/>
  <c r="B9" i="59" l="1"/>
  <c r="B9" i="30"/>
  <c r="A9" i="55"/>
  <c r="D10" i="47"/>
  <c r="A7" i="50"/>
  <c r="I9" i="15"/>
  <c r="A9" i="26"/>
  <c r="A9" i="60"/>
  <c r="A9" i="53"/>
  <c r="A9" i="30"/>
  <c r="A9" i="59"/>
  <c r="A9" i="31"/>
  <c r="A9" i="23"/>
  <c r="A9" i="29"/>
  <c r="A9" i="25"/>
  <c r="A9" i="24"/>
  <c r="A9" i="28"/>
  <c r="A9" i="35"/>
  <c r="A9" i="34"/>
  <c r="B9" i="34"/>
  <c r="B8" i="57" l="1"/>
  <c r="A8" i="57"/>
  <c r="A9" i="54" l="1"/>
  <c r="B9" i="53" l="1"/>
  <c r="B8" i="51"/>
  <c r="A8" i="51"/>
  <c r="A8" i="44" l="1"/>
  <c r="A8" i="38"/>
  <c r="A8" i="37"/>
  <c r="A8" i="45"/>
  <c r="A8" i="36"/>
  <c r="A9" i="33"/>
  <c r="A9" i="15"/>
  <c r="A8" i="19"/>
  <c r="A9" i="12"/>
  <c r="A9" i="22"/>
  <c r="A8" i="11"/>
  <c r="A8" i="21"/>
  <c r="B8" i="44"/>
  <c r="B8" i="38"/>
  <c r="B8" i="37"/>
  <c r="B8" i="45"/>
  <c r="B8" i="36"/>
  <c r="B8" i="19"/>
  <c r="B8" i="11"/>
  <c r="B8" i="21"/>
  <c r="B7" i="50" l="1"/>
  <c r="E10" i="47" l="1"/>
  <c r="N9" i="24" l="1"/>
  <c r="B9" i="35" l="1"/>
  <c r="B9" i="31" l="1"/>
  <c r="Z9" i="29" l="1"/>
  <c r="Q9" i="29"/>
  <c r="B9" i="28"/>
  <c r="B9" i="26" l="1"/>
  <c r="B9" i="25"/>
  <c r="B9" i="24" l="1"/>
  <c r="B9" i="23"/>
  <c r="F9" i="15" l="1"/>
  <c r="G9" i="15" l="1"/>
  <c r="M9" i="15"/>
  <c r="N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<sst xmlns="http://schemas.openxmlformats.org/spreadsheetml/2006/main" count="4638" uniqueCount="738">
  <si>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</si>
  <si>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</si>
  <si>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</si>
  <si>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</si>
  <si>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</si>
  <si>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</si>
  <si>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</si>
  <si>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</si>
  <si>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</si>
  <si>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</si>
  <si>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</si>
  <si>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</si>
  <si>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</si>
  <si>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</si>
  <si>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</si>
  <si>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</si>
  <si>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</si>
  <si>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</si>
  <si>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</si>
  <si>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</si>
  <si>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</si>
  <si>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</si>
  <si>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</si>
  <si>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</si>
  <si>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</si>
  <si>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</si>
  <si>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</si>
  <si>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</si>
  <si>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</si>
  <si>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</si>
  <si>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</si>
  <si>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</si>
  <si>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</si>
  <si>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</si>
  <si>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</si>
  <si>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</si>
  <si>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</si>
  <si>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</si>
  <si>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</si>
  <si>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</si>
  <si>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</si>
  <si>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</si>
  <si>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</si>
  <si>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</si>
  <si>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</si>
  <si>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</si>
  <si>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</si>
  <si>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</si>
  <si>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</si>
  <si>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</si>
  <si>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</si>
  <si>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</si>
  <si>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</si>
  <si>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</si>
  <si>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</si>
  <si>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</si>
  <si>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</si>
  <si>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</si>
  <si>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</si>
  <si>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</si>
  <si>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</si>
  <si>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</si>
  <si>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</si>
  <si>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</si>
  <si>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</si>
  <si>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</si>
  <si>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</si>
  <si>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</si>
  <si>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</si>
  <si>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</si>
  <si>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</si>
  <si>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</si>
  <si>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</si>
  <si>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</si>
  <si>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</si>
  <si>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</si>
  <si>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</si>
  <si>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</si>
  <si>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</si>
  <si>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</si>
  <si>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</si>
  <si>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</si>
  <si>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</si>
  <si>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</si>
  <si>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</si>
  <si>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</si>
  <si>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</si>
  <si>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</si>
  <si>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</si>
  <si>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</si>
  <si>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</si>
  <si>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</si>
  <si>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</si>
  <si>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</si>
  <si>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</si>
  <si>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</si>
  <si>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</si>
  <si>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</si>
  <si>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</si>
  <si>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</si>
  <si>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</si>
  <si>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</si>
  <si>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</si>
  <si>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</si>
  <si>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</si>
  <si>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</si>
  <si>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</si>
  <si>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</si>
  <si>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</si>
  <si>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</si>
  <si>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</si>
  <si>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</si>
  <si>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</si>
  <si>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</si>
  <si>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</si>
  <si>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</si>
  <si>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</si>
  <si>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</si>
  <si>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</si>
  <si>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</si>
  <si>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</si>
  <si>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</si>
  <si>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</si>
  <si>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</si>
  <si>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</si>
  <si>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</si>
  <si>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</si>
  <si>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</si>
  <si>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</si>
  <si>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</si>
  <si>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</si>
  <si>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</si>
  <si>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</si>
  <si>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</si>
  <si>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</si>
  <si>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</si>
  <si>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</si>
  <si>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</si>
  <si>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</si>
  <si>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</si>
  <si>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</si>
  <si>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</si>
  <si>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</si>
  <si>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</si>
  <si>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</si>
  <si>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</si>
  <si>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</si>
  <si>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</si>
  <si>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</si>
  <si>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</si>
  <si>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</si>
  <si>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</si>
  <si>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</si>
  <si>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</si>
  <si>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</si>
  <si>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</si>
  <si>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</si>
  <si>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</si>
  <si>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</si>
  <si>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</si>
  <si>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</si>
  <si>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</si>
  <si>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</si>
  <si>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</si>
  <si>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</si>
  <si>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</si>
  <si>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</si>
  <si>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</si>
  <si>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</si>
  <si>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</si>
  <si>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</si>
  <si>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</si>
  <si>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</si>
  <si>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</si>
  <si>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</si>
  <si>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</si>
  <si>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</si>
  <si>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</si>
  <si>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</si>
  <si>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</si>
  <si>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</si>
  <si>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</si>
  <si>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</si>
  <si>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</si>
  <si>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</si>
  <si>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</si>
  <si>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</si>
  <si>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</si>
  <si>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</si>
  <si>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</si>
  <si>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</si>
  <si>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</si>
  <si>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</si>
  <si>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</si>
  <si>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</si>
  <si>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</si>
  <si>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</si>
  <si>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</si>
  <si>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</si>
  <si>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</si>
  <si>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</si>
  <si>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</si>
  <si>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</si>
  <si>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</si>
  <si>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</si>
  <si>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</si>
  <si>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</si>
  <si>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</si>
  <si>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</si>
  <si>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</si>
  <si>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</si>
  <si>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</si>
  <si>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</si>
  <si>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</si>
  <si>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</si>
  <si>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</si>
  <si>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</si>
  <si>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</si>
  <si>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</si>
  <si>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</si>
  <si>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</si>
  <si>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</si>
  <si>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</si>
  <si>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</si>
  <si>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</si>
  <si>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</si>
  <si>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</si>
  <si>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</si>
  <si>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</si>
  <si>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</si>
  <si>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</si>
  <si>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</si>
  <si>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</si>
  <si>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</si>
  <si>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</si>
  <si>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</si>
  <si>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</si>
  <si>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</si>
  <si>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</si>
  <si>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</si>
  <si>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</si>
  <si>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</si>
  <si>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</si>
  <si>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</si>
  <si>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</si>
  <si>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</si>
  <si>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</si>
  <si>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</si>
  <si>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</si>
  <si>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</si>
  <si>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</si>
  <si>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</si>
  <si>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</si>
  <si>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</si>
  <si>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</si>
  <si>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</si>
  <si>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</si>
  <si>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</si>
  <si>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</si>
  <si>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</si>
  <si>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</si>
  <si>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</si>
  <si>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</si>
  <si>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</si>
  <si>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</si>
  <si>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</si>
  <si>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</si>
  <si>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</si>
  <si>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</si>
  <si>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</si>
  <si>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</si>
  <si>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</si>
  <si>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</si>
  <si>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</si>
  <si>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</si>
  <si>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</si>
  <si>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</si>
  <si>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</si>
  <si>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</si>
  <si>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</si>
  <si>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</si>
  <si>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</si>
  <si>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</si>
  <si>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</si>
  <si>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</si>
  <si>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</si>
  <si>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</si>
  <si>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</si>
  <si>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</si>
  <si>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</si>
  <si>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</si>
  <si>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</si>
  <si>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</si>
  <si>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</si>
  <si>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</si>
  <si>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</si>
  <si>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</si>
  <si>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</si>
  <si>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</si>
  <si>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</si>
  <si>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</si>
  <si>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</si>
  <si>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</si>
  <si>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</si>
  <si>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</si>
  <si>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</si>
  <si>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</si>
  <si>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</si>
  <si>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</si>
  <si>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</si>
  <si>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</si>
  <si>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</si>
  <si>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</si>
  <si>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</si>
  <si>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</si>
  <si>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</si>
  <si>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</si>
  <si>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</si>
  <si>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</si>
  <si>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</si>
  <si>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</si>
  <si>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</si>
  <si>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</si>
  <si>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</si>
  <si>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</si>
  <si>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</si>
  <si>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</si>
  <si>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</si>
  <si>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</si>
  <si>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</si>
  <si>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</si>
  <si>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</si>
  <si>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</si>
  <si>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</si>
  <si>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</si>
  <si>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</si>
  <si>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</si>
  <si>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</si>
  <si>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</si>
  <si>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</si>
  <si>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</si>
  <si>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</si>
  <si>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</si>
  <si>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</si>
  <si>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</si>
  <si>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</si>
  <si>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</si>
  <si>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</si>
  <si>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</si>
  <si>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</si>
  <si>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</si>
  <si>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</si>
  <si>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</si>
  <si>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</si>
  <si>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</si>
  <si>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</si>
  <si>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</si>
  <si>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</si>
  <si>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</si>
  <si>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</si>
  <si>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</si>
  <si>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</si>
  <si>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</si>
  <si>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</si>
  <si>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</si>
  <si>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</si>
  <si>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</si>
  <si>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</si>
  <si>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</si>
  <si>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</si>
  <si>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</si>
  <si>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</si>
  <si>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</si>
  <si>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</si>
  <si>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</si>
  <si>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</si>
  <si>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</si>
  <si>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</si>
  <si>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</si>
  <si>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</si>
  <si>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</si>
  <si>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</si>
  <si>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</si>
  <si>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</si>
  <si>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</si>
  <si>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</si>
  <si>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</si>
  <si>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</si>
  <si>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</si>
  <si>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</si>
  <si>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</si>
  <si>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</si>
  <si>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</si>
  <si>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</si>
  <si>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</si>
  <si>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</si>
  <si>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</si>
  <si>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</si>
  <si>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</si>
  <si>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</si>
  <si>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</si>
  <si>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</si>
  <si>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</si>
  <si>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</si>
  <si>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</si>
  <si>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</si>
  <si>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</si>
  <si>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</si>
  <si>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</si>
  <si>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</si>
  <si>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</si>
  <si>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</si>
  <si>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</si>
  <si>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</si>
  <si>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</si>
  <si>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</si>
  <si>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</si>
  <si>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</si>
  <si>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</si>
  <si>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</si>
  <si>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</si>
  <si>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</si>
  <si>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</si>
  <si>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</si>
  <si>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</si>
  <si>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</si>
  <si>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</si>
  <si>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</si>
  <si>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</si>
  <si>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</si>
  <si>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</si>
  <si>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</si>
  <si>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</si>
  <si>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</si>
  <si>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</si>
  <si>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</si>
  <si>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</si>
  <si>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</si>
  <si>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</si>
  <si>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</si>
  <si>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</si>
  <si>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</si>
  <si>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</si>
  <si>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</si>
  <si>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</si>
  <si>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</si>
  <si>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</si>
  <si>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</si>
  <si>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</si>
  <si>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</si>
  <si>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</si>
  <si>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</si>
  <si>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</si>
  <si>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</si>
  <si>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</si>
  <si>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</si>
  <si>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</si>
  <si>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</si>
  <si>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</si>
  <si>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</si>
  <si>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</si>
  <si>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</si>
  <si>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</si>
  <si>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</si>
  <si>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</si>
  <si>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</si>
  <si>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</si>
  <si>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</si>
  <si>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</si>
  <si>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</si>
  <si>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</si>
  <si>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</si>
  <si>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</si>
  <si>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</si>
  <si>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</si>
  <si>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</si>
  <si>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</si>
  <si>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</si>
  <si>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</si>
  <si>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</si>
  <si>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</si>
  <si>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</si>
  <si>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</si>
  <si>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</si>
  <si>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</si>
  <si>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</si>
  <si>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</si>
  <si>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</si>
  <si>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</si>
  <si>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</si>
  <si>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</si>
  <si>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</si>
  <si>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</si>
  <si>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</si>
  <si>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</si>
  <si>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</si>
  <si>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</si>
  <si>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</si>
  <si>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</si>
  <si>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</si>
  <si>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</si>
  <si>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</si>
  <si>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</si>
  <si>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</si>
  <si>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</si>
  <si>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</si>
  <si>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</si>
  <si>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</si>
  <si>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</si>
  <si>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</si>
  <si>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</si>
  <si>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</si>
  <si>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</si>
  <si>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</si>
  <si>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</si>
  <si>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</si>
  <si>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</si>
  <si>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</si>
  <si>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</si>
  <si>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</si>
  <si>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</si>
  <si>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</si>
  <si>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</si>
  <si>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</si>
  <si>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</si>
  <si>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</si>
  <si>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</si>
  <si>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</si>
  <si>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</si>
  <si>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</si>
  <si>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</si>
  <si>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</si>
  <si>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</si>
  <si>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</si>
  <si>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</si>
  <si>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</si>
  <si>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</si>
  <si>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</si>
  <si>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</si>
  <si>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</si>
  <si>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</si>
  <si>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</si>
  <si>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</si>
  <si>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</si>
  <si>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</si>
  <si>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</si>
  <si>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</si>
  <si>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</si>
  <si>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</si>
  <si>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</si>
  <si>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</si>
  <si>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</si>
  <si>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</si>
  <si>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</si>
  <si>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</si>
  <si>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</si>
  <si>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</si>
  <si>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</si>
  <si>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</si>
  <si>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</si>
  <si>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</si>
  <si>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</si>
  <si>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</si>
  <si>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</si>
  <si>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</si>
  <si>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</si>
  <si>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</si>
  <si>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</si>
  <si>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</si>
  <si>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</si>
  <si>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</si>
  <si>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</si>
  <si>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</si>
  <si>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</si>
  <si>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</si>
  <si>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</si>
  <si>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</si>
  <si>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</si>
  <si>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</si>
  <si>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</si>
  <si>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</si>
  <si>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</si>
  <si>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</si>
  <si>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</si>
  <si>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</si>
  <si>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</si>
  <si>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</si>
  <si>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</si>
  <si>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</si>
  <si>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</si>
  <si>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</si>
  <si>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</si>
  <si>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</si>
  <si>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</si>
  <si>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</si>
  <si>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</si>
  <si>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</si>
  <si>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</si>
  <si>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</si>
  <si>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</si>
  <si>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</si>
  <si>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</si>
  <si>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</si>
  <si>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</si>
  <si>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</si>
  <si>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</si>
  <si>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</si>
  <si>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</si>
  <si>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</si>
  <si>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</si>
  <si>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</si>
  <si>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</si>
  <si>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</si>
  <si>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</si>
  <si>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</si>
  <si>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</si>
  <si>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</si>
  <si>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</si>
  <si>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</si>
  <si>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</si>
  <si>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</si>
  <si>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</si>
  <si>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</si>
  <si>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</si>
  <si>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</si>
  <si>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</si>
  <si>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</si>
  <si>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</si>
  <si>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</si>
  <si>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</si>
  <si>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</si>
  <si>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</si>
  <si>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</si>
  <si>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</si>
  <si>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</si>
  <si>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</si>
  <si>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</si>
  <si>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</si>
  <si>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</si>
  <si>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</si>
  <si>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</si>
  <si>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</si>
  <si>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</si>
  <si>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</si>
  <si>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</si>
  <si>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</si>
  <si>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</si>
  <si>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</si>
  <si>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</si>
  <si>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</si>
  <si>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</si>
  <si>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</si>
  <si>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</si>
  <si>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</si>
  <si>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</si>
  <si>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</si>
  <si>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</si>
  <si>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</si>
  <si>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</si>
  <si>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</si>
  <si>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</si>
  <si>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</si>
  <si>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</si>
  <si>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</si>
  <si>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</si>
  <si>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</si>
  <si>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</si>
  <si>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</si>
  <si>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</si>
  <si>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</si>
  <si>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</si>
  <si>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</si>
  <si>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</si>
  <si>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</si>
  <si>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</si>
  <si>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</si>
  <si>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</si>
  <si>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</si>
  <si>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</si>
  <si>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</si>
  <si>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</si>
  <si>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</si>
  <si>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</si>
  <si>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</si>
  <si>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</si>
  <si>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</si>
  <si>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</si>
  <si>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</si>
  <si>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</si>
  <si>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</si>
  <si>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</si>
  <si>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</si>
  <si>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</si>
  <si>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</si>
  <si>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</si>
  <si>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</si>
  <si>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</si>
  <si>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</si>
  <si>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</si>
  <si>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</si>
  <si>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</si>
  <si>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</si>
  <si>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</si>
  <si>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</si>
  <si>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</si>
  <si>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</si>
  <si>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</si>
  <si>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</si>
  <si>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</si>
  <si>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</si>
  <si>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Perf Avg Latency</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</si>
  <si>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</si>
  <si>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</si>
  <si>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</si>
  <si>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</si>
  <si>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</si>
  <si>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</si>
  <si>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</si>
  <si>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</si>
  <si>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</si>
  <si>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</si>
  <si>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</si>
  <si>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</si>
  <si>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</si>
  <si>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</si>
  <si>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</si>
  <si>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</si>
  <si>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</si>
  <si>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</si>
  <si>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</si>
  <si>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</si>
  <si>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</si>
  <si>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Tables</t>
  </si>
  <si>
    <t>Nbr of Repaired Ranges</t>
  </si>
  <si>
    <t>Updating Nodes</t>
  </si>
  <si>
    <t>Nbr Received Nodes</t>
  </si>
  <si>
    <t>Received Nodes</t>
  </si>
  <si>
    <t>Nbr MemTable Flush Events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</si>
</sst>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style="thin">
        <color indexed="64"/>
      </bottom>
      <diagonal/>
    </border>
  </borders>
  <cellStyleXfs count="2">
    <xf numFmtId="0" fontId="0" fillId="0" borderId="0"/>
    <xf numFmtId="0" fontId="1" fillId="0" borderId="0"/>
  </cellStyleXfs>
  <cellXfs count="219">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1" fillId="3" borderId="0" xfId="0" applyNumberFormat="1" applyFont="1" applyFill="1" applyAlignment="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5" fontId="0" fillId="2" borderId="2" xfId="0" applyNumberFormat="1" applyFont="1" applyFill="1" applyBorder="1" applyAlignment="1">
      <alignment horizontal="center"/>
    </xf>
    <xf numFmtId="0" fontId="0" fillId="0" borderId="0" xfId="0" applyNumberFormat="1" applyFont="1" applyAlignment="1">
      <alignment horizontal="center" wrapText="1"/>
    </xf>
    <xf numFmtId="0" fontId="0" fillId="0" borderId="2" xfId="0" applyNumberFormat="1" applyFont="1" applyBorder="1" applyAlignment="1">
      <alignment horizontal="center" wrapText="1"/>
    </xf>
    <xf numFmtId="175" fontId="0" fillId="2" borderId="3" xfId="0" applyNumberFormat="1" applyFont="1" applyFill="1" applyBorder="1" applyAlignment="1">
      <alignment horizontal="center"/>
    </xf>
    <xf numFmtId="175" fontId="0" fillId="2" borderId="8" xfId="0" applyNumberFormat="1" applyFont="1" applyFill="1" applyBorder="1" applyAlignment="1">
      <alignment horizontal="center"/>
    </xf>
  </cellXfs>
  <cellStyles count="2">
    <cellStyle name="Normal" xfId="0" builtinId="0"/>
    <cellStyle name="Normal 2" xfId="1"/>
  </cellStyles>
  <dxfs count="440">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numFmt numFmtId="3" formatCode="#,##0"/>
    </dxf>
    <dxf>
      <numFmt numFmtId="3" formatCode="#,##0"/>
    </dxf>
    <dxf>
      <numFmt numFmtId="3" formatCode="#,##0"/>
    </dxf>
    <dxf>
      <alignment wrapText="0" shrinkToFit="1" readingOrder="0"/>
    </dxf>
    <dxf>
      <alignment wrapText="0" shrinkToFit="1" readingOrder="0"/>
    </dxf>
    <dxf>
      <numFmt numFmtId="3" formatCode="#,##0"/>
    </dxf>
    <dxf>
      <alignment shrinkToFit="1" readingOrder="0"/>
    </dxf>
    <dxf>
      <numFmt numFmtId="3" formatCode="#,##0"/>
    </dxf>
    <dxf>
      <numFmt numFmtId="3" formatCode="#,##0"/>
    </dxf>
    <dxf>
      <numFmt numFmtId="172" formatCode="#,##0.0000"/>
    </dxf>
    <dxf>
      <numFmt numFmtId="3" formatCode="#,##0"/>
    </dxf>
    <dxf>
      <numFmt numFmtId="3" formatCode="#,##0"/>
    </dxf>
    <dxf>
      <numFmt numFmtId="3" formatCode="#,##0"/>
    </dxf>
    <dxf>
      <alignment wrapText="0" shrinkToFit="1" readingOrder="0"/>
    </dxf>
    <dxf>
      <alignment wrapText="0" shrinkToFit="1" readingOrder="0"/>
    </dxf>
    <dxf>
      <numFmt numFmtId="3" formatCode="#,##0"/>
    </dxf>
    <dxf>
      <numFmt numFmtId="3" formatCode="#,##0"/>
    </dxf>
    <dxf>
      <alignment shrinkToFit="1" readingOrder="0"/>
    </dxf>
    <dxf>
      <alignment shrinkToFit="1" readingOrder="0"/>
    </dxf>
    <dxf>
      <numFmt numFmtId="3" formatCode="#,##0"/>
    </dxf>
    <dxf>
      <numFmt numFmtId="3" formatCode="#,##0"/>
    </dxf>
    <dxf>
      <numFmt numFmtId="3" formatCode="#,##0"/>
    </dxf>
    <dxf>
      <numFmt numFmtId="3" formatCode="#,##0"/>
    </dxf>
    <dxf>
      <numFmt numFmtId="3" formatCode="#,##0"/>
    </dxf>
    <dxf>
      <alignment wrapText="0" shrinkToFit="1" readingOrder="0"/>
    </dxf>
    <dxf>
      <alignment wrapText="0" shrinkToFit="1" readingOrder="0"/>
    </dxf>
    <dxf>
      <numFmt numFmtId="3" formatCode="#,##0"/>
    </dxf>
    <dxf>
      <alignment shrinkToFit="1" readingOrder="0"/>
    </dxf>
    <dxf>
      <numFmt numFmtId="3" formatCode="#,##0"/>
    </dxf>
    <dxf>
      <numFmt numFmtId="3" formatCode="#,##0"/>
    </dxf>
    <dxf>
      <numFmt numFmtId="3" formatCode="#,##0"/>
    </dxf>
    <dxf>
      <numFmt numFmtId="172" formatCode="#,##0.0000"/>
    </dxf>
    <dxf>
      <numFmt numFmtId="3" formatCode="#,##0"/>
    </dxf>
    <dxf>
      <numFmt numFmtId="3" formatCode="#,##0"/>
    </dxf>
    <dxf>
      <numFmt numFmtId="3" formatCode="#,##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4" formatCode="#,##0.0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172"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9.xml"/><Relationship Id="rId68" Type="http://schemas.microsoft.com/office/2007/relationships/slicerCache" Target="slicerCaches/slicerCache14.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6.xml"/><Relationship Id="rId58" Type="http://schemas.microsoft.com/office/2007/relationships/slicerCache" Target="slicerCaches/slicerCache4.xml"/><Relationship Id="rId74" Type="http://schemas.microsoft.com/office/2007/relationships/slicerCache" Target="slicerCaches/slicerCache20.xml"/><Relationship Id="rId79" Type="http://schemas.openxmlformats.org/officeDocument/2006/relationships/theme" Target="theme/theme1.xml"/><Relationship Id="rId5" Type="http://schemas.openxmlformats.org/officeDocument/2006/relationships/worksheet" Target="worksheets/sheet5.xml"/><Relationship Id="rId61" Type="http://schemas.microsoft.com/office/2007/relationships/slicerCache" Target="slicerCaches/slicerCache7.xml"/><Relationship Id="rId8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56" Type="http://schemas.microsoft.com/office/2007/relationships/slicerCache" Target="slicerCaches/slicerCache2.xml"/><Relationship Id="rId64" Type="http://schemas.microsoft.com/office/2007/relationships/slicerCache" Target="slicerCaches/slicerCache10.xml"/><Relationship Id="rId69" Type="http://schemas.microsoft.com/office/2007/relationships/slicerCache" Target="slicerCaches/slicerCache15.xml"/><Relationship Id="rId77" Type="http://schemas.microsoft.com/office/2007/relationships/slicerCache" Target="slicerCaches/slicerCache23.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72" Type="http://schemas.microsoft.com/office/2007/relationships/slicerCache" Target="slicerCaches/slicerCache18.xml"/><Relationship Id="rId80"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5.xml"/><Relationship Id="rId67" Type="http://schemas.microsoft.com/office/2007/relationships/slicerCache" Target="slicerCaches/slicerCache1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7.xml"/><Relationship Id="rId62" Type="http://schemas.microsoft.com/office/2007/relationships/slicerCache" Target="slicerCaches/slicerCache8.xml"/><Relationship Id="rId70" Type="http://schemas.microsoft.com/office/2007/relationships/slicerCache" Target="slicerCaches/slicerCache16.xml"/><Relationship Id="rId75" Type="http://schemas.microsoft.com/office/2007/relationships/slicerCache" Target="slicerCaches/slicerCache21.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microsoft.com/office/2007/relationships/slicerCache" Target="slicerCaches/slicerCache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5.xml"/><Relationship Id="rId60" Type="http://schemas.microsoft.com/office/2007/relationships/slicerCache" Target="slicerCaches/slicerCache6.xml"/><Relationship Id="rId65" Type="http://schemas.microsoft.com/office/2007/relationships/slicerCache" Target="slicerCaches/slicerCache11.xml"/><Relationship Id="rId73" Type="http://schemas.microsoft.com/office/2007/relationships/slicerCache" Target="slicerCaches/slicerCache19.xml"/><Relationship Id="rId78" Type="http://schemas.microsoft.com/office/2007/relationships/slicerCache" Target="slicerCaches/slicerCache24.xml"/><Relationship Id="rId8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3.xml"/><Relationship Id="rId55" Type="http://schemas.microsoft.com/office/2007/relationships/slicerCache" Target="slicerCaches/slicerCache1.xml"/><Relationship Id="rId76" Type="http://schemas.microsoft.com/office/2007/relationships/slicerCache" Target="slicerCaches/slicerCache22.xml"/><Relationship Id="rId7" Type="http://schemas.openxmlformats.org/officeDocument/2006/relationships/worksheet" Target="worksheets/sheet7.xml"/><Relationship Id="rId71" Type="http://schemas.microsoft.com/office/2007/relationships/slicerCache" Target="slicerCaches/slicerCache17.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1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755.318938773147" createdVersion="6" refreshedVersion="6" minRefreshableVersion="3" recordCount="170">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755.320046527777"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755.322937152778"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755.322951620372"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57.677750115741" createdVersion="5" refreshedVersion="6" minRefreshableVersion="3" recordCount="178">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7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815.451339004627" createdVersion="5" refreshedVersion="6"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3">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ount="16">
        <m/>
        <s v="ms."/>
        <s v="ms"/>
        <s v="NaN ms"/>
        <s v="bytes"/>
        <s v="mb/sec"/>
        <s v="Operations per Second"/>
        <s v="SSTables"/>
        <s v="mb"/>
        <s v="[1, 10, 7, 0, 0, 0, 0, 0, 0]"/>
        <s v="[1, 11/10, 13, 0, 0, 0, 0, 0, 0]"/>
        <s v="[1, 10, 5, 0, 0, 0, 0, 0, 0]"/>
        <s v="[1, 10, 13, 0, 0, 0, 0, 0, 0]"/>
        <s v="[1, 10, 17, 0, 0, 0, 0, 0, 0]"/>
        <s v="[1, 10, 16, 0, 0, 0, 0, 0, 0]"/>
        <s v="[2, 10, 6, 0, 0, 0, 0, 0, 0]"/>
      </sharedItems>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824.841054398152"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Exceptions" numFmtId="0">
      <sharedItems containsString="0" containsBlank="1" containsNumber="1" containsInteger="1" minValue="0" maxValue="1"/>
    </cacheField>
    <cacheField name="Options" numFmtId="0">
      <sharedItems containsString="0" containsBlank="1" containsNumber="1" containsInteger="1" minValue="0" maxValue="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String="0" containsBlank="1" containsNumber="1" containsInteger="1" minValue="2" maxValue="2"/>
    </cacheField>
    <cacheField name="Old Changed (mb)" numFmtId="0">
      <sharedItems containsString="0" containsBlank="1" containsNumber="1" minValue="108.86038303375244" maxValue="133.73400020599365"/>
    </cacheField>
    <cacheField name="SSTables" numFmtId="0">
      <sharedItems containsString="0" containsBlank="1" containsNumber="1" containsInteger="1" minValue="104" maxValue="129"/>
    </cacheField>
    <cacheField name="Old Size (mb)" numFmtId="0">
      <sharedItems containsString="0" containsBlank="1" containsNumber="1" containsInteger="1" minValue="52319" maxValue="69156"/>
    </cacheField>
    <cacheField name="New Size (mb)" numFmtId="0">
      <sharedItems containsString="0" containsBlank="1" containsNumber="1" minValue="1.8655379999999999" maxValue="1.983803"/>
    </cacheField>
    <cacheField name="Compaction Time (ms)" numFmtId="0">
      <sharedItems containsString="0" containsBlank="1" containsNumber="1" containsInteger="1" minValue="1" maxValue="1"/>
    </cacheField>
    <cacheField name="Compaction IORate (mb/sec)" numFmtId="0">
      <sharedItems containsString="0" containsBlank="1" containsNumber="1" minValue="8.23" maxValue="15"/>
    </cacheField>
    <cacheField name="Occurrences" numFmtId="0">
      <sharedItems containsString="0" containsBlank="1" containsNumber="1" containsInteger="1" minValue="123" maxValue="235"/>
    </cacheField>
    <cacheField name="Flushed to SSTable(s) Size (mb)" numFmtId="0">
      <sharedItems containsString="0" containsBlank="1" containsNumber="1" containsInteger="1" minValue="1234" maxValue="1234"/>
    </cacheField>
    <cacheField name="Flush Time (ms)" numFmtId="0">
      <sharedItems containsString="0" containsBlank="1" containsNumber="1" minValue="2.4500000000000002" maxValue="3.45"/>
    </cacheField>
    <cacheField name="Write Rate (ops)" numFmtId="0">
      <sharedItems containsString="0" containsBlank="1" containsNumber="1" containsInteger="1" minValue="4" maxValue="6"/>
    </cacheField>
    <cacheField name="Effective Flush IORate (mb/sec)" numFmtId="0">
      <sharedItems containsString="0" containsBlank="1" containsNumber="1" containsInteger="1" minValue="678" maxValue="890"/>
    </cacheField>
    <cacheField name="Perf Warnings" numFmtId="0">
      <sharedItems containsString="0" containsBlank="1" containsNumber="1" containsInteger="1" minValue="124" maxValue="125"/>
    </cacheField>
    <cacheField name="Perf Average Latency"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0">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m/>
    <x v="1"/>
    <x v="1"/>
    <x v="169"/>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1"/>
    <x v="0"/>
    <x v="0"/>
    <x v="0"/>
    <x v="0"/>
    <x v="73"/>
    <n v="7901303"/>
    <s v="ms"/>
    <m/>
    <x v="0"/>
    <n v="7901303"/>
  </r>
  <r>
    <x v="1"/>
    <x v="0"/>
    <x v="0"/>
    <x v="0"/>
    <x v="0"/>
    <x v="74"/>
    <n v="9174"/>
    <s v="ms"/>
    <m/>
    <x v="0"/>
    <n v="9174"/>
  </r>
  <r>
    <x v="1"/>
    <x v="0"/>
    <x v="0"/>
    <x v="0"/>
    <x v="0"/>
    <x v="75"/>
    <n v="112953"/>
    <s v="ms"/>
    <m/>
    <x v="0"/>
    <n v="112953"/>
  </r>
  <r>
    <x v="1"/>
    <x v="0"/>
    <x v="0"/>
    <x v="0"/>
    <x v="0"/>
    <x v="76"/>
    <n v="246"/>
    <m/>
    <m/>
    <x v="0"/>
    <n v="246"/>
  </r>
  <r>
    <x v="1"/>
    <x v="0"/>
    <x v="0"/>
    <x v="0"/>
    <x v="0"/>
    <x v="77"/>
    <n v="1"/>
    <m/>
    <m/>
    <x v="0"/>
    <n v="1"/>
  </r>
  <r>
    <x v="1"/>
    <x v="0"/>
    <x v="0"/>
    <x v="0"/>
    <x v="1"/>
    <x v="78"/>
    <n v="5819747"/>
    <s v="ms"/>
    <m/>
    <x v="1"/>
    <n v="5819747"/>
  </r>
  <r>
    <x v="1"/>
    <x v="0"/>
    <x v="0"/>
    <x v="0"/>
    <x v="1"/>
    <x v="79"/>
    <n v="23"/>
    <s v="ms"/>
    <m/>
    <x v="1"/>
    <n v="23"/>
  </r>
  <r>
    <x v="1"/>
    <x v="0"/>
    <x v="0"/>
    <x v="0"/>
    <x v="1"/>
    <x v="80"/>
    <n v="1455699.25"/>
    <s v="ms"/>
    <m/>
    <x v="1"/>
    <n v="1455699.25"/>
  </r>
  <r>
    <x v="1"/>
    <x v="0"/>
    <x v="0"/>
    <x v="0"/>
    <x v="1"/>
    <x v="81"/>
    <n v="2519584.2544080932"/>
    <s v="ms"/>
    <m/>
    <x v="1"/>
    <n v="2519584.2544080932"/>
  </r>
  <r>
    <x v="1"/>
    <x v="0"/>
    <x v="0"/>
    <x v="0"/>
    <x v="1"/>
    <x v="82"/>
    <n v="4"/>
    <m/>
    <m/>
    <x v="1"/>
    <n v="4"/>
  </r>
  <r>
    <x v="1"/>
    <x v="0"/>
    <x v="0"/>
    <x v="0"/>
    <x v="1"/>
    <x v="83"/>
    <n v="230"/>
    <s v="ms"/>
    <m/>
    <x v="1"/>
    <n v="230"/>
  </r>
  <r>
    <x v="1"/>
    <x v="0"/>
    <x v="0"/>
    <x v="0"/>
    <x v="1"/>
    <x v="84"/>
    <n v="124"/>
    <s v="ms"/>
    <m/>
    <x v="1"/>
    <n v="124"/>
  </r>
  <r>
    <x v="1"/>
    <x v="0"/>
    <x v="0"/>
    <x v="0"/>
    <x v="1"/>
    <x v="85"/>
    <n v="100"/>
    <s v="ms"/>
    <m/>
    <x v="1"/>
    <n v="100"/>
  </r>
  <r>
    <x v="1"/>
    <x v="0"/>
    <x v="0"/>
    <x v="0"/>
    <x v="1"/>
    <x v="86"/>
    <n v="10"/>
    <m/>
    <m/>
    <x v="1"/>
    <n v="10"/>
  </r>
  <r>
    <x v="1"/>
    <x v="0"/>
    <x v="0"/>
    <x v="0"/>
    <x v="1"/>
    <x v="87"/>
    <n v="5"/>
    <m/>
    <m/>
    <x v="1"/>
    <n v="5"/>
  </r>
  <r>
    <x v="1"/>
    <x v="0"/>
    <x v="0"/>
    <x v="0"/>
    <x v="1"/>
    <x v="88"/>
    <n v="123"/>
    <s v="ms"/>
    <m/>
    <x v="1"/>
    <n v="123"/>
  </r>
  <r>
    <x v="1"/>
    <x v="0"/>
    <x v="0"/>
    <x v="0"/>
    <x v="1"/>
    <x v="89"/>
    <n v="54"/>
    <s v="ms"/>
    <m/>
    <x v="1"/>
    <n v="54"/>
  </r>
  <r>
    <x v="1"/>
    <x v="0"/>
    <x v="0"/>
    <x v="0"/>
    <x v="1"/>
    <x v="90"/>
    <n v="23"/>
    <s v="ms"/>
    <m/>
    <x v="1"/>
    <n v="23"/>
  </r>
  <r>
    <x v="1"/>
    <x v="0"/>
    <x v="0"/>
    <x v="0"/>
    <x v="1"/>
    <x v="91"/>
    <n v="12"/>
    <m/>
    <m/>
    <x v="1"/>
    <n v="12"/>
  </r>
  <r>
    <x v="1"/>
    <x v="0"/>
    <x v="0"/>
    <x v="0"/>
    <x v="1"/>
    <x v="92"/>
    <n v="7.89"/>
    <s v="mb/sec"/>
    <m/>
    <x v="1"/>
    <n v="7.89"/>
  </r>
  <r>
    <x v="1"/>
    <x v="0"/>
    <x v="0"/>
    <x v="0"/>
    <x v="1"/>
    <x v="93"/>
    <n v="3.45"/>
    <s v="mb/sec"/>
    <m/>
    <x v="1"/>
    <n v="3.45"/>
  </r>
  <r>
    <x v="1"/>
    <x v="0"/>
    <x v="0"/>
    <x v="0"/>
    <x v="1"/>
    <x v="94"/>
    <n v="1.23"/>
    <s v="mb/sec"/>
    <m/>
    <x v="1"/>
    <n v="1.23"/>
  </r>
  <r>
    <x v="1"/>
    <x v="0"/>
    <x v="0"/>
    <x v="0"/>
    <x v="1"/>
    <x v="95"/>
    <n v="12.43"/>
    <s v="mb"/>
    <m/>
    <x v="1"/>
    <n v="12.43"/>
  </r>
  <r>
    <x v="1"/>
    <x v="0"/>
    <x v="0"/>
    <x v="0"/>
    <x v="1"/>
    <x v="96"/>
    <n v="5.67"/>
    <s v="mb"/>
    <m/>
    <x v="1"/>
    <n v="5.67"/>
  </r>
  <r>
    <x v="1"/>
    <x v="0"/>
    <x v="0"/>
    <x v="0"/>
    <x v="1"/>
    <x v="97"/>
    <n v="2.34"/>
    <s v="mb"/>
    <m/>
    <x v="1"/>
    <n v="2.34"/>
  </r>
  <r>
    <x v="1"/>
    <x v="0"/>
    <x v="0"/>
    <x v="0"/>
    <x v="1"/>
    <x v="98"/>
    <n v="23.45"/>
    <s v="mb"/>
    <m/>
    <x v="1"/>
    <n v="23.45"/>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178">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2"/>
    <x v="1"/>
    <x v="1"/>
    <x v="177"/>
    <m/>
    <m/>
    <m/>
    <m/>
    <m/>
    <m/>
    <m/>
    <m/>
    <m/>
    <m/>
    <m/>
    <m/>
    <m/>
    <m/>
  </r>
</pivotCacheRecords>
</file>

<file path=xl/pivotCache/pivotCacheRecords6.xml><?xml version="1.0" encoding="utf-8"?>
<pivotCacheRecords xmlns="http://schemas.openxmlformats.org/spreadsheetml/2006/main" xmlns:r="http://schemas.openxmlformats.org/officeDocument/2006/relationships" count="3168">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1"/>
    <x v="0"/>
    <x v="0"/>
    <x v="0"/>
    <x v="1"/>
    <x v="48"/>
    <n v="7850189"/>
    <x v="6"/>
    <m/>
    <x v="1"/>
    <n v="7850189"/>
    <m/>
  </r>
  <r>
    <x v="1"/>
    <x v="0"/>
    <x v="0"/>
    <x v="0"/>
    <x v="1"/>
    <x v="49"/>
    <n v="420"/>
    <x v="6"/>
    <m/>
    <x v="1"/>
    <n v="420"/>
    <m/>
  </r>
  <r>
    <x v="1"/>
    <x v="0"/>
    <x v="0"/>
    <x v="0"/>
    <x v="1"/>
    <x v="50"/>
    <n v="5106046"/>
    <x v="6"/>
    <m/>
    <x v="1"/>
    <n v="5106046"/>
    <m/>
  </r>
  <r>
    <x v="1"/>
    <x v="0"/>
    <x v="0"/>
    <x v="0"/>
    <x v="1"/>
    <x v="51"/>
    <n v="2156"/>
    <x v="0"/>
    <m/>
    <x v="1"/>
    <n v="2156"/>
    <m/>
  </r>
  <r>
    <x v="1"/>
    <x v="0"/>
    <x v="0"/>
    <x v="0"/>
    <x v="1"/>
    <x v="52"/>
    <n v="715485903"/>
    <x v="4"/>
    <n v="682.3405294418335"/>
    <x v="1"/>
    <m/>
    <m/>
  </r>
  <r>
    <x v="1"/>
    <x v="0"/>
    <x v="0"/>
    <x v="0"/>
    <x v="1"/>
    <x v="53"/>
    <n v="65952"/>
    <x v="4"/>
    <n v="6.2896728515625E-2"/>
    <x v="1"/>
    <m/>
    <m/>
  </r>
  <r>
    <x v="1"/>
    <x v="0"/>
    <x v="0"/>
    <x v="0"/>
    <x v="1"/>
    <x v="54"/>
    <n v="449388794"/>
    <x v="4"/>
    <n v="428.57055155686851"/>
    <x v="1"/>
    <m/>
    <m/>
  </r>
  <r>
    <x v="2"/>
    <x v="0"/>
    <x v="0"/>
    <x v="0"/>
    <x v="1"/>
    <x v="55"/>
    <n v="35"/>
    <x v="7"/>
    <m/>
    <x v="1"/>
    <n v="35"/>
    <m/>
  </r>
  <r>
    <x v="2"/>
    <x v="0"/>
    <x v="0"/>
    <x v="0"/>
    <x v="1"/>
    <x v="56"/>
    <n v="4.4999999999999998E-2"/>
    <x v="2"/>
    <m/>
    <x v="1"/>
    <n v="4055.2689999999998"/>
    <m/>
  </r>
  <r>
    <x v="2"/>
    <x v="0"/>
    <x v="0"/>
    <x v="0"/>
    <x v="1"/>
    <x v="57"/>
    <n v="10"/>
    <x v="2"/>
    <m/>
    <x v="1"/>
    <n v="10"/>
    <m/>
  </r>
  <r>
    <x v="2"/>
    <x v="0"/>
    <x v="0"/>
    <x v="0"/>
    <x v="1"/>
    <x v="36"/>
    <n v="1.97"/>
    <x v="8"/>
    <n v="1.97"/>
    <x v="1"/>
    <n v="1.97"/>
    <m/>
  </r>
  <r>
    <x v="1"/>
    <x v="0"/>
    <x v="0"/>
    <x v="0"/>
    <x v="1"/>
    <x v="58"/>
    <n v="2100"/>
    <x v="0"/>
    <m/>
    <x v="1"/>
    <n v="2100"/>
    <m/>
  </r>
  <r>
    <x v="1"/>
    <x v="0"/>
    <x v="0"/>
    <x v="0"/>
    <x v="1"/>
    <x v="59"/>
    <n v="100"/>
    <x v="0"/>
    <m/>
    <x v="1"/>
    <n v="100"/>
    <m/>
  </r>
  <r>
    <x v="1"/>
    <x v="0"/>
    <x v="0"/>
    <x v="0"/>
    <x v="1"/>
    <x v="60"/>
    <n v="1200"/>
    <x v="0"/>
    <m/>
    <x v="1"/>
    <n v="1200"/>
    <m/>
  </r>
  <r>
    <x v="1"/>
    <x v="0"/>
    <x v="0"/>
    <x v="0"/>
    <x v="1"/>
    <x v="61"/>
    <n v="4"/>
    <x v="0"/>
    <m/>
    <x v="1"/>
    <n v="4"/>
    <m/>
  </r>
  <r>
    <x v="1"/>
    <x v="0"/>
    <x v="0"/>
    <x v="0"/>
    <x v="1"/>
    <x v="62"/>
    <n v="12"/>
    <x v="0"/>
    <m/>
    <x v="1"/>
    <n v="12"/>
    <m/>
  </r>
  <r>
    <x v="1"/>
    <x v="0"/>
    <x v="0"/>
    <x v="0"/>
    <x v="1"/>
    <x v="63"/>
    <n v="8"/>
    <x v="0"/>
    <m/>
    <x v="1"/>
    <n v="8"/>
    <m/>
  </r>
  <r>
    <x v="1"/>
    <x v="0"/>
    <x v="0"/>
    <x v="0"/>
    <x v="1"/>
    <x v="64"/>
    <n v="4"/>
    <x v="0"/>
    <m/>
    <x v="1"/>
    <n v="4"/>
    <m/>
  </r>
  <r>
    <x v="1"/>
    <x v="0"/>
    <x v="0"/>
    <x v="0"/>
    <x v="1"/>
    <x v="65"/>
    <n v="2"/>
    <x v="0"/>
    <m/>
    <x v="1"/>
    <n v="2"/>
    <m/>
  </r>
  <r>
    <x v="1"/>
    <x v="0"/>
    <x v="0"/>
    <x v="0"/>
    <x v="1"/>
    <x v="66"/>
    <n v="3"/>
    <x v="0"/>
    <m/>
    <x v="1"/>
    <n v="3"/>
    <m/>
  </r>
  <r>
    <x v="1"/>
    <x v="0"/>
    <x v="0"/>
    <x v="0"/>
    <x v="1"/>
    <x v="67"/>
    <n v="7"/>
    <x v="0"/>
    <m/>
    <x v="1"/>
    <n v="7"/>
    <m/>
  </r>
  <r>
    <x v="1"/>
    <x v="0"/>
    <x v="0"/>
    <x v="0"/>
    <x v="1"/>
    <x v="68"/>
    <n v="3"/>
    <x v="0"/>
    <m/>
    <x v="1"/>
    <n v="3"/>
    <m/>
  </r>
  <r>
    <x v="1"/>
    <x v="0"/>
    <x v="0"/>
    <x v="0"/>
    <x v="1"/>
    <x v="69"/>
    <n v="2"/>
    <x v="0"/>
    <m/>
    <x v="1"/>
    <n v="2"/>
    <m/>
  </r>
  <r>
    <x v="1"/>
    <x v="0"/>
    <x v="0"/>
    <x v="0"/>
    <x v="1"/>
    <x v="70"/>
    <n v="1"/>
    <x v="0"/>
    <m/>
    <x v="1"/>
    <n v="1"/>
    <m/>
  </r>
  <r>
    <x v="1"/>
    <x v="0"/>
    <x v="0"/>
    <x v="0"/>
    <x v="1"/>
    <x v="71"/>
    <n v="6"/>
    <x v="0"/>
    <m/>
    <x v="1"/>
    <n v="6"/>
    <m/>
  </r>
  <r>
    <x v="1"/>
    <x v="0"/>
    <x v="0"/>
    <x v="0"/>
    <x v="1"/>
    <x v="72"/>
    <n v="23"/>
    <x v="0"/>
    <m/>
    <x v="1"/>
    <n v="23"/>
    <m/>
  </r>
  <r>
    <x v="1"/>
    <x v="0"/>
    <x v="0"/>
    <x v="0"/>
    <x v="0"/>
    <x v="73"/>
    <n v="7901303"/>
    <x v="2"/>
    <m/>
    <x v="0"/>
    <n v="7901303"/>
    <s v="1697"/>
  </r>
  <r>
    <x v="1"/>
    <x v="0"/>
    <x v="0"/>
    <x v="0"/>
    <x v="0"/>
    <x v="74"/>
    <n v="9174"/>
    <x v="2"/>
    <m/>
    <x v="0"/>
    <n v="9174"/>
    <s v="1697"/>
  </r>
  <r>
    <x v="1"/>
    <x v="0"/>
    <x v="0"/>
    <x v="0"/>
    <x v="0"/>
    <x v="75"/>
    <n v="112953"/>
    <x v="2"/>
    <m/>
    <x v="0"/>
    <n v="112953"/>
    <s v="1697"/>
  </r>
  <r>
    <x v="1"/>
    <x v="0"/>
    <x v="0"/>
    <x v="0"/>
    <x v="0"/>
    <x v="76"/>
    <n v="246"/>
    <x v="0"/>
    <m/>
    <x v="0"/>
    <n v="246"/>
    <s v="1697"/>
  </r>
  <r>
    <x v="1"/>
    <x v="0"/>
    <x v="0"/>
    <x v="0"/>
    <x v="0"/>
    <x v="77"/>
    <n v="1"/>
    <x v="0"/>
    <m/>
    <x v="0"/>
    <n v="1"/>
    <s v="1697"/>
  </r>
  <r>
    <x v="1"/>
    <x v="0"/>
    <x v="0"/>
    <x v="0"/>
    <x v="1"/>
    <x v="78"/>
    <n v="5819747"/>
    <x v="2"/>
    <m/>
    <x v="1"/>
    <n v="5819747"/>
    <n v="13"/>
  </r>
  <r>
    <x v="1"/>
    <x v="0"/>
    <x v="0"/>
    <x v="0"/>
    <x v="1"/>
    <x v="79"/>
    <n v="23"/>
    <x v="2"/>
    <m/>
    <x v="1"/>
    <n v="23"/>
    <n v="13"/>
  </r>
  <r>
    <x v="1"/>
    <x v="0"/>
    <x v="0"/>
    <x v="0"/>
    <x v="1"/>
    <x v="80"/>
    <n v="1455699.25"/>
    <x v="2"/>
    <m/>
    <x v="1"/>
    <n v="1455699.25"/>
    <n v="13"/>
  </r>
  <r>
    <x v="1"/>
    <x v="0"/>
    <x v="0"/>
    <x v="0"/>
    <x v="1"/>
    <x v="81"/>
    <n v="2519584.2544080932"/>
    <x v="2"/>
    <m/>
    <x v="1"/>
    <n v="2519584.2544080932"/>
    <n v="13"/>
  </r>
  <r>
    <x v="1"/>
    <x v="0"/>
    <x v="0"/>
    <x v="0"/>
    <x v="1"/>
    <x v="82"/>
    <n v="4"/>
    <x v="0"/>
    <m/>
    <x v="1"/>
    <n v="4"/>
    <n v="13"/>
  </r>
  <r>
    <x v="1"/>
    <x v="0"/>
    <x v="0"/>
    <x v="0"/>
    <x v="1"/>
    <x v="83"/>
    <n v="230"/>
    <x v="2"/>
    <m/>
    <x v="1"/>
    <n v="230"/>
    <n v="14"/>
  </r>
  <r>
    <x v="1"/>
    <x v="0"/>
    <x v="0"/>
    <x v="0"/>
    <x v="1"/>
    <x v="84"/>
    <n v="124"/>
    <x v="2"/>
    <m/>
    <x v="1"/>
    <n v="124"/>
    <n v="14"/>
  </r>
  <r>
    <x v="1"/>
    <x v="0"/>
    <x v="0"/>
    <x v="0"/>
    <x v="1"/>
    <x v="85"/>
    <n v="100"/>
    <x v="2"/>
    <m/>
    <x v="1"/>
    <n v="100"/>
    <n v="14"/>
  </r>
  <r>
    <x v="1"/>
    <x v="0"/>
    <x v="0"/>
    <x v="0"/>
    <x v="1"/>
    <x v="86"/>
    <n v="10"/>
    <x v="0"/>
    <m/>
    <x v="1"/>
    <n v="10"/>
    <n v="14"/>
  </r>
  <r>
    <x v="1"/>
    <x v="0"/>
    <x v="0"/>
    <x v="0"/>
    <x v="1"/>
    <x v="87"/>
    <n v="5"/>
    <x v="0"/>
    <m/>
    <x v="1"/>
    <n v="5"/>
    <n v="14"/>
  </r>
  <r>
    <x v="1"/>
    <x v="0"/>
    <x v="0"/>
    <x v="0"/>
    <x v="1"/>
    <x v="88"/>
    <n v="123"/>
    <x v="2"/>
    <m/>
    <x v="1"/>
    <n v="123"/>
    <n v="15"/>
  </r>
  <r>
    <x v="1"/>
    <x v="0"/>
    <x v="0"/>
    <x v="0"/>
    <x v="1"/>
    <x v="89"/>
    <n v="54"/>
    <x v="2"/>
    <m/>
    <x v="1"/>
    <n v="54"/>
    <n v="15"/>
  </r>
  <r>
    <x v="1"/>
    <x v="0"/>
    <x v="0"/>
    <x v="0"/>
    <x v="1"/>
    <x v="90"/>
    <n v="23"/>
    <x v="2"/>
    <m/>
    <x v="1"/>
    <n v="23"/>
    <n v="15"/>
  </r>
  <r>
    <x v="1"/>
    <x v="0"/>
    <x v="0"/>
    <x v="0"/>
    <x v="1"/>
    <x v="91"/>
    <n v="12"/>
    <x v="0"/>
    <m/>
    <x v="1"/>
    <n v="12"/>
    <n v="15"/>
  </r>
  <r>
    <x v="1"/>
    <x v="0"/>
    <x v="0"/>
    <x v="0"/>
    <x v="1"/>
    <x v="92"/>
    <n v="7.89"/>
    <x v="5"/>
    <m/>
    <x v="1"/>
    <n v="7.89"/>
    <n v="15"/>
  </r>
  <r>
    <x v="1"/>
    <x v="0"/>
    <x v="0"/>
    <x v="0"/>
    <x v="1"/>
    <x v="93"/>
    <n v="3.45"/>
    <x v="5"/>
    <m/>
    <x v="1"/>
    <n v="3.45"/>
    <n v="15"/>
  </r>
  <r>
    <x v="1"/>
    <x v="0"/>
    <x v="0"/>
    <x v="0"/>
    <x v="1"/>
    <x v="94"/>
    <n v="1.23"/>
    <x v="5"/>
    <m/>
    <x v="1"/>
    <n v="1.23"/>
    <n v="15"/>
  </r>
  <r>
    <x v="1"/>
    <x v="0"/>
    <x v="0"/>
    <x v="0"/>
    <x v="1"/>
    <x v="95"/>
    <n v="12.43"/>
    <x v="8"/>
    <m/>
    <x v="1"/>
    <n v="12.43"/>
    <n v="15"/>
  </r>
  <r>
    <x v="1"/>
    <x v="0"/>
    <x v="0"/>
    <x v="0"/>
    <x v="1"/>
    <x v="96"/>
    <n v="5.67"/>
    <x v="8"/>
    <m/>
    <x v="1"/>
    <n v="5.67"/>
    <n v="15"/>
  </r>
  <r>
    <x v="1"/>
    <x v="0"/>
    <x v="0"/>
    <x v="0"/>
    <x v="1"/>
    <x v="97"/>
    <n v="2.34"/>
    <x v="8"/>
    <m/>
    <x v="1"/>
    <n v="2.34"/>
    <n v="15"/>
  </r>
  <r>
    <x v="1"/>
    <x v="0"/>
    <x v="0"/>
    <x v="0"/>
    <x v="1"/>
    <x v="98"/>
    <n v="23.45"/>
    <x v="8"/>
    <m/>
    <x v="1"/>
    <n v="23.45"/>
    <n v="15"/>
  </r>
  <r>
    <x v="0"/>
    <x v="0"/>
    <x v="0"/>
    <x v="0"/>
    <x v="1"/>
    <x v="99"/>
    <m/>
    <x v="9"/>
    <m/>
    <x v="1"/>
    <m/>
    <m/>
  </r>
  <r>
    <x v="0"/>
    <x v="0"/>
    <x v="0"/>
    <x v="0"/>
    <x v="1"/>
    <x v="99"/>
    <m/>
    <x v="10"/>
    <m/>
    <x v="1"/>
    <m/>
    <m/>
  </r>
  <r>
    <x v="0"/>
    <x v="0"/>
    <x v="0"/>
    <x v="0"/>
    <x v="1"/>
    <x v="99"/>
    <m/>
    <x v="11"/>
    <m/>
    <x v="1"/>
    <m/>
    <m/>
  </r>
  <r>
    <x v="0"/>
    <x v="0"/>
    <x v="0"/>
    <x v="0"/>
    <x v="1"/>
    <x v="99"/>
    <m/>
    <x v="12"/>
    <m/>
    <x v="1"/>
    <m/>
    <m/>
  </r>
  <r>
    <x v="0"/>
    <x v="0"/>
    <x v="0"/>
    <x v="0"/>
    <x v="1"/>
    <x v="99"/>
    <m/>
    <x v="9"/>
    <m/>
    <x v="1"/>
    <m/>
    <m/>
  </r>
  <r>
    <x v="0"/>
    <x v="0"/>
    <x v="0"/>
    <x v="0"/>
    <x v="1"/>
    <x v="99"/>
    <m/>
    <x v="13"/>
    <m/>
    <x v="1"/>
    <m/>
    <m/>
  </r>
  <r>
    <x v="0"/>
    <x v="0"/>
    <x v="0"/>
    <x v="0"/>
    <x v="1"/>
    <x v="99"/>
    <m/>
    <x v="9"/>
    <m/>
    <x v="1"/>
    <m/>
    <m/>
  </r>
  <r>
    <x v="0"/>
    <x v="0"/>
    <x v="0"/>
    <x v="0"/>
    <x v="1"/>
    <x v="99"/>
    <m/>
    <x v="14"/>
    <m/>
    <x v="1"/>
    <m/>
    <m/>
  </r>
  <r>
    <x v="0"/>
    <x v="0"/>
    <x v="0"/>
    <x v="0"/>
    <x v="1"/>
    <x v="99"/>
    <m/>
    <x v="15"/>
    <m/>
    <x v="1"/>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pivotCacheRecords>
</file>

<file path=xl/pivotCache/pivotCacheRecords7.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m/>
    <x v="1"/>
    <x v="1"/>
    <m/>
    <x v="1"/>
    <m/>
    <m/>
    <x v="2"/>
    <m/>
    <m/>
    <m/>
    <m/>
    <m/>
    <m/>
    <m/>
    <m/>
    <m/>
    <m/>
    <m/>
    <m/>
    <m/>
    <m/>
    <m/>
    <m/>
    <m/>
    <m/>
    <m/>
    <m/>
    <m/>
    <m/>
    <m/>
    <m/>
    <m/>
    <m/>
    <m/>
    <m/>
    <m/>
    <m/>
    <m/>
  </r>
  <r>
    <x v="5"/>
    <m/>
    <x v="1"/>
    <x v="1"/>
    <m/>
    <x v="1"/>
    <m/>
    <m/>
    <x v="2"/>
    <m/>
    <m/>
    <m/>
    <m/>
    <m/>
    <m/>
    <m/>
    <m/>
    <m/>
    <m/>
    <m/>
    <m/>
    <m/>
    <m/>
    <m/>
    <m/>
    <m/>
    <m/>
    <m/>
    <m/>
    <m/>
    <m/>
    <m/>
    <m/>
    <m/>
    <m/>
    <m/>
    <m/>
    <m/>
    <m/>
    <m/>
  </r>
  <r>
    <x v="5"/>
    <m/>
    <x v="1"/>
    <x v="1"/>
    <m/>
    <x v="1"/>
    <m/>
    <m/>
    <x v="2"/>
    <m/>
    <m/>
    <m/>
    <m/>
    <m/>
    <m/>
    <m/>
    <m/>
    <m/>
    <m/>
    <m/>
    <m/>
    <m/>
    <m/>
    <m/>
    <m/>
    <m/>
    <m/>
    <m/>
    <m/>
    <m/>
    <m/>
    <m/>
    <m/>
    <m/>
    <m/>
    <m/>
    <m/>
    <m/>
    <m/>
    <m/>
  </r>
  <r>
    <x v="5"/>
    <m/>
    <x v="1"/>
    <x v="1"/>
    <m/>
    <x v="1"/>
    <m/>
    <m/>
    <x v="2"/>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name="PivotTable2"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TLocalReadCount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TLocalReadLatencyMax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TPReadNbr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B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TPReadCntMax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W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LocalReadCount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7"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LatencyMax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Tables" fieldListSortAscending="1">
  <location ref="L7:N16" firstHeaderRow="1" firstDataRow="2"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Col"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axis="axisRow" dataField="1" showAll="0">
      <items count="17">
        <item sd="0" x="12"/>
        <item sd="0" x="14"/>
        <item sd="0" x="13"/>
        <item sd="0" x="11"/>
        <item sd="0" x="9"/>
        <item sd="0" x="10"/>
        <item sd="0" x="15"/>
        <item x="4"/>
        <item x="8"/>
        <item x="5"/>
        <item x="2"/>
        <item x="1"/>
        <item x="3"/>
        <item x="6"/>
        <item x="7"/>
        <item x="0"/>
        <item t="default"/>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1">
    <field x="4"/>
  </colFields>
  <colItems count="2">
    <i>
      <x v="1"/>
    </i>
    <i t="grand">
      <x/>
    </i>
  </colItems>
  <pageFields count="4">
    <pageField fld="1" hier="-1"/>
    <pageField fld="3" hier="-1"/>
    <pageField fld="9" hier="-1"/>
    <pageField fld="5" item="102" hier="-1"/>
  </pageFields>
  <dataFields count="1">
    <dataField name="SSTable Level" fld="7" subtotal="count" baseField="0" baseItem="0"/>
  </dataFields>
  <formats count="2">
    <format dxfId="439">
      <pivotArea dataOnly="0" labelOnly="1" outline="0" axis="axisValues" fieldPosition="0"/>
    </format>
    <format dxfId="43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2" hier="-1"/>
  </pageFields>
  <dataFields count="2">
    <dataField name="Max SSTables Read per Node" fld="6" subtotal="max" baseField="4" baseItem="1" numFmtId="172"/>
    <dataField name="Average SSTables Read"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F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WriteLatencyMax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LocalWriteCount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LocalWriteLatency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LocalWriteCount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TPWriteNbrbyNode"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1">
        <item h="1" x="16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72"/>
        <item h="1" m="1" x="171"/>
        <item h="1" m="1" x="17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77"/>
        <item h="1" m="1" x="176"/>
        <item h="1" m="1" x="178"/>
        <item h="1" x="107"/>
        <item h="1" x="108"/>
        <item h="1" x="109"/>
        <item h="1" x="110"/>
        <item h="1" x="111"/>
        <item h="1" x="112"/>
        <item h="1" x="30"/>
        <item h="1" x="31"/>
        <item h="1" x="32"/>
        <item h="1" x="104"/>
        <item h="1" x="105"/>
        <item h="1" x="106"/>
        <item h="1" m="1" x="175"/>
        <item h="1" m="1" x="174"/>
        <item h="1" m="1" x="179"/>
        <item h="1" m="1" x="173"/>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TPWriteCntMaxin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437">
      <pivotArea collapsedLevelsAreSubtotals="1" fieldPosition="0">
        <references count="2">
          <reference field="4294967294" count="1" selected="0">
            <x v="0"/>
          </reference>
          <reference field="2" count="1">
            <x v="0"/>
          </reference>
        </references>
      </pivotArea>
    </format>
    <format dxfId="43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MaxTombStonesSlice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AvgTombStones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MaxTombStones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NbrTombStonesWarnings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TNbrTombStonesWarnings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TMaxTombStones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TAvgNbrTombStones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Q8:S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TMaxTombStonesSlice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P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TSlowQueryOccurrences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34">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435">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ad Repair Keyspace">
  <location ref="B8:Q11" firstHeaderRow="0" firstDataRow="1" firstDataCol="1" rowPageCount="2" colPageCount="1"/>
  <pivotFields count="40">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showAll="0"/>
    <pivotField showAll="0"/>
    <pivotField showAll="0"/>
    <pivotField showAll="0"/>
    <pivotField dataField="1" showAll="0"/>
    <pivotField dataField="1" showAll="0"/>
    <pivotField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s>
  <rowFields count="3">
    <field x="5"/>
    <field x="3"/>
    <field x="8"/>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2" baseField="3" baseItem="1" numFmtId="3"/>
    <dataField name="Total Nbr GC Events" fld="16" baseField="3" baseItem="0" numFmtId="3"/>
    <dataField name="Total Nbr Compaction Events" fld="17" baseField="3" baseItem="0" numFmtId="3"/>
    <dataField name="Max of Compaction Time (ms)" fld="31" subtotal="max" baseField="3" baseItem="0" numFmtId="3"/>
    <dataField name="Total Flushes" fld="33" baseField="5" baseItem="0" numFmtId="3"/>
    <dataField name="Total Flushed Size (mb)" fld="34" baseField="5" baseItem="0" numFmtId="172"/>
    <dataField name="Max Flush Duration (ms)" fld="35" subtotal="max" baseField="5" baseItem="0" numFmtId="3"/>
    <dataField name="Total Nbr Solr ReIdx Events" fld="19" baseField="3" baseItem="0" numFmtId="3"/>
    <dataField name="Nbr Perf Warnings" fld="38" baseField="5" baseItem="0" numFmtId="3"/>
    <dataField name="Perf Avg Latency" fld="39" subtotal="average" baseField="5" baseItem="0" numFmtId="3"/>
    <dataField name="Total Nbr Exceptions" fld="20" baseField="3" baseItem="0" numFmtId="3"/>
    <dataField name="Total Aborted Read Repair" fld="23" baseField="3" baseItem="0" numFmtId="3"/>
  </dataFields>
  <formats count="10">
    <format dxfId="433">
      <pivotArea field="3" type="button" dataOnly="0" labelOnly="1" outline="0" axis="axisRow" fieldPosition="1"/>
    </format>
    <format dxfId="432">
      <pivotArea dataOnly="0" labelOnly="1" outline="0" fieldPosition="0">
        <references count="1">
          <reference field="4294967294" count="8">
            <x v="0"/>
            <x v="1"/>
            <x v="2"/>
            <x v="4"/>
            <x v="5"/>
            <x v="10"/>
            <x v="13"/>
            <x v="14"/>
          </reference>
        </references>
      </pivotArea>
    </format>
    <format dxfId="431">
      <pivotArea outline="0" fieldPosition="0">
        <references count="1">
          <reference field="4294967294" count="1">
            <x v="6"/>
          </reference>
        </references>
      </pivotArea>
    </format>
    <format dxfId="430">
      <pivotArea dataOnly="0" labelOnly="1" outline="0" fieldPosition="0">
        <references count="1">
          <reference field="4294967294" count="1">
            <x v="6"/>
          </reference>
        </references>
      </pivotArea>
    </format>
    <format dxfId="429">
      <pivotArea outline="0" fieldPosition="0">
        <references count="1">
          <reference field="4294967294" count="1">
            <x v="3"/>
          </reference>
        </references>
      </pivotArea>
    </format>
    <format dxfId="428">
      <pivotArea outline="0" fieldPosition="0">
        <references count="1">
          <reference field="4294967294" count="1">
            <x v="7"/>
          </reference>
        </references>
      </pivotArea>
    </format>
    <format dxfId="427">
      <pivotArea outline="0" fieldPosition="0">
        <references count="1">
          <reference field="4294967294" count="1">
            <x v="8"/>
          </reference>
        </references>
      </pivotArea>
    </format>
    <format dxfId="426">
      <pivotArea outline="0" fieldPosition="0">
        <references count="1">
          <reference field="4294967294" count="1">
            <x v="9"/>
          </reference>
        </references>
      </pivotArea>
    </format>
    <format dxfId="425">
      <pivotArea outline="0" fieldPosition="0">
        <references count="1">
          <reference field="4294967294" count="1">
            <x v="11"/>
          </reference>
        </references>
      </pivotArea>
    </format>
    <format dxfId="424">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TTPReadRepairMax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TTPReadRepairDigestQryNbr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TTPReadRepairDigestQryMax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TTPReadRepairNbr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ivotTable1" cacheId="2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8:AM11" firstHeaderRow="0" firstDataRow="1" firstDataCol="1" rowPageCount="2" colPageCount="1"/>
  <pivotFields count="40">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4">
        <item sd="0" x="2"/>
        <item sd="0" x="0"/>
        <item sd="0" x="1"/>
        <item t="default" sd="0"/>
      </items>
    </pivotField>
    <pivotField dataField="1" showAll="0"/>
    <pivotField showAll="0"/>
    <pivotField showAll="0"/>
    <pivotField showAll="0"/>
    <pivotField showAll="0"/>
    <pivotField showAll="0"/>
    <pivotField showAll="0"/>
    <pivotField dataField="1" showAll="0"/>
    <pivotField dataField="1" showAll="0"/>
    <pivotField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s>
  <rowFields count="3">
    <field x="3"/>
    <field x="8"/>
    <field x="5"/>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pageFields count="2">
    <pageField fld="0" hier="-1"/>
    <pageField fld="2" hier="-1"/>
  </pageFields>
  <dataFields count="14">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2" baseField="3" baseItem="1" numFmtId="3"/>
    <dataField name="Total Nbr GC Events" fld="16" baseField="3" baseItem="0" numFmtId="3"/>
    <dataField name="Max GC Time (ms)" fld="24" subtotal="max" baseField="5" baseItem="0" numFmtId="3"/>
    <dataField name="Total Nbr Compaction Events" fld="17" baseField="3" baseItem="0" numFmtId="3"/>
    <dataField name="Max of Compaction Time (ms)" fld="31" subtotal="max" baseField="3" baseItem="0" numFmtId="3"/>
    <dataField name="Total Nbr of Flush Events" fld="33" baseField="3" baseItem="0" numFmtId="3"/>
    <dataField name="Total Nbr Solr ReIdx Events" fld="19" baseField="3" baseItem="0" numFmtId="3"/>
    <dataField name="Nbr Perf Warnings" fld="38" baseField="3" baseItem="0" numFmtId="3"/>
    <dataField name="Perf Avg Latency" fld="39" subtotal="average" baseField="3" baseItem="0" numFmtId="3"/>
    <dataField name="Total Nbr Exceptions" fld="20" baseField="3" baseItem="0" numFmtId="3"/>
    <dataField name="Total Aborted Read Repair" fld="23" baseField="3" baseItem="0" numFmtId="3"/>
  </dataFields>
  <formats count="10">
    <format dxfId="423">
      <pivotArea field="3" type="button" dataOnly="0" labelOnly="1" outline="0" axis="axisRow" fieldPosition="0"/>
    </format>
    <format dxfId="422">
      <pivotArea dataOnly="0" labelOnly="1" outline="0" fieldPosition="0">
        <references count="1">
          <reference field="4294967294" count="8">
            <x v="0"/>
            <x v="1"/>
            <x v="2"/>
            <x v="4"/>
            <x v="6"/>
            <x v="9"/>
            <x v="12"/>
            <x v="13"/>
          </reference>
        </references>
      </pivotArea>
    </format>
    <format dxfId="421">
      <pivotArea outline="0" fieldPosition="0">
        <references count="1">
          <reference field="4294967294" count="1">
            <x v="5"/>
          </reference>
        </references>
      </pivotArea>
    </format>
    <format dxfId="420">
      <pivotArea outline="0" fieldPosition="0">
        <references count="1">
          <reference field="4294967294" count="1">
            <x v="7"/>
          </reference>
        </references>
      </pivotArea>
    </format>
    <format dxfId="419">
      <pivotArea dataOnly="0" labelOnly="1" outline="0" fieldPosition="0">
        <references count="1">
          <reference field="4294967294" count="1">
            <x v="7"/>
          </reference>
        </references>
      </pivotArea>
    </format>
    <format dxfId="418">
      <pivotArea dataOnly="0" labelOnly="1" outline="0" fieldPosition="0">
        <references count="1">
          <reference field="4294967294" count="1">
            <x v="5"/>
          </reference>
        </references>
      </pivotArea>
    </format>
    <format dxfId="417">
      <pivotArea outline="0" fieldPosition="0">
        <references count="1">
          <reference field="4294967294" count="1">
            <x v="3"/>
          </reference>
        </references>
      </pivotArea>
    </format>
    <format dxfId="416">
      <pivotArea outline="0" fieldPosition="0">
        <references count="1">
          <reference field="4294967294" count="1">
            <x v="8"/>
          </reference>
        </references>
      </pivotArea>
    </format>
    <format dxfId="415">
      <pivotArea outline="0" fieldPosition="0">
        <references count="1">
          <reference field="4294967294" count="1">
            <x v="10"/>
          </reference>
        </references>
      </pivotArea>
    </format>
    <format dxfId="414">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ivotTable1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403">
      <pivotArea dataOnly="0" labelOnly="1" outline="0" fieldPosition="0">
        <references count="1">
          <reference field="4294967294" count="1">
            <x v="1"/>
          </reference>
        </references>
      </pivotArea>
    </format>
    <format dxfId="402">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404">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ivotTable1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407">
      <pivotArea dataOnly="0" labelOnly="1" outline="0" axis="axisValues" fieldPosition="0"/>
    </format>
    <format dxfId="406">
      <pivotArea dataOnly="0" outline="0" axis="axisValues" fieldPosition="0"/>
    </format>
    <format dxfId="40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408">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ivotTable6"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410">
      <pivotArea dataOnly="0" labelOnly="1" outline="0" fieldPosition="0">
        <references count="1">
          <reference field="4294967294" count="1">
            <x v="0"/>
          </reference>
        </references>
      </pivotArea>
    </format>
    <format dxfId="40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ivotTable1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41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413">
      <pivotArea dataOnly="0" labelOnly="1" outline="0" fieldPosition="0">
        <references count="1">
          <reference field="4294967294" count="1">
            <x v="0"/>
          </reference>
        </references>
      </pivotArea>
    </format>
    <format dxfId="41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8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1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92">
      <pivotArea dataOnly="0" labelOnly="1" outline="0" axis="axisValues" fieldPosition="0"/>
    </format>
    <format dxfId="391">
      <pivotArea dataOnly="0" outline="0" axis="axisValues" fieldPosition="0"/>
    </format>
    <format dxfId="39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1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9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6"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95">
      <pivotArea dataOnly="0" labelOnly="1" outline="0" fieldPosition="0">
        <references count="1">
          <reference field="4294967294" count="1">
            <x v="1"/>
          </reference>
        </references>
      </pivotArea>
    </format>
    <format dxfId="394">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97">
      <pivotArea dataOnly="0" labelOnly="1" outline="0" fieldPosition="0">
        <references count="1">
          <reference field="4294967294" count="1">
            <x v="1"/>
          </reference>
        </references>
      </pivotArea>
    </format>
    <format dxfId="396">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99">
      <pivotArea dataOnly="0" labelOnly="1" outline="0" fieldPosition="0">
        <references count="1">
          <reference field="4294967294" count="1">
            <x v="0"/>
          </reference>
        </references>
      </pivotArea>
    </format>
    <format dxfId="39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401">
      <pivotArea dataOnly="0" labelOnly="1" outline="0" fieldPosition="0">
        <references count="1">
          <reference field="4294967294" count="1">
            <x v="0"/>
          </reference>
        </references>
      </pivotArea>
    </format>
    <format dxfId="40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2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20"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AA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19"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9"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7" hier="-1"/>
  </pageFields>
  <dataFields count="1">
    <dataField name="Min Flush Rate (mb/sec) per Occurrence" fld="6" subtotal="min" baseField="4" baseItem="1" numFmtId="172"/>
  </dataFields>
  <formats count="3">
    <format dxfId="383">
      <pivotArea dataOnly="0" labelOnly="1" outline="0" axis="axisValues" fieldPosition="0"/>
    </format>
    <format dxfId="382">
      <pivotArea collapsedLevelsAreSubtotals="1" fieldPosition="0">
        <references count="1">
          <reference field="4" count="1">
            <x v="1"/>
          </reference>
        </references>
      </pivotArea>
    </format>
    <format dxfId="38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7:Z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5"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B7:AC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5" hier="-1"/>
  </pageFields>
  <dataFields count="1">
    <dataField name="Max Flush Rate (mb/sec) per Occurrence" fld="6" subtotal="max" baseField="4" baseItem="1" numFmtId="172"/>
  </dataFields>
  <formats count="3">
    <format dxfId="386">
      <pivotArea dataOnly="0" labelOnly="1" outline="0" axis="axisValues" fieldPosition="0"/>
    </format>
    <format dxfId="385">
      <pivotArea collapsedLevelsAreSubtotals="1" fieldPosition="0">
        <references count="1">
          <reference field="4" count="1">
            <x v="1"/>
          </reference>
        </references>
      </pivotArea>
    </format>
    <format dxfId="38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V7:W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1" hier="-1"/>
  </pageFields>
  <dataFields count="1">
    <dataField name="Total Storage" fld="6" baseField="4" baseItem="1" numFmtId="172"/>
  </dataFields>
  <formats count="2">
    <format dxfId="388">
      <pivotArea collapsedLevelsAreSubtotals="1" fieldPosition="0">
        <references count="1">
          <reference field="4" count="1">
            <x v="1"/>
          </reference>
        </references>
      </pivotArea>
    </format>
    <format dxfId="38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5"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C8:A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T8:U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8:X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80">
      <pivotArea collapsedLevelsAreSubtotals="1" fieldPosition="0">
        <references count="1">
          <reference field="4" count="1">
            <x v="1"/>
          </reference>
        </references>
      </pivotArea>
    </format>
    <format dxfId="37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78">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6"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7"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1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1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1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1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1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A8:AB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1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10"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D8:A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17"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J8:L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75">
      <pivotArea dataOnly="0" labelOnly="1" outline="0" fieldPosition="0">
        <references count="1">
          <reference field="4294967294" count="1">
            <x v="0"/>
          </reference>
        </references>
      </pivotArea>
    </format>
    <format dxfId="37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77">
      <pivotArea dataOnly="0" labelOnly="1" outline="0" fieldPosition="0">
        <references count="1">
          <reference field="4294967294" count="1">
            <x v="0"/>
          </reference>
        </references>
      </pivotArea>
    </format>
    <format dxfId="37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7"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6"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5"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66">
      <pivotArea dataOnly="0" labelOnly="1" outline="0" axis="axisValues" fieldPosition="0"/>
    </format>
    <format dxfId="365">
      <pivotArea dataOnly="0" outline="0" axis="axisValues" fieldPosition="0"/>
    </format>
    <format dxfId="36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68">
      <pivotArea dataOnly="0" labelOnly="1" outline="0" axis="axisValues" fieldPosition="0"/>
    </format>
    <format dxfId="36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70">
      <pivotArea dataOnly="0" labelOnly="1" outline="0" axis="axisValues" fieldPosition="0"/>
    </format>
    <format dxfId="36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73">
      <pivotArea dataOnly="0" labelOnly="1" outline="0" axis="axisValues" fieldPosition="0"/>
    </format>
    <format dxfId="372">
      <pivotArea dataOnly="0" outline="0" axis="axisValues" fieldPosition="0"/>
    </format>
    <format dxfId="37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6"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41">
      <pivotArea outline="0" collapsedLevelsAreSubtotals="1" fieldPosition="0">
        <references count="1">
          <reference field="4294967294" count="1" selected="0">
            <x v="3"/>
          </reference>
        </references>
      </pivotArea>
    </format>
    <format dxfId="340">
      <pivotArea dataOnly="0" labelOnly="1" outline="0" fieldPosition="0">
        <references count="1">
          <reference field="4294967294" count="1">
            <x v="3"/>
          </reference>
        </references>
      </pivotArea>
    </format>
    <format dxfId="339">
      <pivotArea outline="0" collapsedLevelsAreSubtotals="1" fieldPosition="0">
        <references count="1">
          <reference field="4294967294" count="1" selected="0">
            <x v="6"/>
          </reference>
        </references>
      </pivotArea>
    </format>
    <format dxfId="338">
      <pivotArea dataOnly="0" labelOnly="1" outline="0" fieldPosition="0">
        <references count="1">
          <reference field="4294967294" count="1">
            <x v="6"/>
          </reference>
        </references>
      </pivotArea>
    </format>
    <format dxfId="337">
      <pivotArea outline="0" collapsedLevelsAreSubtotals="1" fieldPosition="0">
        <references count="1">
          <reference field="4294967294" count="1" selected="0">
            <x v="9"/>
          </reference>
        </references>
      </pivotArea>
    </format>
    <format dxfId="336">
      <pivotArea dataOnly="0" labelOnly="1" outline="0" fieldPosition="0">
        <references count="1">
          <reference field="4294967294" count="1">
            <x v="9"/>
          </reference>
        </references>
      </pivotArea>
    </format>
    <format dxfId="335">
      <pivotArea outline="0" collapsedLevelsAreSubtotals="1" fieldPosition="0">
        <references count="1">
          <reference field="4294967294" count="1" selected="0">
            <x v="12"/>
          </reference>
        </references>
      </pivotArea>
    </format>
    <format dxfId="334">
      <pivotArea dataOnly="0" labelOnly="1" outline="0" fieldPosition="0">
        <references count="1">
          <reference field="4294967294" count="1">
            <x v="12"/>
          </reference>
        </references>
      </pivotArea>
    </format>
    <format dxfId="333">
      <pivotArea outline="0" collapsedLevelsAreSubtotals="1" fieldPosition="0">
        <references count="1">
          <reference field="4294967294" count="1" selected="0">
            <x v="15"/>
          </reference>
        </references>
      </pivotArea>
    </format>
    <format dxfId="332">
      <pivotArea dataOnly="0" labelOnly="1" outline="0" fieldPosition="0">
        <references count="1">
          <reference field="4294967294" count="1">
            <x v="15"/>
          </reference>
        </references>
      </pivotArea>
    </format>
    <format dxfId="331">
      <pivotArea dataOnly="0" labelOnly="1" outline="0" fieldPosition="0">
        <references count="1">
          <reference field="4294967294" count="3">
            <x v="3"/>
            <x v="4"/>
            <x v="5"/>
          </reference>
        </references>
      </pivotArea>
    </format>
    <format dxfId="330">
      <pivotArea dataOnly="0" labelOnly="1" outline="0" fieldPosition="0">
        <references count="1">
          <reference field="4294967294" count="3">
            <x v="9"/>
            <x v="10"/>
            <x v="11"/>
          </reference>
        </references>
      </pivotArea>
    </format>
    <format dxfId="329">
      <pivotArea dataOnly="0" labelOnly="1" outline="0" fieldPosition="0">
        <references count="1">
          <reference field="4294967294" count="3">
            <x v="15"/>
            <x v="16"/>
            <x v="17"/>
          </reference>
        </references>
      </pivotArea>
    </format>
    <format dxfId="328">
      <pivotArea field="4" type="button" dataOnly="0" labelOnly="1" outline="0" axis="axisRow" fieldPosition="0"/>
    </format>
    <format dxfId="327">
      <pivotArea dataOnly="0" labelOnly="1" fieldPosition="0">
        <references count="1">
          <reference field="4" count="1">
            <x v="0"/>
          </reference>
        </references>
      </pivotArea>
    </format>
    <format dxfId="326">
      <pivotArea dataOnly="0" labelOnly="1" grandRow="1" outline="0" fieldPosition="0"/>
    </format>
    <format dxfId="325">
      <pivotArea dataOnly="0" labelOnly="1" outline="0" fieldPosition="0">
        <references count="1">
          <reference field="4294967294" count="1">
            <x v="0"/>
          </reference>
        </references>
      </pivotArea>
    </format>
    <format dxfId="324">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63">
      <pivotArea dataOnly="0" labelOnly="1" outline="0" fieldPosition="0">
        <references count="1">
          <reference field="4294967294" count="3">
            <x v="3"/>
            <x v="4"/>
            <x v="5"/>
          </reference>
        </references>
      </pivotArea>
    </format>
    <format dxfId="362">
      <pivotArea dataOnly="0" labelOnly="1" outline="0" fieldPosition="0">
        <references count="1">
          <reference field="4294967294" count="3">
            <x v="9"/>
            <x v="10"/>
            <x v="11"/>
          </reference>
        </references>
      </pivotArea>
    </format>
    <format dxfId="361">
      <pivotArea dataOnly="0" labelOnly="1" outline="0" fieldPosition="0">
        <references count="1">
          <reference field="4294967294" count="3">
            <x v="15"/>
            <x v="16"/>
            <x v="17"/>
          </reference>
        </references>
      </pivotArea>
    </format>
    <format dxfId="360">
      <pivotArea field="4" type="button" dataOnly="0" labelOnly="1" outline="0" axis="axisPage" fieldPosition="2"/>
    </format>
    <format dxfId="359">
      <pivotArea dataOnly="0" labelOnly="1" fieldPosition="0">
        <references count="1">
          <reference field="4" count="1">
            <x v="0"/>
          </reference>
        </references>
      </pivotArea>
    </format>
    <format dxfId="358">
      <pivotArea dataOnly="0" labelOnly="1" outline="0" fieldPosition="0">
        <references count="1">
          <reference field="4294967294" count="1">
            <x v="0"/>
          </reference>
        </references>
      </pivotArea>
    </format>
    <format dxfId="357">
      <pivotArea field="4" type="button" dataOnly="0" labelOnly="1" outline="0" axis="axisPage" fieldPosition="2"/>
    </format>
    <format dxfId="356">
      <pivotArea field="2" type="button" dataOnly="0" labelOnly="1" outline="0" axis="axisRow" fieldPosition="0"/>
    </format>
    <format dxfId="355">
      <pivotArea dataOnly="0" labelOnly="1" fieldPosition="0">
        <references count="1">
          <reference field="2" count="1">
            <x v="0"/>
          </reference>
        </references>
      </pivotArea>
    </format>
    <format dxfId="354">
      <pivotArea dataOnly="0" labelOnly="1" grandRow="1" outline="0" fieldPosition="0"/>
    </format>
    <format dxfId="353">
      <pivotArea outline="0" collapsedLevelsAreSubtotals="1" fieldPosition="0">
        <references count="1">
          <reference field="4294967294" count="1" selected="0">
            <x v="3"/>
          </reference>
        </references>
      </pivotArea>
    </format>
    <format dxfId="352">
      <pivotArea dataOnly="0" labelOnly="1" outline="0" fieldPosition="0">
        <references count="1">
          <reference field="4294967294" count="1">
            <x v="3"/>
          </reference>
        </references>
      </pivotArea>
    </format>
    <format dxfId="351">
      <pivotArea outline="0" collapsedLevelsAreSubtotals="1" fieldPosition="0">
        <references count="1">
          <reference field="4294967294" count="1" selected="0">
            <x v="6"/>
          </reference>
        </references>
      </pivotArea>
    </format>
    <format dxfId="350">
      <pivotArea dataOnly="0" labelOnly="1" outline="0" fieldPosition="0">
        <references count="1">
          <reference field="4294967294" count="1">
            <x v="6"/>
          </reference>
        </references>
      </pivotArea>
    </format>
    <format dxfId="349">
      <pivotArea outline="0" collapsedLevelsAreSubtotals="1" fieldPosition="0">
        <references count="1">
          <reference field="4294967294" count="1" selected="0">
            <x v="9"/>
          </reference>
        </references>
      </pivotArea>
    </format>
    <format dxfId="348">
      <pivotArea dataOnly="0" labelOnly="1" outline="0" fieldPosition="0">
        <references count="1">
          <reference field="4294967294" count="1">
            <x v="9"/>
          </reference>
        </references>
      </pivotArea>
    </format>
    <format dxfId="347">
      <pivotArea outline="0" collapsedLevelsAreSubtotals="1" fieldPosition="0">
        <references count="1">
          <reference field="4294967294" count="1" selected="0">
            <x v="12"/>
          </reference>
        </references>
      </pivotArea>
    </format>
    <format dxfId="346">
      <pivotArea dataOnly="0" labelOnly="1" outline="0" fieldPosition="0">
        <references count="1">
          <reference field="4294967294" count="1">
            <x v="12"/>
          </reference>
        </references>
      </pivotArea>
    </format>
    <format dxfId="345">
      <pivotArea outline="0" collapsedLevelsAreSubtotals="1" fieldPosition="0">
        <references count="1">
          <reference field="4294967294" count="1" selected="0">
            <x v="15"/>
          </reference>
        </references>
      </pivotArea>
    </format>
    <format dxfId="344">
      <pivotArea dataOnly="0" labelOnly="1" outline="0" fieldPosition="0">
        <references count="1">
          <reference field="4294967294" count="1">
            <x v="15"/>
          </reference>
        </references>
      </pivotArea>
    </format>
    <format dxfId="343">
      <pivotArea outline="0" collapsedLevelsAreSubtotals="1" fieldPosition="0">
        <references count="1">
          <reference field="4294967294" count="1" selected="0">
            <x v="17"/>
          </reference>
        </references>
      </pivotArea>
    </format>
    <format dxfId="342">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83">
      <pivotArea outline="0" collapsedLevelsAreSubtotals="1" fieldPosition="0">
        <references count="1">
          <reference field="4294967294" count="1" selected="0">
            <x v="3"/>
          </reference>
        </references>
      </pivotArea>
    </format>
    <format dxfId="282">
      <pivotArea dataOnly="0" labelOnly="1" outline="0" fieldPosition="0">
        <references count="1">
          <reference field="4294967294" count="1">
            <x v="3"/>
          </reference>
        </references>
      </pivotArea>
    </format>
    <format dxfId="281">
      <pivotArea outline="0" collapsedLevelsAreSubtotals="1" fieldPosition="0">
        <references count="1">
          <reference field="4294967294" count="1" selected="0">
            <x v="6"/>
          </reference>
        </references>
      </pivotArea>
    </format>
    <format dxfId="280">
      <pivotArea dataOnly="0" labelOnly="1" outline="0" fieldPosition="0">
        <references count="1">
          <reference field="4294967294" count="1">
            <x v="6"/>
          </reference>
        </references>
      </pivotArea>
    </format>
    <format dxfId="279">
      <pivotArea outline="0" collapsedLevelsAreSubtotals="1" fieldPosition="0">
        <references count="1">
          <reference field="4294967294" count="1" selected="0">
            <x v="9"/>
          </reference>
        </references>
      </pivotArea>
    </format>
    <format dxfId="278">
      <pivotArea dataOnly="0" labelOnly="1" outline="0" fieldPosition="0">
        <references count="1">
          <reference field="4294967294" count="1">
            <x v="9"/>
          </reference>
        </references>
      </pivotArea>
    </format>
    <format dxfId="277">
      <pivotArea outline="0" collapsedLevelsAreSubtotals="1" fieldPosition="0">
        <references count="1">
          <reference field="4294967294" count="1" selected="0">
            <x v="12"/>
          </reference>
        </references>
      </pivotArea>
    </format>
    <format dxfId="276">
      <pivotArea dataOnly="0" labelOnly="1" outline="0" fieldPosition="0">
        <references count="1">
          <reference field="4294967294" count="1">
            <x v="12"/>
          </reference>
        </references>
      </pivotArea>
    </format>
    <format dxfId="275">
      <pivotArea outline="0" collapsedLevelsAreSubtotals="1" fieldPosition="0">
        <references count="1">
          <reference field="4294967294" count="1" selected="0">
            <x v="15"/>
          </reference>
        </references>
      </pivotArea>
    </format>
    <format dxfId="274">
      <pivotArea dataOnly="0" labelOnly="1" outline="0" fieldPosition="0">
        <references count="1">
          <reference field="4294967294" count="1">
            <x v="15"/>
          </reference>
        </references>
      </pivotArea>
    </format>
    <format dxfId="273">
      <pivotArea dataOnly="0" labelOnly="1" outline="0" fieldPosition="0">
        <references count="1">
          <reference field="4294967294" count="3">
            <x v="3"/>
            <x v="4"/>
            <x v="5"/>
          </reference>
        </references>
      </pivotArea>
    </format>
    <format dxfId="272">
      <pivotArea dataOnly="0" labelOnly="1" outline="0" fieldPosition="0">
        <references count="1">
          <reference field="4294967294" count="3">
            <x v="9"/>
            <x v="10"/>
            <x v="11"/>
          </reference>
        </references>
      </pivotArea>
    </format>
    <format dxfId="271">
      <pivotArea dataOnly="0" labelOnly="1" outline="0" fieldPosition="0">
        <references count="1">
          <reference field="4294967294" count="3">
            <x v="15"/>
            <x v="16"/>
            <x v="17"/>
          </reference>
        </references>
      </pivotArea>
    </format>
    <format dxfId="270">
      <pivotArea field="4" type="button" dataOnly="0" labelOnly="1" outline="0" axis="axisRow" fieldPosition="0"/>
    </format>
    <format dxfId="269">
      <pivotArea dataOnly="0" labelOnly="1" fieldPosition="0">
        <references count="1">
          <reference field="4" count="1">
            <x v="0"/>
          </reference>
        </references>
      </pivotArea>
    </format>
    <format dxfId="268">
      <pivotArea dataOnly="0" labelOnly="1" grandRow="1" outline="0" fieldPosition="0"/>
    </format>
    <format dxfId="267">
      <pivotArea dataOnly="0" labelOnly="1" outline="0" fieldPosition="0">
        <references count="1">
          <reference field="4294967294" count="1">
            <x v="0"/>
          </reference>
        </references>
      </pivotArea>
    </format>
    <format dxfId="266">
      <pivotArea field="4" type="button" dataOnly="0" labelOnly="1" outline="0" axis="axisRow" fieldPosition="0"/>
    </format>
    <format dxfId="265">
      <pivotArea outline="0" fieldPosition="0">
        <references count="1">
          <reference field="4294967294" count="1">
            <x v="0"/>
          </reference>
        </references>
      </pivotArea>
    </format>
    <format dxfId="264">
      <pivotArea outline="0" fieldPosition="0">
        <references count="1">
          <reference field="4294967294" count="1">
            <x v="1"/>
          </reference>
        </references>
      </pivotArea>
    </format>
    <format dxfId="263">
      <pivotArea outline="0" fieldPosition="0">
        <references count="1">
          <reference field="4294967294" count="1">
            <x v="2"/>
          </reference>
        </references>
      </pivotArea>
    </format>
    <format dxfId="262">
      <pivotArea outline="0" fieldPosition="0">
        <references count="1">
          <reference field="4294967294" count="1">
            <x v="3"/>
          </reference>
        </references>
      </pivotArea>
    </format>
    <format dxfId="261">
      <pivotArea outline="0" fieldPosition="0">
        <references count="1">
          <reference field="4294967294" count="1">
            <x v="4"/>
          </reference>
        </references>
      </pivotArea>
    </format>
    <format dxfId="260">
      <pivotArea outline="0" fieldPosition="0">
        <references count="1">
          <reference field="4294967294" count="1">
            <x v="5"/>
          </reference>
        </references>
      </pivotArea>
    </format>
    <format dxfId="259">
      <pivotArea outline="0" fieldPosition="0">
        <references count="1">
          <reference field="4294967294" count="1">
            <x v="6"/>
          </reference>
        </references>
      </pivotArea>
    </format>
    <format dxfId="258">
      <pivotArea outline="0" fieldPosition="0">
        <references count="1">
          <reference field="4294967294" count="1">
            <x v="7"/>
          </reference>
        </references>
      </pivotArea>
    </format>
    <format dxfId="257">
      <pivotArea outline="0" fieldPosition="0">
        <references count="1">
          <reference field="4294967294" count="1">
            <x v="8"/>
          </reference>
        </references>
      </pivotArea>
    </format>
    <format dxfId="256">
      <pivotArea outline="0" fieldPosition="0">
        <references count="1">
          <reference field="4294967294" count="1">
            <x v="9"/>
          </reference>
        </references>
      </pivotArea>
    </format>
    <format dxfId="255">
      <pivotArea outline="0" fieldPosition="0">
        <references count="1">
          <reference field="4294967294" count="1">
            <x v="10"/>
          </reference>
        </references>
      </pivotArea>
    </format>
    <format dxfId="254">
      <pivotArea outline="0" fieldPosition="0">
        <references count="1">
          <reference field="4294967294" count="1">
            <x v="11"/>
          </reference>
        </references>
      </pivotArea>
    </format>
    <format dxfId="253">
      <pivotArea outline="0" fieldPosition="0">
        <references count="1">
          <reference field="4294967294" count="1">
            <x v="12"/>
          </reference>
        </references>
      </pivotArea>
    </format>
    <format dxfId="252">
      <pivotArea outline="0" fieldPosition="0">
        <references count="1">
          <reference field="4294967294" count="1">
            <x v="13"/>
          </reference>
        </references>
      </pivotArea>
    </format>
    <format dxfId="251">
      <pivotArea outline="0" fieldPosition="0">
        <references count="1">
          <reference field="4294967294" count="1">
            <x v="14"/>
          </reference>
        </references>
      </pivotArea>
    </format>
    <format dxfId="250">
      <pivotArea outline="0" fieldPosition="0">
        <references count="1">
          <reference field="4294967294" count="1">
            <x v="15"/>
          </reference>
        </references>
      </pivotArea>
    </format>
    <format dxfId="249">
      <pivotArea outline="0" fieldPosition="0">
        <references count="1">
          <reference field="4294967294" count="1">
            <x v="16"/>
          </reference>
        </references>
      </pivotArea>
    </format>
    <format dxfId="24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323">
      <pivotArea dataOnly="0" labelOnly="1" outline="0" fieldPosition="0">
        <references count="1">
          <reference field="4294967294" count="3">
            <x v="3"/>
            <x v="4"/>
            <x v="5"/>
          </reference>
        </references>
      </pivotArea>
    </format>
    <format dxfId="322">
      <pivotArea dataOnly="0" labelOnly="1" outline="0" fieldPosition="0">
        <references count="1">
          <reference field="4294967294" count="3">
            <x v="9"/>
            <x v="10"/>
            <x v="11"/>
          </reference>
        </references>
      </pivotArea>
    </format>
    <format dxfId="321">
      <pivotArea dataOnly="0" labelOnly="1" outline="0" fieldPosition="0">
        <references count="1">
          <reference field="4294967294" count="3">
            <x v="15"/>
            <x v="16"/>
            <x v="17"/>
          </reference>
        </references>
      </pivotArea>
    </format>
    <format dxfId="320">
      <pivotArea field="4" type="button" dataOnly="0" labelOnly="1" outline="0" axis="axisPage" fieldPosition="2"/>
    </format>
    <format dxfId="319">
      <pivotArea dataOnly="0" labelOnly="1" fieldPosition="0">
        <references count="1">
          <reference field="4" count="1">
            <x v="0"/>
          </reference>
        </references>
      </pivotArea>
    </format>
    <format dxfId="318">
      <pivotArea dataOnly="0" labelOnly="1" outline="0" fieldPosition="0">
        <references count="1">
          <reference field="4294967294" count="1">
            <x v="0"/>
          </reference>
        </references>
      </pivotArea>
    </format>
    <format dxfId="317">
      <pivotArea field="4" type="button" dataOnly="0" labelOnly="1" outline="0" axis="axisPage" fieldPosition="2"/>
    </format>
    <format dxfId="316">
      <pivotArea field="2" type="button" dataOnly="0" labelOnly="1" outline="0" axis="axisRow" fieldPosition="0"/>
    </format>
    <format dxfId="315">
      <pivotArea dataOnly="0" labelOnly="1" fieldPosition="0">
        <references count="1">
          <reference field="2" count="1">
            <x v="0"/>
          </reference>
        </references>
      </pivotArea>
    </format>
    <format dxfId="314">
      <pivotArea dataOnly="0" labelOnly="1" grandRow="1" outline="0" fieldPosition="0"/>
    </format>
    <format dxfId="313">
      <pivotArea outline="0" collapsedLevelsAreSubtotals="1" fieldPosition="0">
        <references count="1">
          <reference field="4294967294" count="1" selected="0">
            <x v="3"/>
          </reference>
        </references>
      </pivotArea>
    </format>
    <format dxfId="312">
      <pivotArea dataOnly="0" labelOnly="1" outline="0" fieldPosition="0">
        <references count="1">
          <reference field="4294967294" count="1">
            <x v="3"/>
          </reference>
        </references>
      </pivotArea>
    </format>
    <format dxfId="311">
      <pivotArea outline="0" collapsedLevelsAreSubtotals="1" fieldPosition="0">
        <references count="1">
          <reference field="4294967294" count="1" selected="0">
            <x v="6"/>
          </reference>
        </references>
      </pivotArea>
    </format>
    <format dxfId="310">
      <pivotArea dataOnly="0" labelOnly="1" outline="0" fieldPosition="0">
        <references count="1">
          <reference field="4294967294" count="1">
            <x v="6"/>
          </reference>
        </references>
      </pivotArea>
    </format>
    <format dxfId="309">
      <pivotArea outline="0" collapsedLevelsAreSubtotals="1" fieldPosition="0">
        <references count="1">
          <reference field="4294967294" count="1" selected="0">
            <x v="9"/>
          </reference>
        </references>
      </pivotArea>
    </format>
    <format dxfId="308">
      <pivotArea dataOnly="0" labelOnly="1" outline="0" fieldPosition="0">
        <references count="1">
          <reference field="4294967294" count="1">
            <x v="9"/>
          </reference>
        </references>
      </pivotArea>
    </format>
    <format dxfId="307">
      <pivotArea outline="0" collapsedLevelsAreSubtotals="1" fieldPosition="0">
        <references count="1">
          <reference field="4294967294" count="1" selected="0">
            <x v="12"/>
          </reference>
        </references>
      </pivotArea>
    </format>
    <format dxfId="306">
      <pivotArea dataOnly="0" labelOnly="1" outline="0" fieldPosition="0">
        <references count="1">
          <reference field="4294967294" count="1">
            <x v="12"/>
          </reference>
        </references>
      </pivotArea>
    </format>
    <format dxfId="305">
      <pivotArea outline="0" collapsedLevelsAreSubtotals="1" fieldPosition="0">
        <references count="1">
          <reference field="4294967294" count="1" selected="0">
            <x v="15"/>
          </reference>
        </references>
      </pivotArea>
    </format>
    <format dxfId="304">
      <pivotArea dataOnly="0" labelOnly="1" outline="0" fieldPosition="0">
        <references count="1">
          <reference field="4294967294" count="1">
            <x v="15"/>
          </reference>
        </references>
      </pivotArea>
    </format>
    <format dxfId="303">
      <pivotArea outline="0" collapsedLevelsAreSubtotals="1" fieldPosition="0">
        <references count="1">
          <reference field="4294967294" count="1" selected="0">
            <x v="17"/>
          </reference>
        </references>
      </pivotArea>
    </format>
    <format dxfId="302">
      <pivotArea dataOnly="0" labelOnly="1" outline="0" fieldPosition="0">
        <references count="1">
          <reference field="4294967294" count="1">
            <x v="17"/>
          </reference>
        </references>
      </pivotArea>
    </format>
    <format dxfId="301">
      <pivotArea outline="0" fieldPosition="0">
        <references count="1">
          <reference field="4294967294" count="1">
            <x v="0"/>
          </reference>
        </references>
      </pivotArea>
    </format>
    <format dxfId="300">
      <pivotArea outline="0" fieldPosition="0">
        <references count="1">
          <reference field="4294967294" count="1">
            <x v="1"/>
          </reference>
        </references>
      </pivotArea>
    </format>
    <format dxfId="299">
      <pivotArea outline="0" fieldPosition="0">
        <references count="1">
          <reference field="4294967294" count="1">
            <x v="2"/>
          </reference>
        </references>
      </pivotArea>
    </format>
    <format dxfId="298">
      <pivotArea outline="0" fieldPosition="0">
        <references count="1">
          <reference field="4294967294" count="1">
            <x v="3"/>
          </reference>
        </references>
      </pivotArea>
    </format>
    <format dxfId="297">
      <pivotArea outline="0" fieldPosition="0">
        <references count="1">
          <reference field="4294967294" count="1">
            <x v="4"/>
          </reference>
        </references>
      </pivotArea>
    </format>
    <format dxfId="296">
      <pivotArea outline="0" fieldPosition="0">
        <references count="1">
          <reference field="4294967294" count="1">
            <x v="5"/>
          </reference>
        </references>
      </pivotArea>
    </format>
    <format dxfId="295">
      <pivotArea outline="0" fieldPosition="0">
        <references count="1">
          <reference field="4294967294" count="1">
            <x v="6"/>
          </reference>
        </references>
      </pivotArea>
    </format>
    <format dxfId="294">
      <pivotArea outline="0" fieldPosition="0">
        <references count="1">
          <reference field="4294967294" count="1">
            <x v="7"/>
          </reference>
        </references>
      </pivotArea>
    </format>
    <format dxfId="293">
      <pivotArea outline="0" fieldPosition="0">
        <references count="1">
          <reference field="4294967294" count="1">
            <x v="8"/>
          </reference>
        </references>
      </pivotArea>
    </format>
    <format dxfId="292">
      <pivotArea outline="0" fieldPosition="0">
        <references count="1">
          <reference field="4294967294" count="1">
            <x v="9"/>
          </reference>
        </references>
      </pivotArea>
    </format>
    <format dxfId="291">
      <pivotArea outline="0" fieldPosition="0">
        <references count="1">
          <reference field="4294967294" count="1">
            <x v="10"/>
          </reference>
        </references>
      </pivotArea>
    </format>
    <format dxfId="290">
      <pivotArea outline="0" fieldPosition="0">
        <references count="1">
          <reference field="4294967294" count="1">
            <x v="11"/>
          </reference>
        </references>
      </pivotArea>
    </format>
    <format dxfId="289">
      <pivotArea outline="0" fieldPosition="0">
        <references count="1">
          <reference field="4294967294" count="1">
            <x v="12"/>
          </reference>
        </references>
      </pivotArea>
    </format>
    <format dxfId="288">
      <pivotArea outline="0" fieldPosition="0">
        <references count="1">
          <reference field="4294967294" count="1">
            <x v="13"/>
          </reference>
        </references>
      </pivotArea>
    </format>
    <format dxfId="287">
      <pivotArea outline="0" fieldPosition="0">
        <references count="1">
          <reference field="4294967294" count="1">
            <x v="14"/>
          </reference>
        </references>
      </pivotArea>
    </format>
    <format dxfId="286">
      <pivotArea outline="0" fieldPosition="0">
        <references count="1">
          <reference field="4294967294" count="1">
            <x v="15"/>
          </reference>
        </references>
      </pivotArea>
    </format>
    <format dxfId="285">
      <pivotArea outline="0" fieldPosition="0">
        <references count="1">
          <reference field="4294967294" count="1">
            <x v="16"/>
          </reference>
        </references>
      </pivotArea>
    </format>
    <format dxfId="28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29">
      <pivotArea dataOnly="0" labelOnly="1" outline="0" fieldPosition="0">
        <references count="1">
          <reference field="4294967294" count="3">
            <x v="3"/>
            <x v="4"/>
            <x v="5"/>
          </reference>
        </references>
      </pivotArea>
    </format>
    <format dxfId="228">
      <pivotArea dataOnly="0" labelOnly="1" outline="0" fieldPosition="0">
        <references count="1">
          <reference field="4294967294" count="3">
            <x v="9"/>
            <x v="10"/>
            <x v="11"/>
          </reference>
        </references>
      </pivotArea>
    </format>
    <format dxfId="227">
      <pivotArea dataOnly="0" labelOnly="1" outline="0" fieldPosition="0">
        <references count="1">
          <reference field="4294967294" count="3">
            <x v="15"/>
            <x v="16"/>
            <x v="17"/>
          </reference>
        </references>
      </pivotArea>
    </format>
    <format dxfId="226">
      <pivotArea field="4" type="button" dataOnly="0" labelOnly="1" outline="0" axis="axisPage" fieldPosition="2"/>
    </format>
    <format dxfId="225">
      <pivotArea dataOnly="0" labelOnly="1" fieldPosition="0">
        <references count="1">
          <reference field="4" count="1">
            <x v="0"/>
          </reference>
        </references>
      </pivotArea>
    </format>
    <format dxfId="224">
      <pivotArea dataOnly="0" labelOnly="1" outline="0" fieldPosition="0">
        <references count="1">
          <reference field="4294967294" count="1">
            <x v="0"/>
          </reference>
        </references>
      </pivotArea>
    </format>
    <format dxfId="223">
      <pivotArea field="4" type="button" dataOnly="0" labelOnly="1" outline="0" axis="axisPage" fieldPosition="2"/>
    </format>
    <format dxfId="222">
      <pivotArea field="2" type="button" dataOnly="0" labelOnly="1" outline="0" axis="axisRow" fieldPosition="0"/>
    </format>
    <format dxfId="221">
      <pivotArea dataOnly="0" labelOnly="1" fieldPosition="0">
        <references count="1">
          <reference field="2" count="1">
            <x v="0"/>
          </reference>
        </references>
      </pivotArea>
    </format>
    <format dxfId="220">
      <pivotArea dataOnly="0" labelOnly="1" grandRow="1" outline="0" fieldPosition="0"/>
    </format>
    <format dxfId="219">
      <pivotArea outline="0" collapsedLevelsAreSubtotals="1" fieldPosition="0">
        <references count="1">
          <reference field="4294967294" count="1" selected="0">
            <x v="3"/>
          </reference>
        </references>
      </pivotArea>
    </format>
    <format dxfId="218">
      <pivotArea dataOnly="0" labelOnly="1" outline="0" fieldPosition="0">
        <references count="1">
          <reference field="4294967294" count="1">
            <x v="3"/>
          </reference>
        </references>
      </pivotArea>
    </format>
    <format dxfId="217">
      <pivotArea outline="0" collapsedLevelsAreSubtotals="1" fieldPosition="0">
        <references count="1">
          <reference field="4294967294" count="1" selected="0">
            <x v="6"/>
          </reference>
        </references>
      </pivotArea>
    </format>
    <format dxfId="216">
      <pivotArea dataOnly="0" labelOnly="1" outline="0" fieldPosition="0">
        <references count="1">
          <reference field="4294967294" count="1">
            <x v="6"/>
          </reference>
        </references>
      </pivotArea>
    </format>
    <format dxfId="215">
      <pivotArea outline="0" collapsedLevelsAreSubtotals="1" fieldPosition="0">
        <references count="1">
          <reference field="4294967294" count="1" selected="0">
            <x v="9"/>
          </reference>
        </references>
      </pivotArea>
    </format>
    <format dxfId="214">
      <pivotArea dataOnly="0" labelOnly="1" outline="0" fieldPosition="0">
        <references count="1">
          <reference field="4294967294" count="1">
            <x v="9"/>
          </reference>
        </references>
      </pivotArea>
    </format>
    <format dxfId="213">
      <pivotArea outline="0" collapsedLevelsAreSubtotals="1" fieldPosition="0">
        <references count="1">
          <reference field="4294967294" count="1" selected="0">
            <x v="12"/>
          </reference>
        </references>
      </pivotArea>
    </format>
    <format dxfId="212">
      <pivotArea dataOnly="0" labelOnly="1" outline="0" fieldPosition="0">
        <references count="1">
          <reference field="4294967294" count="1">
            <x v="12"/>
          </reference>
        </references>
      </pivotArea>
    </format>
    <format dxfId="211">
      <pivotArea outline="0" collapsedLevelsAreSubtotals="1" fieldPosition="0">
        <references count="1">
          <reference field="4294967294" count="1" selected="0">
            <x v="15"/>
          </reference>
        </references>
      </pivotArea>
    </format>
    <format dxfId="210">
      <pivotArea dataOnly="0" labelOnly="1" outline="0" fieldPosition="0">
        <references count="1">
          <reference field="4294967294" count="1">
            <x v="15"/>
          </reference>
        </references>
      </pivotArea>
    </format>
    <format dxfId="209">
      <pivotArea outline="0" collapsedLevelsAreSubtotals="1" fieldPosition="0">
        <references count="1">
          <reference field="4294967294" count="1" selected="0">
            <x v="17"/>
          </reference>
        </references>
      </pivotArea>
    </format>
    <format dxfId="208">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47">
      <pivotArea outline="0" collapsedLevelsAreSubtotals="1" fieldPosition="0">
        <references count="1">
          <reference field="4294967294" count="1" selected="0">
            <x v="3"/>
          </reference>
        </references>
      </pivotArea>
    </format>
    <format dxfId="246">
      <pivotArea dataOnly="0" labelOnly="1" outline="0" fieldPosition="0">
        <references count="1">
          <reference field="4294967294" count="1">
            <x v="3"/>
          </reference>
        </references>
      </pivotArea>
    </format>
    <format dxfId="245">
      <pivotArea outline="0" collapsedLevelsAreSubtotals="1" fieldPosition="0">
        <references count="1">
          <reference field="4294967294" count="1" selected="0">
            <x v="6"/>
          </reference>
        </references>
      </pivotArea>
    </format>
    <format dxfId="244">
      <pivotArea dataOnly="0" labelOnly="1" outline="0" fieldPosition="0">
        <references count="1">
          <reference field="4294967294" count="1">
            <x v="6"/>
          </reference>
        </references>
      </pivotArea>
    </format>
    <format dxfId="243">
      <pivotArea outline="0" collapsedLevelsAreSubtotals="1" fieldPosition="0">
        <references count="1">
          <reference field="4294967294" count="1" selected="0">
            <x v="9"/>
          </reference>
        </references>
      </pivotArea>
    </format>
    <format dxfId="242">
      <pivotArea dataOnly="0" labelOnly="1" outline="0" fieldPosition="0">
        <references count="1">
          <reference field="4294967294" count="1">
            <x v="9"/>
          </reference>
        </references>
      </pivotArea>
    </format>
    <format dxfId="241">
      <pivotArea outline="0" collapsedLevelsAreSubtotals="1" fieldPosition="0">
        <references count="1">
          <reference field="4294967294" count="1" selected="0">
            <x v="12"/>
          </reference>
        </references>
      </pivotArea>
    </format>
    <format dxfId="240">
      <pivotArea dataOnly="0" labelOnly="1" outline="0" fieldPosition="0">
        <references count="1">
          <reference field="4294967294" count="1">
            <x v="12"/>
          </reference>
        </references>
      </pivotArea>
    </format>
    <format dxfId="239">
      <pivotArea outline="0" collapsedLevelsAreSubtotals="1" fieldPosition="0">
        <references count="1">
          <reference field="4294967294" count="1" selected="0">
            <x v="15"/>
          </reference>
        </references>
      </pivotArea>
    </format>
    <format dxfId="238">
      <pivotArea dataOnly="0" labelOnly="1" outline="0" fieldPosition="0">
        <references count="1">
          <reference field="4294967294" count="1">
            <x v="15"/>
          </reference>
        </references>
      </pivotArea>
    </format>
    <format dxfId="237">
      <pivotArea dataOnly="0" labelOnly="1" outline="0" fieldPosition="0">
        <references count="1">
          <reference field="4294967294" count="3">
            <x v="3"/>
            <x v="4"/>
            <x v="5"/>
          </reference>
        </references>
      </pivotArea>
    </format>
    <format dxfId="236">
      <pivotArea dataOnly="0" labelOnly="1" outline="0" fieldPosition="0">
        <references count="1">
          <reference field="4294967294" count="3">
            <x v="9"/>
            <x v="10"/>
            <x v="11"/>
          </reference>
        </references>
      </pivotArea>
    </format>
    <format dxfId="235">
      <pivotArea dataOnly="0" labelOnly="1" outline="0" fieldPosition="0">
        <references count="1">
          <reference field="4294967294" count="3">
            <x v="15"/>
            <x v="16"/>
            <x v="17"/>
          </reference>
        </references>
      </pivotArea>
    </format>
    <format dxfId="234">
      <pivotArea field="4" type="button" dataOnly="0" labelOnly="1" outline="0" axis="axisRow" fieldPosition="0"/>
    </format>
    <format dxfId="233">
      <pivotArea dataOnly="0" labelOnly="1" fieldPosition="0">
        <references count="1">
          <reference field="4" count="1">
            <x v="0"/>
          </reference>
        </references>
      </pivotArea>
    </format>
    <format dxfId="232">
      <pivotArea dataOnly="0" labelOnly="1" grandRow="1" outline="0" fieldPosition="0"/>
    </format>
    <format dxfId="231">
      <pivotArea dataOnly="0" labelOnly="1" outline="0" fieldPosition="0">
        <references count="1">
          <reference field="4294967294" count="1">
            <x v="0"/>
          </reference>
        </references>
      </pivotArea>
    </format>
    <format dxfId="230">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67">
      <pivotArea outline="0" collapsedLevelsAreSubtotals="1" fieldPosition="0">
        <references count="1">
          <reference field="4294967294" count="1" selected="0">
            <x v="3"/>
          </reference>
        </references>
      </pivotArea>
    </format>
    <format dxfId="166">
      <pivotArea dataOnly="0" labelOnly="1" outline="0" fieldPosition="0">
        <references count="1">
          <reference field="4294967294" count="1">
            <x v="3"/>
          </reference>
        </references>
      </pivotArea>
    </format>
    <format dxfId="165">
      <pivotArea outline="0" collapsedLevelsAreSubtotals="1" fieldPosition="0">
        <references count="1">
          <reference field="4294967294" count="1" selected="0">
            <x v="6"/>
          </reference>
        </references>
      </pivotArea>
    </format>
    <format dxfId="164">
      <pivotArea dataOnly="0" labelOnly="1" outline="0" fieldPosition="0">
        <references count="1">
          <reference field="4294967294" count="1">
            <x v="6"/>
          </reference>
        </references>
      </pivotArea>
    </format>
    <format dxfId="163">
      <pivotArea outline="0" collapsedLevelsAreSubtotals="1" fieldPosition="0">
        <references count="1">
          <reference field="4294967294" count="1" selected="0">
            <x v="9"/>
          </reference>
        </references>
      </pivotArea>
    </format>
    <format dxfId="162">
      <pivotArea dataOnly="0" labelOnly="1" outline="0" fieldPosition="0">
        <references count="1">
          <reference field="4294967294" count="1">
            <x v="9"/>
          </reference>
        </references>
      </pivotArea>
    </format>
    <format dxfId="161">
      <pivotArea outline="0" collapsedLevelsAreSubtotals="1" fieldPosition="0">
        <references count="1">
          <reference field="4294967294" count="1" selected="0">
            <x v="12"/>
          </reference>
        </references>
      </pivotArea>
    </format>
    <format dxfId="160">
      <pivotArea dataOnly="0" labelOnly="1" outline="0" fieldPosition="0">
        <references count="1">
          <reference field="4294967294" count="1">
            <x v="12"/>
          </reference>
        </references>
      </pivotArea>
    </format>
    <format dxfId="159">
      <pivotArea outline="0" collapsedLevelsAreSubtotals="1" fieldPosition="0">
        <references count="1">
          <reference field="4294967294" count="1" selected="0">
            <x v="15"/>
          </reference>
        </references>
      </pivotArea>
    </format>
    <format dxfId="158">
      <pivotArea dataOnly="0" labelOnly="1" outline="0" fieldPosition="0">
        <references count="1">
          <reference field="4294967294" count="1">
            <x v="15"/>
          </reference>
        </references>
      </pivotArea>
    </format>
    <format dxfId="157">
      <pivotArea dataOnly="0" labelOnly="1" outline="0" fieldPosition="0">
        <references count="1">
          <reference field="4294967294" count="3">
            <x v="3"/>
            <x v="4"/>
            <x v="5"/>
          </reference>
        </references>
      </pivotArea>
    </format>
    <format dxfId="156">
      <pivotArea dataOnly="0" labelOnly="1" outline="0" fieldPosition="0">
        <references count="1">
          <reference field="4294967294" count="3">
            <x v="9"/>
            <x v="10"/>
            <x v="11"/>
          </reference>
        </references>
      </pivotArea>
    </format>
    <format dxfId="155">
      <pivotArea dataOnly="0" labelOnly="1" outline="0" fieldPosition="0">
        <references count="1">
          <reference field="4294967294" count="3">
            <x v="15"/>
            <x v="16"/>
            <x v="17"/>
          </reference>
        </references>
      </pivotArea>
    </format>
    <format dxfId="154">
      <pivotArea field="4" type="button" dataOnly="0" labelOnly="1" outline="0" axis="axisRow" fieldPosition="0"/>
    </format>
    <format dxfId="153">
      <pivotArea dataOnly="0" labelOnly="1" fieldPosition="0">
        <references count="1">
          <reference field="4" count="1">
            <x v="0"/>
          </reference>
        </references>
      </pivotArea>
    </format>
    <format dxfId="152">
      <pivotArea dataOnly="0" labelOnly="1" grandRow="1" outline="0" fieldPosition="0"/>
    </format>
    <format dxfId="151">
      <pivotArea dataOnly="0" labelOnly="1" outline="0" fieldPosition="0">
        <references count="1">
          <reference field="4294967294" count="1">
            <x v="0"/>
          </reference>
        </references>
      </pivotArea>
    </format>
    <format dxfId="150">
      <pivotArea field="4" type="button" dataOnly="0" labelOnly="1" outline="0" axis="axisRow" fieldPosition="0"/>
    </format>
    <format dxfId="149">
      <pivotArea outline="0" fieldPosition="0">
        <references count="1">
          <reference field="4294967294" count="1">
            <x v="0"/>
          </reference>
        </references>
      </pivotArea>
    </format>
    <format dxfId="148">
      <pivotArea outline="0" fieldPosition="0">
        <references count="1">
          <reference field="4294967294" count="1">
            <x v="1"/>
          </reference>
        </references>
      </pivotArea>
    </format>
    <format dxfId="147">
      <pivotArea outline="0" fieldPosition="0">
        <references count="1">
          <reference field="4294967294" count="1">
            <x v="2"/>
          </reference>
        </references>
      </pivotArea>
    </format>
    <format dxfId="146">
      <pivotArea outline="0" fieldPosition="0">
        <references count="1">
          <reference field="4294967294" count="1">
            <x v="3"/>
          </reference>
        </references>
      </pivotArea>
    </format>
    <format dxfId="145">
      <pivotArea outline="0" fieldPosition="0">
        <references count="1">
          <reference field="4294967294" count="1">
            <x v="4"/>
          </reference>
        </references>
      </pivotArea>
    </format>
    <format dxfId="144">
      <pivotArea outline="0" fieldPosition="0">
        <references count="1">
          <reference field="4294967294" count="1">
            <x v="5"/>
          </reference>
        </references>
      </pivotArea>
    </format>
    <format dxfId="143">
      <pivotArea outline="0" fieldPosition="0">
        <references count="1">
          <reference field="4294967294" count="1">
            <x v="6"/>
          </reference>
        </references>
      </pivotArea>
    </format>
    <format dxfId="142">
      <pivotArea outline="0" fieldPosition="0">
        <references count="1">
          <reference field="4294967294" count="1">
            <x v="7"/>
          </reference>
        </references>
      </pivotArea>
    </format>
    <format dxfId="141">
      <pivotArea outline="0" fieldPosition="0">
        <references count="1">
          <reference field="4294967294" count="1">
            <x v="8"/>
          </reference>
        </references>
      </pivotArea>
    </format>
    <format dxfId="140">
      <pivotArea outline="0" fieldPosition="0">
        <references count="1">
          <reference field="4294967294" count="1">
            <x v="9"/>
          </reference>
        </references>
      </pivotArea>
    </format>
    <format dxfId="139">
      <pivotArea outline="0" fieldPosition="0">
        <references count="1">
          <reference field="4294967294" count="1">
            <x v="10"/>
          </reference>
        </references>
      </pivotArea>
    </format>
    <format dxfId="138">
      <pivotArea outline="0" fieldPosition="0">
        <references count="1">
          <reference field="4294967294" count="1">
            <x v="11"/>
          </reference>
        </references>
      </pivotArea>
    </format>
    <format dxfId="137">
      <pivotArea outline="0" fieldPosition="0">
        <references count="1">
          <reference field="4294967294" count="1">
            <x v="12"/>
          </reference>
        </references>
      </pivotArea>
    </format>
    <format dxfId="136">
      <pivotArea outline="0" fieldPosition="0">
        <references count="1">
          <reference field="4294967294" count="1">
            <x v="13"/>
          </reference>
        </references>
      </pivotArea>
    </format>
    <format dxfId="135">
      <pivotArea outline="0" fieldPosition="0">
        <references count="1">
          <reference field="4294967294" count="1">
            <x v="14"/>
          </reference>
        </references>
      </pivotArea>
    </format>
    <format dxfId="134">
      <pivotArea outline="0" fieldPosition="0">
        <references count="1">
          <reference field="4294967294" count="1">
            <x v="15"/>
          </reference>
        </references>
      </pivotArea>
    </format>
    <format dxfId="133">
      <pivotArea outline="0" fieldPosition="0">
        <references count="1">
          <reference field="4294967294" count="1">
            <x v="16"/>
          </reference>
        </references>
      </pivotArea>
    </format>
    <format dxfId="13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07">
      <pivotArea dataOnly="0" labelOnly="1" outline="0" fieldPosition="0">
        <references count="1">
          <reference field="4294967294" count="3">
            <x v="3"/>
            <x v="4"/>
            <x v="5"/>
          </reference>
        </references>
      </pivotArea>
    </format>
    <format dxfId="206">
      <pivotArea dataOnly="0" labelOnly="1" outline="0" fieldPosition="0">
        <references count="1">
          <reference field="4294967294" count="3">
            <x v="9"/>
            <x v="10"/>
            <x v="11"/>
          </reference>
        </references>
      </pivotArea>
    </format>
    <format dxfId="205">
      <pivotArea dataOnly="0" labelOnly="1" outline="0" fieldPosition="0">
        <references count="1">
          <reference field="4294967294" count="3">
            <x v="15"/>
            <x v="16"/>
            <x v="17"/>
          </reference>
        </references>
      </pivotArea>
    </format>
    <format dxfId="204">
      <pivotArea field="4" type="button" dataOnly="0" labelOnly="1" outline="0" axis="axisPage" fieldPosition="2"/>
    </format>
    <format dxfId="203">
      <pivotArea dataOnly="0" labelOnly="1" fieldPosition="0">
        <references count="1">
          <reference field="4" count="1">
            <x v="0"/>
          </reference>
        </references>
      </pivotArea>
    </format>
    <format dxfId="202">
      <pivotArea dataOnly="0" labelOnly="1" outline="0" fieldPosition="0">
        <references count="1">
          <reference field="4294967294" count="1">
            <x v="0"/>
          </reference>
        </references>
      </pivotArea>
    </format>
    <format dxfId="201">
      <pivotArea field="4" type="button" dataOnly="0" labelOnly="1" outline="0" axis="axisPage" fieldPosition="2"/>
    </format>
    <format dxfId="200">
      <pivotArea field="2" type="button" dataOnly="0" labelOnly="1" outline="0" axis="axisRow" fieldPosition="0"/>
    </format>
    <format dxfId="199">
      <pivotArea dataOnly="0" labelOnly="1" fieldPosition="0">
        <references count="1">
          <reference field="2" count="1">
            <x v="0"/>
          </reference>
        </references>
      </pivotArea>
    </format>
    <format dxfId="198">
      <pivotArea dataOnly="0" labelOnly="1" grandRow="1" outline="0" fieldPosition="0"/>
    </format>
    <format dxfId="197">
      <pivotArea outline="0" collapsedLevelsAreSubtotals="1" fieldPosition="0">
        <references count="1">
          <reference field="4294967294" count="1" selected="0">
            <x v="3"/>
          </reference>
        </references>
      </pivotArea>
    </format>
    <format dxfId="196">
      <pivotArea dataOnly="0" labelOnly="1" outline="0" fieldPosition="0">
        <references count="1">
          <reference field="4294967294" count="1">
            <x v="3"/>
          </reference>
        </references>
      </pivotArea>
    </format>
    <format dxfId="195">
      <pivotArea outline="0" collapsedLevelsAreSubtotals="1" fieldPosition="0">
        <references count="1">
          <reference field="4294967294" count="1" selected="0">
            <x v="6"/>
          </reference>
        </references>
      </pivotArea>
    </format>
    <format dxfId="194">
      <pivotArea dataOnly="0" labelOnly="1" outline="0" fieldPosition="0">
        <references count="1">
          <reference field="4294967294" count="1">
            <x v="6"/>
          </reference>
        </references>
      </pivotArea>
    </format>
    <format dxfId="193">
      <pivotArea outline="0" collapsedLevelsAreSubtotals="1" fieldPosition="0">
        <references count="1">
          <reference field="4294967294" count="1" selected="0">
            <x v="9"/>
          </reference>
        </references>
      </pivotArea>
    </format>
    <format dxfId="192">
      <pivotArea dataOnly="0" labelOnly="1" outline="0" fieldPosition="0">
        <references count="1">
          <reference field="4294967294" count="1">
            <x v="9"/>
          </reference>
        </references>
      </pivotArea>
    </format>
    <format dxfId="191">
      <pivotArea outline="0" collapsedLevelsAreSubtotals="1" fieldPosition="0">
        <references count="1">
          <reference field="4294967294" count="1" selected="0">
            <x v="12"/>
          </reference>
        </references>
      </pivotArea>
    </format>
    <format dxfId="190">
      <pivotArea dataOnly="0" labelOnly="1" outline="0" fieldPosition="0">
        <references count="1">
          <reference field="4294967294" count="1">
            <x v="12"/>
          </reference>
        </references>
      </pivotArea>
    </format>
    <format dxfId="189">
      <pivotArea outline="0" collapsedLevelsAreSubtotals="1" fieldPosition="0">
        <references count="1">
          <reference field="4294967294" count="1" selected="0">
            <x v="15"/>
          </reference>
        </references>
      </pivotArea>
    </format>
    <format dxfId="188">
      <pivotArea dataOnly="0" labelOnly="1" outline="0" fieldPosition="0">
        <references count="1">
          <reference field="4294967294" count="1">
            <x v="15"/>
          </reference>
        </references>
      </pivotArea>
    </format>
    <format dxfId="187">
      <pivotArea outline="0" collapsedLevelsAreSubtotals="1" fieldPosition="0">
        <references count="1">
          <reference field="4294967294" count="1" selected="0">
            <x v="17"/>
          </reference>
        </references>
      </pivotArea>
    </format>
    <format dxfId="186">
      <pivotArea dataOnly="0" labelOnly="1" outline="0" fieldPosition="0">
        <references count="1">
          <reference field="4294967294" count="1">
            <x v="17"/>
          </reference>
        </references>
      </pivotArea>
    </format>
    <format dxfId="185">
      <pivotArea outline="0" fieldPosition="0">
        <references count="1">
          <reference field="4294967294" count="1">
            <x v="0"/>
          </reference>
        </references>
      </pivotArea>
    </format>
    <format dxfId="184">
      <pivotArea outline="0" fieldPosition="0">
        <references count="1">
          <reference field="4294967294" count="1">
            <x v="1"/>
          </reference>
        </references>
      </pivotArea>
    </format>
    <format dxfId="183">
      <pivotArea outline="0" fieldPosition="0">
        <references count="1">
          <reference field="4294967294" count="1">
            <x v="2"/>
          </reference>
        </references>
      </pivotArea>
    </format>
    <format dxfId="182">
      <pivotArea outline="0" fieldPosition="0">
        <references count="1">
          <reference field="4294967294" count="1">
            <x v="3"/>
          </reference>
        </references>
      </pivotArea>
    </format>
    <format dxfId="181">
      <pivotArea outline="0" fieldPosition="0">
        <references count="1">
          <reference field="4294967294" count="1">
            <x v="4"/>
          </reference>
        </references>
      </pivotArea>
    </format>
    <format dxfId="180">
      <pivotArea outline="0" fieldPosition="0">
        <references count="1">
          <reference field="4294967294" count="1">
            <x v="5"/>
          </reference>
        </references>
      </pivotArea>
    </format>
    <format dxfId="179">
      <pivotArea outline="0" fieldPosition="0">
        <references count="1">
          <reference field="4294967294" count="1">
            <x v="6"/>
          </reference>
        </references>
      </pivotArea>
    </format>
    <format dxfId="178">
      <pivotArea outline="0" fieldPosition="0">
        <references count="1">
          <reference field="4294967294" count="1">
            <x v="7"/>
          </reference>
        </references>
      </pivotArea>
    </format>
    <format dxfId="177">
      <pivotArea outline="0" fieldPosition="0">
        <references count="1">
          <reference field="4294967294" count="1">
            <x v="8"/>
          </reference>
        </references>
      </pivotArea>
    </format>
    <format dxfId="176">
      <pivotArea outline="0" fieldPosition="0">
        <references count="1">
          <reference field="4294967294" count="1">
            <x v="9"/>
          </reference>
        </references>
      </pivotArea>
    </format>
    <format dxfId="175">
      <pivotArea outline="0" fieldPosition="0">
        <references count="1">
          <reference field="4294967294" count="1">
            <x v="10"/>
          </reference>
        </references>
      </pivotArea>
    </format>
    <format dxfId="174">
      <pivotArea outline="0" fieldPosition="0">
        <references count="1">
          <reference field="4294967294" count="1">
            <x v="11"/>
          </reference>
        </references>
      </pivotArea>
    </format>
    <format dxfId="173">
      <pivotArea outline="0" fieldPosition="0">
        <references count="1">
          <reference field="4294967294" count="1">
            <x v="12"/>
          </reference>
        </references>
      </pivotArea>
    </format>
    <format dxfId="172">
      <pivotArea outline="0" fieldPosition="0">
        <references count="1">
          <reference field="4294967294" count="1">
            <x v="13"/>
          </reference>
        </references>
      </pivotArea>
    </format>
    <format dxfId="171">
      <pivotArea outline="0" fieldPosition="0">
        <references count="1">
          <reference field="4294967294" count="1">
            <x v="14"/>
          </reference>
        </references>
      </pivotArea>
    </format>
    <format dxfId="170">
      <pivotArea outline="0" fieldPosition="0">
        <references count="1">
          <reference field="4294967294" count="1">
            <x v="15"/>
          </reference>
        </references>
      </pivotArea>
    </format>
    <format dxfId="169">
      <pivotArea outline="0" fieldPosition="0">
        <references count="1">
          <reference field="4294967294" count="1">
            <x v="16"/>
          </reference>
        </references>
      </pivotArea>
    </format>
    <format dxfId="16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89">
      <pivotArea outline="0" collapsedLevelsAreSubtotals="1" fieldPosition="0">
        <references count="1">
          <reference field="4294967294" count="1" selected="0">
            <x v="3"/>
          </reference>
        </references>
      </pivotArea>
    </format>
    <format dxfId="88">
      <pivotArea dataOnly="0" labelOnly="1" outline="0" fieldPosition="0">
        <references count="1">
          <reference field="4294967294" count="1">
            <x v="3"/>
          </reference>
        </references>
      </pivotArea>
    </format>
    <format dxfId="87">
      <pivotArea outline="0" collapsedLevelsAreSubtotals="1" fieldPosition="0">
        <references count="1">
          <reference field="4294967294" count="1" selected="0">
            <x v="6"/>
          </reference>
        </references>
      </pivotArea>
    </format>
    <format dxfId="86">
      <pivotArea dataOnly="0" labelOnly="1" outline="0" fieldPosition="0">
        <references count="1">
          <reference field="4294967294" count="1">
            <x v="6"/>
          </reference>
        </references>
      </pivotArea>
    </format>
    <format dxfId="85">
      <pivotArea outline="0" collapsedLevelsAreSubtotals="1" fieldPosition="0">
        <references count="1">
          <reference field="4294967294" count="1" selected="0">
            <x v="9"/>
          </reference>
        </references>
      </pivotArea>
    </format>
    <format dxfId="84">
      <pivotArea dataOnly="0" labelOnly="1" outline="0" fieldPosition="0">
        <references count="1">
          <reference field="4294967294" count="1">
            <x v="9"/>
          </reference>
        </references>
      </pivotArea>
    </format>
    <format dxfId="83">
      <pivotArea outline="0" collapsedLevelsAreSubtotals="1" fieldPosition="0">
        <references count="1">
          <reference field="4294967294" count="1" selected="0">
            <x v="12"/>
          </reference>
        </references>
      </pivotArea>
    </format>
    <format dxfId="82">
      <pivotArea dataOnly="0" labelOnly="1" outline="0" fieldPosition="0">
        <references count="1">
          <reference field="4294967294" count="1">
            <x v="12"/>
          </reference>
        </references>
      </pivotArea>
    </format>
    <format dxfId="81">
      <pivotArea outline="0" collapsedLevelsAreSubtotals="1" fieldPosition="0">
        <references count="1">
          <reference field="4294967294" count="1" selected="0">
            <x v="15"/>
          </reference>
        </references>
      </pivotArea>
    </format>
    <format dxfId="80">
      <pivotArea dataOnly="0" labelOnly="1" outline="0" fieldPosition="0">
        <references count="1">
          <reference field="4294967294" count="1">
            <x v="15"/>
          </reference>
        </references>
      </pivotArea>
    </format>
    <format dxfId="79">
      <pivotArea dataOnly="0" labelOnly="1" outline="0" fieldPosition="0">
        <references count="1">
          <reference field="4294967294" count="3">
            <x v="3"/>
            <x v="4"/>
            <x v="5"/>
          </reference>
        </references>
      </pivotArea>
    </format>
    <format dxfId="78">
      <pivotArea dataOnly="0" labelOnly="1" outline="0" fieldPosition="0">
        <references count="1">
          <reference field="4294967294" count="3">
            <x v="9"/>
            <x v="10"/>
            <x v="11"/>
          </reference>
        </references>
      </pivotArea>
    </format>
    <format dxfId="77">
      <pivotArea dataOnly="0" labelOnly="1" outline="0" fieldPosition="0">
        <references count="1">
          <reference field="4294967294" count="3">
            <x v="15"/>
            <x v="16"/>
            <x v="17"/>
          </reference>
        </references>
      </pivotArea>
    </format>
    <format dxfId="76">
      <pivotArea field="4" type="button" dataOnly="0" labelOnly="1" outline="0" axis="axisRow" fieldPosition="0"/>
    </format>
    <format dxfId="75">
      <pivotArea dataOnly="0" labelOnly="1" fieldPosition="0">
        <references count="1">
          <reference field="4" count="1">
            <x v="0"/>
          </reference>
        </references>
      </pivotArea>
    </format>
    <format dxfId="74">
      <pivotArea dataOnly="0" labelOnly="1" grandRow="1" outline="0" fieldPosition="0"/>
    </format>
    <format dxfId="73">
      <pivotArea dataOnly="0" labelOnly="1" outline="0" fieldPosition="0">
        <references count="1">
          <reference field="4294967294" count="1">
            <x v="0"/>
          </reference>
        </references>
      </pivotArea>
    </format>
    <format dxfId="72">
      <pivotArea field="4" type="button" dataOnly="0" labelOnly="1" outline="0" axis="axisRow" fieldPosition="0"/>
    </format>
    <format dxfId="71">
      <pivotArea outline="0" fieldPosition="0">
        <references count="1">
          <reference field="4294967294" count="1">
            <x v="0"/>
          </reference>
        </references>
      </pivotArea>
    </format>
    <format dxfId="70">
      <pivotArea outline="0" fieldPosition="0">
        <references count="1">
          <reference field="4294967294" count="1">
            <x v="1"/>
          </reference>
        </references>
      </pivotArea>
    </format>
    <format dxfId="69">
      <pivotArea outline="0" fieldPosition="0">
        <references count="1">
          <reference field="4294967294" count="1">
            <x v="2"/>
          </reference>
        </references>
      </pivotArea>
    </format>
    <format dxfId="68">
      <pivotArea outline="0" fieldPosition="0">
        <references count="1">
          <reference field="4294967294" count="1">
            <x v="3"/>
          </reference>
        </references>
      </pivotArea>
    </format>
    <format dxfId="67">
      <pivotArea outline="0" fieldPosition="0">
        <references count="1">
          <reference field="4294967294" count="1">
            <x v="4"/>
          </reference>
        </references>
      </pivotArea>
    </format>
    <format dxfId="66">
      <pivotArea outline="0" fieldPosition="0">
        <references count="1">
          <reference field="4294967294" count="1">
            <x v="5"/>
          </reference>
        </references>
      </pivotArea>
    </format>
    <format dxfId="65">
      <pivotArea outline="0" fieldPosition="0">
        <references count="1">
          <reference field="4294967294" count="1">
            <x v="6"/>
          </reference>
        </references>
      </pivotArea>
    </format>
    <format dxfId="64">
      <pivotArea outline="0" fieldPosition="0">
        <references count="1">
          <reference field="4294967294" count="1">
            <x v="7"/>
          </reference>
        </references>
      </pivotArea>
    </format>
    <format dxfId="63">
      <pivotArea outline="0" fieldPosition="0">
        <references count="1">
          <reference field="4294967294" count="1">
            <x v="8"/>
          </reference>
        </references>
      </pivotArea>
    </format>
    <format dxfId="62">
      <pivotArea outline="0" fieldPosition="0">
        <references count="1">
          <reference field="4294967294" count="1">
            <x v="9"/>
          </reference>
        </references>
      </pivotArea>
    </format>
    <format dxfId="61">
      <pivotArea outline="0" fieldPosition="0">
        <references count="1">
          <reference field="4294967294" count="1">
            <x v="10"/>
          </reference>
        </references>
      </pivotArea>
    </format>
    <format dxfId="60">
      <pivotArea outline="0" fieldPosition="0">
        <references count="1">
          <reference field="4294967294" count="1">
            <x v="11"/>
          </reference>
        </references>
      </pivotArea>
    </format>
    <format dxfId="59">
      <pivotArea outline="0" fieldPosition="0">
        <references count="1">
          <reference field="4294967294" count="1">
            <x v="12"/>
          </reference>
        </references>
      </pivotArea>
    </format>
    <format dxfId="58">
      <pivotArea outline="0" fieldPosition="0">
        <references count="1">
          <reference field="4294967294" count="1">
            <x v="13"/>
          </reference>
        </references>
      </pivotArea>
    </format>
    <format dxfId="57">
      <pivotArea outline="0" fieldPosition="0">
        <references count="1">
          <reference field="4294967294" count="1">
            <x v="14"/>
          </reference>
        </references>
      </pivotArea>
    </format>
    <format dxfId="56">
      <pivotArea outline="0" fieldPosition="0">
        <references count="1">
          <reference field="4294967294" count="1">
            <x v="15"/>
          </reference>
        </references>
      </pivotArea>
    </format>
    <format dxfId="55">
      <pivotArea outline="0" fieldPosition="0">
        <references count="1">
          <reference field="4294967294" count="1">
            <x v="16"/>
          </reference>
        </references>
      </pivotArea>
    </format>
    <format dxfId="5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131">
      <pivotArea dataOnly="0" labelOnly="1" outline="0" fieldPosition="0">
        <references count="1">
          <reference field="4294967294" count="3">
            <x v="3"/>
            <x v="4"/>
            <x v="5"/>
          </reference>
        </references>
      </pivotArea>
    </format>
    <format dxfId="130">
      <pivotArea dataOnly="0" labelOnly="1" outline="0" fieldPosition="0">
        <references count="1">
          <reference field="4294967294" count="3">
            <x v="9"/>
            <x v="10"/>
            <x v="11"/>
          </reference>
        </references>
      </pivotArea>
    </format>
    <format dxfId="129">
      <pivotArea dataOnly="0" labelOnly="1" outline="0" fieldPosition="0">
        <references count="1">
          <reference field="4294967294" count="3">
            <x v="15"/>
            <x v="16"/>
            <x v="17"/>
          </reference>
        </references>
      </pivotArea>
    </format>
    <format dxfId="128">
      <pivotArea field="4" type="button" dataOnly="0" labelOnly="1" outline="0" axis="axisPage" fieldPosition="2"/>
    </format>
    <format dxfId="127">
      <pivotArea dataOnly="0" labelOnly="1" fieldPosition="0">
        <references count="1">
          <reference field="4" count="1">
            <x v="0"/>
          </reference>
        </references>
      </pivotArea>
    </format>
    <format dxfId="126">
      <pivotArea dataOnly="0" labelOnly="1" outline="0" fieldPosition="0">
        <references count="1">
          <reference field="4294967294" count="1">
            <x v="0"/>
          </reference>
        </references>
      </pivotArea>
    </format>
    <format dxfId="125">
      <pivotArea field="4" type="button" dataOnly="0" labelOnly="1" outline="0" axis="axisPage" fieldPosition="2"/>
    </format>
    <format dxfId="124">
      <pivotArea field="2" type="button" dataOnly="0" labelOnly="1" outline="0" axis="axisRow" fieldPosition="0"/>
    </format>
    <format dxfId="123">
      <pivotArea dataOnly="0" labelOnly="1" fieldPosition="0">
        <references count="1">
          <reference field="2" count="1">
            <x v="0"/>
          </reference>
        </references>
      </pivotArea>
    </format>
    <format dxfId="122">
      <pivotArea dataOnly="0" labelOnly="1" grandRow="1" outline="0" fieldPosition="0"/>
    </format>
    <format dxfId="121">
      <pivotArea outline="0" collapsedLevelsAreSubtotals="1" fieldPosition="0">
        <references count="1">
          <reference field="4294967294" count="1" selected="0">
            <x v="3"/>
          </reference>
        </references>
      </pivotArea>
    </format>
    <format dxfId="120">
      <pivotArea dataOnly="0" labelOnly="1" outline="0" fieldPosition="0">
        <references count="1">
          <reference field="4294967294" count="1">
            <x v="3"/>
          </reference>
        </references>
      </pivotArea>
    </format>
    <format dxfId="119">
      <pivotArea outline="0" collapsedLevelsAreSubtotals="1" fieldPosition="0">
        <references count="1">
          <reference field="4294967294" count="1" selected="0">
            <x v="6"/>
          </reference>
        </references>
      </pivotArea>
    </format>
    <format dxfId="118">
      <pivotArea dataOnly="0" labelOnly="1" outline="0" fieldPosition="0">
        <references count="1">
          <reference field="4294967294" count="1">
            <x v="6"/>
          </reference>
        </references>
      </pivotArea>
    </format>
    <format dxfId="117">
      <pivotArea outline="0" collapsedLevelsAreSubtotals="1" fieldPosition="0">
        <references count="1">
          <reference field="4294967294" count="1" selected="0">
            <x v="9"/>
          </reference>
        </references>
      </pivotArea>
    </format>
    <format dxfId="116">
      <pivotArea dataOnly="0" labelOnly="1" outline="0" fieldPosition="0">
        <references count="1">
          <reference field="4294967294" count="1">
            <x v="9"/>
          </reference>
        </references>
      </pivotArea>
    </format>
    <format dxfId="115">
      <pivotArea outline="0" collapsedLevelsAreSubtotals="1" fieldPosition="0">
        <references count="1">
          <reference field="4294967294" count="1" selected="0">
            <x v="12"/>
          </reference>
        </references>
      </pivotArea>
    </format>
    <format dxfId="114">
      <pivotArea dataOnly="0" labelOnly="1" outline="0" fieldPosition="0">
        <references count="1">
          <reference field="4294967294" count="1">
            <x v="12"/>
          </reference>
        </references>
      </pivotArea>
    </format>
    <format dxfId="113">
      <pivotArea outline="0" collapsedLevelsAreSubtotals="1" fieldPosition="0">
        <references count="1">
          <reference field="4294967294" count="1" selected="0">
            <x v="15"/>
          </reference>
        </references>
      </pivotArea>
    </format>
    <format dxfId="112">
      <pivotArea dataOnly="0" labelOnly="1" outline="0" fieldPosition="0">
        <references count="1">
          <reference field="4294967294" count="1">
            <x v="15"/>
          </reference>
        </references>
      </pivotArea>
    </format>
    <format dxfId="111">
      <pivotArea outline="0" collapsedLevelsAreSubtotals="1" fieldPosition="0">
        <references count="1">
          <reference field="4294967294" count="1" selected="0">
            <x v="17"/>
          </reference>
        </references>
      </pivotArea>
    </format>
    <format dxfId="110">
      <pivotArea dataOnly="0" labelOnly="1" outline="0" fieldPosition="0">
        <references count="1">
          <reference field="4294967294" count="1">
            <x v="17"/>
          </reference>
        </references>
      </pivotArea>
    </format>
    <format dxfId="109">
      <pivotArea outline="0" fieldPosition="0">
        <references count="1">
          <reference field="4294967294" count="1">
            <x v="0"/>
          </reference>
        </references>
      </pivotArea>
    </format>
    <format dxfId="108">
      <pivotArea outline="0" fieldPosition="0">
        <references count="1">
          <reference field="4294967294" count="1">
            <x v="1"/>
          </reference>
        </references>
      </pivotArea>
    </format>
    <format dxfId="107">
      <pivotArea collapsedLevelsAreSubtotals="1" fieldPosition="0">
        <references count="2">
          <reference field="4294967294" count="1" selected="0">
            <x v="0"/>
          </reference>
          <reference field="2" count="1">
            <x v="2"/>
          </reference>
        </references>
      </pivotArea>
    </format>
    <format dxfId="106">
      <pivotArea collapsedLevelsAreSubtotals="1" fieldPosition="0">
        <references count="2">
          <reference field="4294967294" count="1" selected="0">
            <x v="1"/>
          </reference>
          <reference field="2" count="1">
            <x v="2"/>
          </reference>
        </references>
      </pivotArea>
    </format>
    <format dxfId="105">
      <pivotArea outline="0" fieldPosition="0">
        <references count="1">
          <reference field="4294967294" count="1">
            <x v="2"/>
          </reference>
        </references>
      </pivotArea>
    </format>
    <format dxfId="104">
      <pivotArea outline="0" fieldPosition="0">
        <references count="1">
          <reference field="4294967294" count="1">
            <x v="3"/>
          </reference>
        </references>
      </pivotArea>
    </format>
    <format dxfId="103">
      <pivotArea outline="0" fieldPosition="0">
        <references count="1">
          <reference field="4294967294" count="1">
            <x v="4"/>
          </reference>
        </references>
      </pivotArea>
    </format>
    <format dxfId="102">
      <pivotArea outline="0" fieldPosition="0">
        <references count="1">
          <reference field="4294967294" count="1">
            <x v="5"/>
          </reference>
        </references>
      </pivotArea>
    </format>
    <format dxfId="101">
      <pivotArea outline="0" fieldPosition="0">
        <references count="1">
          <reference field="4294967294" count="1">
            <x v="6"/>
          </reference>
        </references>
      </pivotArea>
    </format>
    <format dxfId="100">
      <pivotArea outline="0" fieldPosition="0">
        <references count="1">
          <reference field="4294967294" count="1">
            <x v="7"/>
          </reference>
        </references>
      </pivotArea>
    </format>
    <format dxfId="99">
      <pivotArea outline="0" fieldPosition="0">
        <references count="1">
          <reference field="4294967294" count="1">
            <x v="8"/>
          </reference>
        </references>
      </pivotArea>
    </format>
    <format dxfId="98">
      <pivotArea outline="0" fieldPosition="0">
        <references count="1">
          <reference field="4294967294" count="1">
            <x v="9"/>
          </reference>
        </references>
      </pivotArea>
    </format>
    <format dxfId="97">
      <pivotArea outline="0" fieldPosition="0">
        <references count="1">
          <reference field="4294967294" count="1">
            <x v="10"/>
          </reference>
        </references>
      </pivotArea>
    </format>
    <format dxfId="96">
      <pivotArea outline="0" fieldPosition="0">
        <references count="1">
          <reference field="4294967294" count="1">
            <x v="11"/>
          </reference>
        </references>
      </pivotArea>
    </format>
    <format dxfId="95">
      <pivotArea outline="0" fieldPosition="0">
        <references count="1">
          <reference field="4294967294" count="1">
            <x v="12"/>
          </reference>
        </references>
      </pivotArea>
    </format>
    <format dxfId="94">
      <pivotArea outline="0" fieldPosition="0">
        <references count="1">
          <reference field="4294967294" count="1">
            <x v="13"/>
          </reference>
        </references>
      </pivotArea>
    </format>
    <format dxfId="93">
      <pivotArea outline="0" fieldPosition="0">
        <references count="1">
          <reference field="4294967294" count="1">
            <x v="14"/>
          </reference>
        </references>
      </pivotArea>
    </format>
    <format dxfId="92">
      <pivotArea outline="0" fieldPosition="0">
        <references count="1">
          <reference field="4294967294" count="1">
            <x v="15"/>
          </reference>
        </references>
      </pivotArea>
    </format>
    <format dxfId="91">
      <pivotArea outline="0" fieldPosition="0">
        <references count="1">
          <reference field="4294967294" count="1">
            <x v="16"/>
          </reference>
        </references>
      </pivotArea>
    </format>
    <format dxfId="9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4"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50">
      <pivotArea dataOnly="0" labelOnly="1" outline="0" axis="axisValues" fieldPosition="0"/>
    </format>
    <format dxfId="49">
      <pivotArea outline="0" fieldPosition="0">
        <references count="1">
          <reference field="4294967294" count="1">
            <x v="0"/>
          </reference>
        </references>
      </pivotArea>
    </format>
    <format dxfId="4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53">
      <pivotArea dataOnly="0" labelOnly="1" outline="0" axis="axisValues" fieldPosition="0"/>
    </format>
    <format dxfId="52">
      <pivotArea dataOnly="0" outline="0" axis="axisValues" fieldPosition="0"/>
    </format>
    <format dxfId="5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44">
      <pivotArea dataOnly="0" labelOnly="1" outline="0" axis="axisValues" fieldPosition="0"/>
    </format>
    <format dxfId="43">
      <pivotArea outline="0" fieldPosition="0">
        <references count="1">
          <reference field="4294967294" count="1">
            <x v="0"/>
          </reference>
        </references>
      </pivotArea>
    </format>
    <format dxfId="4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47">
      <pivotArea dataOnly="0" labelOnly="1" outline="0" axis="axisValues" fieldPosition="0"/>
    </format>
    <format dxfId="46">
      <pivotArea dataOnly="0" outline="0" axis="axisValues" fieldPosition="0"/>
    </format>
    <format dxfId="4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7.xml"/><Relationship Id="rId7" Type="http://schemas.openxmlformats.org/officeDocument/2006/relationships/printerSettings" Target="../printerSettings/printerSettings4.bin"/><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 Id="rId4"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rinterSettings" Target="../printerSettings/printerSettings7.bin"/><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6" Type="http://schemas.openxmlformats.org/officeDocument/2006/relationships/printerSettings" Target="../printerSettings/printerSettings8.bin"/><Relationship Id="rId5" Type="http://schemas.openxmlformats.org/officeDocument/2006/relationships/pivotTable" Target="../pivotTables/pivotTable26.xml"/><Relationship Id="rId4" Type="http://schemas.openxmlformats.org/officeDocument/2006/relationships/pivotTable" Target="../pivotTables/pivotTable25.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rinterSettings" Target="../printerSettings/printerSettings9.bin"/><Relationship Id="rId5" Type="http://schemas.openxmlformats.org/officeDocument/2006/relationships/pivotTable" Target="../pivotTables/pivotTable31.xml"/><Relationship Id="rId4" Type="http://schemas.openxmlformats.org/officeDocument/2006/relationships/pivotTable" Target="../pivotTables/pivotTable30.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4.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rinterSettings" Target="../printerSettings/printerSettings10.bin"/><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37.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40.xml"/><Relationship Id="rId2" Type="http://schemas.openxmlformats.org/officeDocument/2006/relationships/pivotTable" Target="../pivotTables/pivotTable39.xml"/><Relationship Id="rId1" Type="http://schemas.openxmlformats.org/officeDocument/2006/relationships/pivotTable" Target="../pivotTables/pivotTable38.xml"/><Relationship Id="rId6" Type="http://schemas.openxmlformats.org/officeDocument/2006/relationships/printerSettings" Target="../printerSettings/printerSettings12.bin"/><Relationship Id="rId5" Type="http://schemas.openxmlformats.org/officeDocument/2006/relationships/pivotTable" Target="../pivotTables/pivotTable42.xml"/><Relationship Id="rId4" Type="http://schemas.openxmlformats.org/officeDocument/2006/relationships/pivotTable" Target="../pivotTables/pivotTable41.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45.xml"/><Relationship Id="rId7" Type="http://schemas.openxmlformats.org/officeDocument/2006/relationships/pivotTable" Target="../pivotTables/pivotTable49.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pivotTable" Target="../pivotTables/pivotTable48.xml"/><Relationship Id="rId5" Type="http://schemas.openxmlformats.org/officeDocument/2006/relationships/pivotTable" Target="../pivotTables/pivotTable47.xml"/><Relationship Id="rId4" Type="http://schemas.openxmlformats.org/officeDocument/2006/relationships/pivotTable" Target="../pivotTables/pivotTable46.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14.bin"/><Relationship Id="rId3" Type="http://schemas.openxmlformats.org/officeDocument/2006/relationships/pivotTable" Target="../pivotTables/pivotTable52.xml"/><Relationship Id="rId7" Type="http://schemas.openxmlformats.org/officeDocument/2006/relationships/pivotTable" Target="../pivotTables/pivotTable56.xml"/><Relationship Id="rId2" Type="http://schemas.openxmlformats.org/officeDocument/2006/relationships/pivotTable" Target="../pivotTables/pivotTable51.xml"/><Relationship Id="rId1" Type="http://schemas.openxmlformats.org/officeDocument/2006/relationships/pivotTable" Target="../pivotTables/pivotTable50.xml"/><Relationship Id="rId6" Type="http://schemas.openxmlformats.org/officeDocument/2006/relationships/pivotTable" Target="../pivotTables/pivotTable55.xml"/><Relationship Id="rId5" Type="http://schemas.openxmlformats.org/officeDocument/2006/relationships/pivotTable" Target="../pivotTables/pivotTable54.xml"/><Relationship Id="rId4" Type="http://schemas.openxmlformats.org/officeDocument/2006/relationships/pivotTable" Target="../pivotTables/pivotTable53.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59.xml"/><Relationship Id="rId2" Type="http://schemas.openxmlformats.org/officeDocument/2006/relationships/pivotTable" Target="../pivotTables/pivotTable58.xml"/><Relationship Id="rId1" Type="http://schemas.openxmlformats.org/officeDocument/2006/relationships/pivotTable" Target="../pivotTables/pivotTable57.xml"/><Relationship Id="rId6" Type="http://schemas.openxmlformats.org/officeDocument/2006/relationships/printerSettings" Target="../printerSettings/printerSettings15.bin"/><Relationship Id="rId5" Type="http://schemas.openxmlformats.org/officeDocument/2006/relationships/pivotTable" Target="../pivotTables/pivotTable61.xml"/><Relationship Id="rId4" Type="http://schemas.openxmlformats.org/officeDocument/2006/relationships/pivotTable" Target="../pivotTables/pivotTable60.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4.xml"/><Relationship Id="rId2" Type="http://schemas.openxmlformats.org/officeDocument/2006/relationships/pivotTable" Target="../pivotTables/pivotTable63.xml"/><Relationship Id="rId1" Type="http://schemas.openxmlformats.org/officeDocument/2006/relationships/pivotTable" Target="../pivotTables/pivotTable62.xml"/><Relationship Id="rId5" Type="http://schemas.openxmlformats.org/officeDocument/2006/relationships/printerSettings" Target="../printerSettings/printerSettings16.bin"/><Relationship Id="rId4" Type="http://schemas.openxmlformats.org/officeDocument/2006/relationships/pivotTable" Target="../pivotTables/pivotTable65.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3.xml"/><Relationship Id="rId3" Type="http://schemas.openxmlformats.org/officeDocument/2006/relationships/pivotTable" Target="../pivotTables/pivotTable68.xml"/><Relationship Id="rId7" Type="http://schemas.openxmlformats.org/officeDocument/2006/relationships/pivotTable" Target="../pivotTables/pivotTable72.xml"/><Relationship Id="rId2" Type="http://schemas.openxmlformats.org/officeDocument/2006/relationships/pivotTable" Target="../pivotTables/pivotTable67.xml"/><Relationship Id="rId1" Type="http://schemas.openxmlformats.org/officeDocument/2006/relationships/pivotTable" Target="../pivotTables/pivotTable66.xml"/><Relationship Id="rId6" Type="http://schemas.openxmlformats.org/officeDocument/2006/relationships/pivotTable" Target="../pivotTables/pivotTable71.xml"/><Relationship Id="rId5" Type="http://schemas.openxmlformats.org/officeDocument/2006/relationships/pivotTable" Target="../pivotTables/pivotTable70.xml"/><Relationship Id="rId10" Type="http://schemas.openxmlformats.org/officeDocument/2006/relationships/printerSettings" Target="../printerSettings/printerSettings17.bin"/><Relationship Id="rId4" Type="http://schemas.openxmlformats.org/officeDocument/2006/relationships/pivotTable" Target="../pivotTables/pivotTable69.xml"/><Relationship Id="rId9" Type="http://schemas.openxmlformats.org/officeDocument/2006/relationships/pivotTable" Target="../pivotTables/pivotTable74.xml"/></Relationships>
</file>

<file path=xl/worksheets/_rels/sheet23.xml.rels><?xml version="1.0" encoding="UTF-8" standalone="yes"?>
<Relationships xmlns="http://schemas.openxmlformats.org/package/2006/relationships"><Relationship Id="rId8" Type="http://schemas.openxmlformats.org/officeDocument/2006/relationships/pivotTable" Target="../pivotTables/pivotTable82.xml"/><Relationship Id="rId3" Type="http://schemas.openxmlformats.org/officeDocument/2006/relationships/pivotTable" Target="../pivotTables/pivotTable77.xml"/><Relationship Id="rId7" Type="http://schemas.openxmlformats.org/officeDocument/2006/relationships/pivotTable" Target="../pivotTables/pivotTable81.xml"/><Relationship Id="rId2" Type="http://schemas.openxmlformats.org/officeDocument/2006/relationships/pivotTable" Target="../pivotTables/pivotTable76.xml"/><Relationship Id="rId1" Type="http://schemas.openxmlformats.org/officeDocument/2006/relationships/pivotTable" Target="../pivotTables/pivotTable75.xml"/><Relationship Id="rId6" Type="http://schemas.openxmlformats.org/officeDocument/2006/relationships/pivotTable" Target="../pivotTables/pivotTable80.xml"/><Relationship Id="rId5" Type="http://schemas.openxmlformats.org/officeDocument/2006/relationships/pivotTable" Target="../pivotTables/pivotTable79.xml"/><Relationship Id="rId10" Type="http://schemas.openxmlformats.org/officeDocument/2006/relationships/printerSettings" Target="../printerSettings/printerSettings18.bin"/><Relationship Id="rId4" Type="http://schemas.openxmlformats.org/officeDocument/2006/relationships/pivotTable" Target="../pivotTables/pivotTable78.xml"/><Relationship Id="rId9"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6.xml"/><Relationship Id="rId7" Type="http://schemas.openxmlformats.org/officeDocument/2006/relationships/printerSettings" Target="../printerSettings/printerSettings19.bin"/><Relationship Id="rId2" Type="http://schemas.openxmlformats.org/officeDocument/2006/relationships/pivotTable" Target="../pivotTables/pivotTable85.xml"/><Relationship Id="rId1" Type="http://schemas.openxmlformats.org/officeDocument/2006/relationships/pivotTable" Target="../pivotTables/pivotTable84.xml"/><Relationship Id="rId6" Type="http://schemas.openxmlformats.org/officeDocument/2006/relationships/pivotTable" Target="../pivotTables/pivotTable89.xml"/><Relationship Id="rId5" Type="http://schemas.openxmlformats.org/officeDocument/2006/relationships/pivotTable" Target="../pivotTables/pivotTable88.xml"/><Relationship Id="rId4" Type="http://schemas.openxmlformats.org/officeDocument/2006/relationships/pivotTable" Target="../pivotTables/pivotTable8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92.xml"/><Relationship Id="rId7" Type="http://schemas.openxmlformats.org/officeDocument/2006/relationships/printerSettings" Target="../printerSettings/printerSettings20.bin"/><Relationship Id="rId2" Type="http://schemas.openxmlformats.org/officeDocument/2006/relationships/pivotTable" Target="../pivotTables/pivotTable91.xml"/><Relationship Id="rId1" Type="http://schemas.openxmlformats.org/officeDocument/2006/relationships/pivotTable" Target="../pivotTables/pivotTable90.xml"/><Relationship Id="rId6" Type="http://schemas.openxmlformats.org/officeDocument/2006/relationships/pivotTable" Target="../pivotTables/pivotTable95.xml"/><Relationship Id="rId5" Type="http://schemas.openxmlformats.org/officeDocument/2006/relationships/pivotTable" Target="../pivotTables/pivotTable94.xml"/><Relationship Id="rId4" Type="http://schemas.openxmlformats.org/officeDocument/2006/relationships/pivotTable" Target="../pivotTables/pivotTable93.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8.xml"/><Relationship Id="rId2" Type="http://schemas.openxmlformats.org/officeDocument/2006/relationships/pivotTable" Target="../pivotTables/pivotTable97.xml"/><Relationship Id="rId1" Type="http://schemas.openxmlformats.org/officeDocument/2006/relationships/pivotTable" Target="../pivotTables/pivotTable96.xml"/><Relationship Id="rId6" Type="http://schemas.openxmlformats.org/officeDocument/2006/relationships/printerSettings" Target="../printerSettings/printerSettings21.bin"/><Relationship Id="rId5" Type="http://schemas.openxmlformats.org/officeDocument/2006/relationships/pivotTable" Target="../pivotTables/pivotTable100.xml"/><Relationship Id="rId4" Type="http://schemas.openxmlformats.org/officeDocument/2006/relationships/pivotTable" Target="../pivotTables/pivotTable99.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103.xml"/><Relationship Id="rId2" Type="http://schemas.openxmlformats.org/officeDocument/2006/relationships/pivotTable" Target="../pivotTables/pivotTable102.xml"/><Relationship Id="rId1" Type="http://schemas.openxmlformats.org/officeDocument/2006/relationships/pivotTable" Target="../pivotTables/pivotTable101.xml"/><Relationship Id="rId6" Type="http://schemas.openxmlformats.org/officeDocument/2006/relationships/printerSettings" Target="../printerSettings/printerSettings22.bin"/><Relationship Id="rId5" Type="http://schemas.openxmlformats.org/officeDocument/2006/relationships/pivotTable" Target="../pivotTables/pivotTable105.xml"/><Relationship Id="rId4" Type="http://schemas.openxmlformats.org/officeDocument/2006/relationships/pivotTable" Target="../pivotTables/pivotTable104.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13.xml"/><Relationship Id="rId3" Type="http://schemas.openxmlformats.org/officeDocument/2006/relationships/pivotTable" Target="../pivotTables/pivotTable108.xml"/><Relationship Id="rId7" Type="http://schemas.openxmlformats.org/officeDocument/2006/relationships/pivotTable" Target="../pivotTables/pivotTable112.xml"/><Relationship Id="rId2" Type="http://schemas.openxmlformats.org/officeDocument/2006/relationships/pivotTable" Target="../pivotTables/pivotTable107.xml"/><Relationship Id="rId1" Type="http://schemas.openxmlformats.org/officeDocument/2006/relationships/pivotTable" Target="../pivotTables/pivotTable106.xml"/><Relationship Id="rId6" Type="http://schemas.openxmlformats.org/officeDocument/2006/relationships/pivotTable" Target="../pivotTables/pivotTable111.xml"/><Relationship Id="rId5" Type="http://schemas.openxmlformats.org/officeDocument/2006/relationships/pivotTable" Target="../pivotTables/pivotTable110.xml"/><Relationship Id="rId4" Type="http://schemas.openxmlformats.org/officeDocument/2006/relationships/pivotTable" Target="../pivotTables/pivotTable109.xml"/><Relationship Id="rId9"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21.xml"/><Relationship Id="rId3" Type="http://schemas.openxmlformats.org/officeDocument/2006/relationships/pivotTable" Target="../pivotTables/pivotTable116.xml"/><Relationship Id="rId7" Type="http://schemas.openxmlformats.org/officeDocument/2006/relationships/pivotTable" Target="../pivotTables/pivotTable120.xml"/><Relationship Id="rId2" Type="http://schemas.openxmlformats.org/officeDocument/2006/relationships/pivotTable" Target="../pivotTables/pivotTable115.xml"/><Relationship Id="rId1" Type="http://schemas.openxmlformats.org/officeDocument/2006/relationships/pivotTable" Target="../pivotTables/pivotTable114.xml"/><Relationship Id="rId6" Type="http://schemas.openxmlformats.org/officeDocument/2006/relationships/pivotTable" Target="../pivotTables/pivotTable119.xml"/><Relationship Id="rId11" Type="http://schemas.openxmlformats.org/officeDocument/2006/relationships/printerSettings" Target="../printerSettings/printerSettings24.bin"/><Relationship Id="rId5" Type="http://schemas.openxmlformats.org/officeDocument/2006/relationships/pivotTable" Target="../pivotTables/pivotTable118.xml"/><Relationship Id="rId10" Type="http://schemas.openxmlformats.org/officeDocument/2006/relationships/pivotTable" Target="../pivotTables/pivotTable123.xml"/><Relationship Id="rId4" Type="http://schemas.openxmlformats.org/officeDocument/2006/relationships/pivotTable" Target="../pivotTables/pivotTable117.xml"/><Relationship Id="rId9" Type="http://schemas.openxmlformats.org/officeDocument/2006/relationships/pivotTable" Target="../pivotTables/pivotTable122.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ivotTable" Target="../pivotTables/pivotTable125.xml"/><Relationship Id="rId1" Type="http://schemas.openxmlformats.org/officeDocument/2006/relationships/pivotTable" Target="../pivotTables/pivotTable124.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8.xml"/><Relationship Id="rId7" Type="http://schemas.openxmlformats.org/officeDocument/2006/relationships/printerSettings" Target="../printerSettings/printerSettings26.bin"/><Relationship Id="rId2" Type="http://schemas.openxmlformats.org/officeDocument/2006/relationships/pivotTable" Target="../pivotTables/pivotTable127.xml"/><Relationship Id="rId1" Type="http://schemas.openxmlformats.org/officeDocument/2006/relationships/pivotTable" Target="../pivotTables/pivotTable126.xml"/><Relationship Id="rId6" Type="http://schemas.openxmlformats.org/officeDocument/2006/relationships/pivotTable" Target="../pivotTables/pivotTable131.xml"/><Relationship Id="rId5" Type="http://schemas.openxmlformats.org/officeDocument/2006/relationships/pivotTable" Target="../pivotTables/pivotTable130.xml"/><Relationship Id="rId4" Type="http://schemas.openxmlformats.org/officeDocument/2006/relationships/pivotTable" Target="../pivotTables/pivotTable129.xml"/></Relationships>
</file>

<file path=xl/worksheets/_rels/sheet32.xml.rels><?xml version="1.0" encoding="UTF-8" standalone="yes"?>
<Relationships xmlns="http://schemas.openxmlformats.org/package/2006/relationships"><Relationship Id="rId3" Type="http://schemas.openxmlformats.org/officeDocument/2006/relationships/pivotTable" Target="../pivotTables/pivotTable134.xml"/><Relationship Id="rId7" Type="http://schemas.openxmlformats.org/officeDocument/2006/relationships/printerSettings" Target="../printerSettings/printerSettings27.bin"/><Relationship Id="rId2" Type="http://schemas.openxmlformats.org/officeDocument/2006/relationships/pivotTable" Target="../pivotTables/pivotTable133.xml"/><Relationship Id="rId1" Type="http://schemas.openxmlformats.org/officeDocument/2006/relationships/pivotTable" Target="../pivotTables/pivotTable132.xml"/><Relationship Id="rId6" Type="http://schemas.openxmlformats.org/officeDocument/2006/relationships/pivotTable" Target="../pivotTables/pivotTable137.xml"/><Relationship Id="rId5" Type="http://schemas.openxmlformats.org/officeDocument/2006/relationships/pivotTable" Target="../pivotTables/pivotTable136.xml"/><Relationship Id="rId4" Type="http://schemas.openxmlformats.org/officeDocument/2006/relationships/pivotTable" Target="../pivotTables/pivotTable135.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39.xml"/><Relationship Id="rId1" Type="http://schemas.openxmlformats.org/officeDocument/2006/relationships/pivotTable" Target="../pivotTables/pivotTable138.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41.xml"/><Relationship Id="rId1" Type="http://schemas.openxmlformats.org/officeDocument/2006/relationships/pivotTable" Target="../pivotTables/pivotTable140.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43.xml"/><Relationship Id="rId1" Type="http://schemas.openxmlformats.org/officeDocument/2006/relationships/pivotTable" Target="../pivotTables/pivotTable142.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45.xml"/><Relationship Id="rId1" Type="http://schemas.openxmlformats.org/officeDocument/2006/relationships/pivotTable" Target="../pivotTables/pivotTable144.xml"/></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ivotTable" Target="../pivotTables/pivotTable147.xml"/><Relationship Id="rId1" Type="http://schemas.openxmlformats.org/officeDocument/2006/relationships/pivotTable" Target="../pivotTables/pivotTable146.xml"/></Relationships>
</file>

<file path=xl/worksheets/_rels/sheet38.xml.rels><?xml version="1.0" encoding="UTF-8" standalone="yes"?>
<Relationships xmlns="http://schemas.openxmlformats.org/package/2006/relationships"><Relationship Id="rId3" Type="http://schemas.openxmlformats.org/officeDocument/2006/relationships/pivotTable" Target="../pivotTables/pivotTable150.xml"/><Relationship Id="rId2" Type="http://schemas.openxmlformats.org/officeDocument/2006/relationships/pivotTable" Target="../pivotTables/pivotTable149.xml"/><Relationship Id="rId1" Type="http://schemas.openxmlformats.org/officeDocument/2006/relationships/pivotTable" Target="../pivotTables/pivotTable148.xml"/><Relationship Id="rId4"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3" Type="http://schemas.openxmlformats.org/officeDocument/2006/relationships/pivotTable" Target="../pivotTables/pivotTable153.xml"/><Relationship Id="rId2" Type="http://schemas.openxmlformats.org/officeDocument/2006/relationships/pivotTable" Target="../pivotTables/pivotTable152.xml"/><Relationship Id="rId1" Type="http://schemas.openxmlformats.org/officeDocument/2006/relationships/pivotTable" Target="../pivotTables/pivotTable151.xml"/><Relationship Id="rId4"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3" Type="http://schemas.openxmlformats.org/officeDocument/2006/relationships/pivotTable" Target="../pivotTables/pivotTable156.xml"/><Relationship Id="rId2" Type="http://schemas.openxmlformats.org/officeDocument/2006/relationships/pivotTable" Target="../pivotTables/pivotTable155.xml"/><Relationship Id="rId1" Type="http://schemas.openxmlformats.org/officeDocument/2006/relationships/pivotTable" Target="../pivotTables/pivotTable154.xml"/><Relationship Id="rId4"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4.4"/>
  <sheetData>
    <row r="5" spans="2:26" ht="18">
      <c r="B5" s="170" t="s">
        <v>521</v>
      </c>
      <c r="C5" s="170"/>
      <c r="D5" s="170"/>
      <c r="F5" s="170" t="s">
        <v>522</v>
      </c>
      <c r="G5" s="170"/>
      <c r="H5" s="170"/>
      <c r="J5" s="170" t="s">
        <v>365</v>
      </c>
      <c r="K5" s="170"/>
      <c r="L5" s="170"/>
      <c r="N5" s="170" t="s">
        <v>515</v>
      </c>
      <c r="O5" s="170"/>
      <c r="P5" s="170"/>
      <c r="Q5" s="171"/>
      <c r="R5" s="171"/>
      <c r="S5" s="171"/>
      <c r="T5" s="171"/>
      <c r="U5" s="171"/>
      <c r="V5" s="171"/>
      <c r="W5" s="171"/>
      <c r="X5" s="171"/>
      <c r="Y5" s="171"/>
      <c r="Z5" s="171"/>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6" customFormat="1">
      <c r="A1" s="12"/>
      <c r="B1" s="12"/>
      <c r="C1" s="12"/>
      <c r="D1" s="12"/>
      <c r="E1" s="12"/>
      <c r="F1" s="12"/>
      <c r="G1" s="12"/>
      <c r="H1" s="12"/>
      <c r="I1" s="12"/>
      <c r="J1" s="176" t="s">
        <v>236</v>
      </c>
      <c r="K1" s="174" t="s">
        <v>236</v>
      </c>
      <c r="L1" s="174" t="s">
        <v>236</v>
      </c>
      <c r="M1" s="175" t="s">
        <v>236</v>
      </c>
      <c r="N1" s="172" t="s">
        <v>237</v>
      </c>
      <c r="O1" s="173" t="s">
        <v>237</v>
      </c>
      <c r="P1" s="173" t="s">
        <v>237</v>
      </c>
      <c r="Q1" s="173" t="s">
        <v>237</v>
      </c>
      <c r="R1" s="173" t="s">
        <v>237</v>
      </c>
      <c r="S1" s="177" t="s">
        <v>237</v>
      </c>
      <c r="T1" s="178" t="s">
        <v>238</v>
      </c>
      <c r="U1" s="179" t="s">
        <v>238</v>
      </c>
      <c r="V1" s="179" t="s">
        <v>238</v>
      </c>
      <c r="W1" s="179" t="s">
        <v>238</v>
      </c>
      <c r="X1" s="180" t="s">
        <v>238</v>
      </c>
      <c r="Y1" s="181" t="s">
        <v>239</v>
      </c>
      <c r="Z1" s="179" t="s">
        <v>239</v>
      </c>
      <c r="AA1" s="174" t="s">
        <v>239</v>
      </c>
      <c r="AB1" s="180" t="s">
        <v>239</v>
      </c>
      <c r="AC1" s="181" t="s">
        <v>240</v>
      </c>
      <c r="AD1" s="174" t="s">
        <v>240</v>
      </c>
      <c r="AE1" s="174" t="s">
        <v>240</v>
      </c>
      <c r="AF1" s="175" t="s">
        <v>240</v>
      </c>
      <c r="AG1" s="178" t="s">
        <v>241</v>
      </c>
      <c r="AH1" s="179" t="s">
        <v>241</v>
      </c>
      <c r="AI1" s="179" t="s">
        <v>241</v>
      </c>
      <c r="AJ1" s="179" t="s">
        <v>241</v>
      </c>
      <c r="AK1" s="182" t="s">
        <v>241</v>
      </c>
      <c r="AL1" s="172" t="s">
        <v>242</v>
      </c>
      <c r="AM1" s="173" t="s">
        <v>242</v>
      </c>
      <c r="AN1" s="173" t="s">
        <v>242</v>
      </c>
      <c r="AO1" s="173" t="s">
        <v>242</v>
      </c>
      <c r="AP1" s="173" t="s">
        <v>242</v>
      </c>
      <c r="AQ1" s="174" t="s">
        <v>242</v>
      </c>
      <c r="AR1" s="174" t="s">
        <v>242</v>
      </c>
      <c r="AS1" s="175"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4.4"/>
  <cols>
    <col min="1" max="1" width="17.33203125" customWidth="1"/>
    <col min="2" max="2" width="13.88671875" customWidth="1"/>
    <col min="3" max="3" width="9.88671875" customWidth="1"/>
    <col min="5" max="5" width="15.5546875" customWidth="1"/>
    <col min="6" max="6" width="18" customWidth="1"/>
    <col min="9" max="9" width="9.109375" style="110"/>
  </cols>
  <sheetData>
    <row r="1" spans="1:21" s="16" customFormat="1">
      <c r="A1" s="25" t="s">
        <v>88</v>
      </c>
      <c r="B1" s="25" t="s">
        <v>0</v>
      </c>
      <c r="C1" s="25" t="s">
        <v>116</v>
      </c>
      <c r="D1" s="25" t="s">
        <v>117</v>
      </c>
      <c r="E1" s="25" t="s">
        <v>118</v>
      </c>
      <c r="F1" s="25" t="s">
        <v>119</v>
      </c>
      <c r="G1" s="25" t="s">
        <v>120</v>
      </c>
      <c r="H1" s="26" t="s">
        <v>121</v>
      </c>
      <c r="I1" s="111"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2">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ColWidth="9.109375" defaultRowHeight="14.4"/>
  <cols>
    <col min="1" max="1" width="13.5546875" style="81" customWidth="1"/>
    <col min="2" max="2" width="24.44140625" style="81" customWidth="1"/>
    <col min="3" max="3" width="14.109375" style="81" customWidth="1"/>
    <col min="4" max="4" width="19.5546875" style="81" customWidth="1"/>
    <col min="5" max="16384" width="9.10937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4.4"/>
  <cols>
    <col min="1" max="1" width="8.6640625" style="52"/>
    <col min="2" max="2" width="16" customWidth="1"/>
    <col min="3" max="3" width="16.6640625" customWidth="1"/>
    <col min="4" max="4" width="22.44140625" customWidth="1"/>
    <col min="5" max="5" width="22" customWidth="1"/>
    <col min="6" max="6" width="27.5546875" customWidth="1"/>
    <col min="15" max="16" width="9.109375" style="113"/>
  </cols>
  <sheetData>
    <row r="1" spans="1:19" s="16" customFormat="1" ht="15" customHeight="1">
      <c r="B1" s="13"/>
      <c r="C1" s="13"/>
      <c r="D1" s="13"/>
      <c r="E1" s="13"/>
      <c r="F1" s="13"/>
      <c r="G1" s="178" t="s">
        <v>89</v>
      </c>
      <c r="H1" s="183" t="s">
        <v>89</v>
      </c>
      <c r="I1" s="183" t="s">
        <v>89</v>
      </c>
      <c r="J1" s="182" t="s">
        <v>89</v>
      </c>
      <c r="K1" s="14"/>
      <c r="L1" s="184" t="s">
        <v>431</v>
      </c>
      <c r="M1" s="185" t="s">
        <v>431</v>
      </c>
      <c r="N1" s="185" t="s">
        <v>431</v>
      </c>
      <c r="O1" s="185"/>
      <c r="P1" s="185"/>
      <c r="Q1" s="186"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4" t="s">
        <v>558</v>
      </c>
      <c r="P2" s="114"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2" sqref="A2"/>
    </sheetView>
  </sheetViews>
  <sheetFormatPr defaultRowHeight="14.4"/>
  <cols>
    <col min="1" max="1" width="14" customWidth="1"/>
    <col min="2" max="2" width="32.109375" customWidth="1"/>
    <col min="3" max="3" width="10.77734375" customWidth="1"/>
    <col min="4" max="4" width="18.109375" customWidth="1"/>
    <col min="5" max="5" width="23.109375" customWidth="1"/>
    <col min="7" max="7" width="10.77734375" customWidth="1"/>
    <col min="8" max="8" width="16.88671875" customWidth="1"/>
    <col min="9" max="9" width="25.5546875" customWidth="1"/>
    <col min="10" max="10" width="22.77734375" style="57" customWidth="1"/>
    <col min="11" max="11" width="6.5546875" style="57" customWidth="1"/>
    <col min="12" max="12" width="11.44140625" style="57" customWidth="1"/>
    <col min="13" max="14" width="24.33203125" style="57" customWidth="1"/>
    <col min="15" max="15" width="4.44140625" style="57" customWidth="1"/>
    <col min="16" max="16" width="11.44140625" style="57" customWidth="1"/>
    <col min="17" max="17" width="24.33203125" style="57" customWidth="1"/>
    <col min="18" max="18" width="24.33203125" customWidth="1"/>
    <col min="19" max="19" width="8.5546875" style="57" customWidth="1"/>
    <col min="20" max="20" width="11.44140625" customWidth="1"/>
    <col min="21" max="21" width="26" customWidth="1"/>
    <col min="22" max="22" width="20.44140625" customWidth="1"/>
    <col min="23" max="23" width="19.88671875" bestFit="1" customWidth="1"/>
  </cols>
  <sheetData>
    <row r="1" spans="1:23" s="52" customFormat="1">
      <c r="A1" s="30"/>
      <c r="B1" s="31"/>
      <c r="C1" s="187" t="s">
        <v>377</v>
      </c>
      <c r="D1" s="188"/>
      <c r="E1" s="188"/>
      <c r="F1" s="188"/>
      <c r="G1" s="188"/>
      <c r="H1" s="188"/>
      <c r="I1" s="188"/>
      <c r="J1" s="188"/>
      <c r="L1" s="187" t="s">
        <v>365</v>
      </c>
      <c r="M1" s="188"/>
      <c r="N1" s="188"/>
      <c r="O1" s="188"/>
      <c r="P1" s="188"/>
      <c r="Q1" s="188"/>
      <c r="R1" s="188"/>
      <c r="S1" s="61"/>
      <c r="T1" s="187"/>
      <c r="U1" s="188"/>
      <c r="V1" s="188"/>
      <c r="W1" s="188"/>
    </row>
    <row r="2" spans="1:23">
      <c r="A2" s="30"/>
      <c r="B2" s="31"/>
      <c r="C2" s="164" t="s">
        <v>0</v>
      </c>
      <c r="D2" s="165" t="s">
        <v>16</v>
      </c>
      <c r="E2" s="53"/>
      <c r="F2" s="53"/>
      <c r="G2" s="164" t="s">
        <v>0</v>
      </c>
      <c r="H2" s="165" t="s">
        <v>16</v>
      </c>
      <c r="I2" s="53"/>
      <c r="J2" s="61"/>
      <c r="K2" s="61"/>
      <c r="L2" s="155" t="s">
        <v>0</v>
      </c>
      <c r="M2" s="156" t="s">
        <v>16</v>
      </c>
      <c r="N2" s="61"/>
      <c r="O2" s="61"/>
      <c r="P2" s="155" t="s">
        <v>0</v>
      </c>
      <c r="Q2" s="156" t="s">
        <v>16</v>
      </c>
      <c r="R2" s="61"/>
      <c r="S2" s="61"/>
      <c r="T2" s="165"/>
      <c r="U2" s="156"/>
      <c r="V2" s="133"/>
    </row>
    <row r="3" spans="1:23">
      <c r="A3" s="30"/>
      <c r="B3" s="30"/>
      <c r="C3" s="164" t="s">
        <v>1</v>
      </c>
      <c r="D3" s="165" t="s">
        <v>16</v>
      </c>
      <c r="G3" s="164" t="s">
        <v>1</v>
      </c>
      <c r="H3" s="165" t="s">
        <v>16</v>
      </c>
      <c r="L3" s="155" t="s">
        <v>1</v>
      </c>
      <c r="M3" s="156" t="s">
        <v>16</v>
      </c>
      <c r="P3" s="155" t="s">
        <v>1</v>
      </c>
      <c r="Q3" s="156" t="s">
        <v>16</v>
      </c>
      <c r="R3" s="57"/>
      <c r="T3" s="165"/>
      <c r="U3" s="156"/>
      <c r="V3" s="134"/>
    </row>
    <row r="4" spans="1:23">
      <c r="A4" s="30"/>
      <c r="B4" s="30"/>
      <c r="C4" s="164" t="s">
        <v>52</v>
      </c>
      <c r="D4" s="165" t="s">
        <v>16</v>
      </c>
      <c r="G4" s="164" t="s">
        <v>52</v>
      </c>
      <c r="H4" s="165" t="s">
        <v>16</v>
      </c>
      <c r="L4" s="155" t="s">
        <v>52</v>
      </c>
      <c r="M4" s="156" t="s">
        <v>16</v>
      </c>
      <c r="P4" s="155" t="s">
        <v>52</v>
      </c>
      <c r="Q4" s="156" t="s">
        <v>16</v>
      </c>
      <c r="R4" s="57"/>
      <c r="T4" s="165"/>
      <c r="U4" s="156"/>
      <c r="V4" s="134"/>
    </row>
    <row r="5" spans="1:23">
      <c r="A5" s="30"/>
      <c r="B5" s="30"/>
      <c r="C5" s="164" t="s">
        <v>3</v>
      </c>
      <c r="D5" s="165" t="s">
        <v>10</v>
      </c>
      <c r="G5" s="164" t="s">
        <v>3</v>
      </c>
      <c r="H5" s="165" t="s">
        <v>9</v>
      </c>
      <c r="L5" s="155" t="s">
        <v>3</v>
      </c>
      <c r="M5" s="156" t="s">
        <v>441</v>
      </c>
      <c r="P5" s="155" t="s">
        <v>3</v>
      </c>
      <c r="Q5" s="156" t="s">
        <v>367</v>
      </c>
      <c r="R5" s="57"/>
      <c r="T5" s="165"/>
      <c r="U5" s="156"/>
      <c r="V5" s="134"/>
    </row>
    <row r="6" spans="1:23">
      <c r="A6" s="30"/>
      <c r="B6" s="30"/>
      <c r="R6" s="57"/>
      <c r="T6" s="134"/>
      <c r="U6" s="134"/>
      <c r="V6" s="134"/>
    </row>
    <row r="7" spans="1:23">
      <c r="A7" s="24" t="s">
        <v>330</v>
      </c>
      <c r="B7" s="24" t="s">
        <v>94</v>
      </c>
      <c r="C7" s="164" t="s">
        <v>2</v>
      </c>
      <c r="D7" s="165" t="s">
        <v>302</v>
      </c>
      <c r="E7" s="165" t="s">
        <v>415</v>
      </c>
      <c r="G7" s="164" t="s">
        <v>2</v>
      </c>
      <c r="H7" s="165" t="s">
        <v>380</v>
      </c>
      <c r="I7" s="165" t="s">
        <v>376</v>
      </c>
      <c r="J7" s="165" t="s">
        <v>381</v>
      </c>
      <c r="L7" s="155" t="s">
        <v>2</v>
      </c>
      <c r="M7" s="156" t="s">
        <v>375</v>
      </c>
      <c r="N7" s="156" t="s">
        <v>415</v>
      </c>
      <c r="P7" s="155" t="s">
        <v>2</v>
      </c>
      <c r="Q7" s="156" t="s">
        <v>302</v>
      </c>
      <c r="R7" s="156" t="s">
        <v>415</v>
      </c>
      <c r="T7" s="165"/>
      <c r="U7" s="156"/>
      <c r="V7" s="156"/>
      <c r="W7" s="156"/>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65">
        <v>23</v>
      </c>
      <c r="K8" s="5"/>
      <c r="L8" s="4" t="s">
        <v>50</v>
      </c>
      <c r="M8" s="5">
        <v>35</v>
      </c>
      <c r="N8" s="5">
        <v>0</v>
      </c>
      <c r="O8" s="5"/>
      <c r="P8" s="4" t="s">
        <v>50</v>
      </c>
      <c r="Q8" s="9">
        <v>10</v>
      </c>
      <c r="R8" s="9">
        <v>0</v>
      </c>
      <c r="S8" s="5"/>
      <c r="T8" s="4"/>
      <c r="U8" s="5"/>
      <c r="V8" s="5"/>
      <c r="W8" s="5"/>
    </row>
    <row r="9" spans="1:23">
      <c r="C9" s="4" t="s">
        <v>18</v>
      </c>
      <c r="D9" s="9">
        <v>2.5000000000000001E-2</v>
      </c>
      <c r="E9" s="9">
        <v>0</v>
      </c>
      <c r="G9" s="4" t="s">
        <v>18</v>
      </c>
      <c r="H9" s="5">
        <v>23</v>
      </c>
      <c r="I9" s="5">
        <v>23</v>
      </c>
      <c r="J9" s="165">
        <v>23</v>
      </c>
      <c r="K9" s="5"/>
      <c r="L9" s="4" t="s">
        <v>18</v>
      </c>
      <c r="M9" s="5">
        <v>35</v>
      </c>
      <c r="N9" s="5">
        <v>0</v>
      </c>
      <c r="O9" s="5"/>
      <c r="P9" s="4" t="s">
        <v>18</v>
      </c>
      <c r="Q9" s="9">
        <v>10</v>
      </c>
      <c r="R9" s="9">
        <v>0</v>
      </c>
      <c r="S9" s="5"/>
      <c r="T9" s="4"/>
      <c r="U9" s="5"/>
      <c r="V9" s="5"/>
      <c r="W9" s="5"/>
    </row>
  </sheetData>
  <mergeCells count="3">
    <mergeCell ref="L1:R1"/>
    <mergeCell ref="C1:J1"/>
    <mergeCell ref="T1:W1"/>
  </mergeCells>
  <pageMargins left="0.7" right="0.7" top="0.75" bottom="0.75" header="0.3" footer="0.3"/>
  <pageSetup orientation="portrait"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D22"/>
  <sheetViews>
    <sheetView workbookViewId="0"/>
  </sheetViews>
  <sheetFormatPr defaultColWidth="9.109375" defaultRowHeight="14.4"/>
  <cols>
    <col min="1" max="1" width="12.109375" style="154" customWidth="1"/>
    <col min="2" max="2" width="9.109375" style="57"/>
    <col min="3" max="3" width="10.77734375" style="57" customWidth="1"/>
    <col min="4" max="4" width="18.109375" style="57" customWidth="1"/>
    <col min="5" max="5" width="23.109375" style="57" customWidth="1"/>
    <col min="6" max="6" width="9.109375" style="57"/>
    <col min="7" max="7" width="10.77734375" style="57" customWidth="1"/>
    <col min="8" max="8" width="16.88671875" style="57" customWidth="1"/>
    <col min="9" max="9" width="8" style="57" customWidth="1"/>
    <col min="10" max="10" width="11.44140625" style="57" customWidth="1"/>
    <col min="11" max="12" width="24.33203125" style="57" customWidth="1"/>
    <col min="13" max="13" width="8.5546875" style="134" customWidth="1"/>
    <col min="14" max="14" width="10.77734375" style="134" customWidth="1"/>
    <col min="15" max="15" width="24.5546875" style="134" customWidth="1"/>
    <col min="16" max="16" width="19.44140625" style="134" customWidth="1"/>
    <col min="17" max="17" width="19" style="57" customWidth="1"/>
    <col min="18" max="18" width="9.109375" style="134"/>
    <col min="19" max="19" width="11.44140625" style="57" customWidth="1"/>
    <col min="20" max="20" width="17.88671875" style="57" customWidth="1"/>
    <col min="21" max="21" width="11.5546875" style="57" customWidth="1"/>
    <col min="22" max="22" width="17.5546875" style="57" customWidth="1"/>
    <col min="23" max="23" width="19.5546875" style="57" customWidth="1"/>
    <col min="24" max="24" width="6.88671875" style="57" customWidth="1"/>
    <col min="25" max="25" width="11.44140625" style="57" customWidth="1"/>
    <col min="26" max="26" width="19.5546875" style="57" customWidth="1"/>
    <col min="27" max="27" width="16.5546875" style="57" customWidth="1"/>
    <col min="28" max="28" width="24.33203125" style="57" customWidth="1"/>
    <col min="29" max="16384" width="9.109375" style="57"/>
  </cols>
  <sheetData>
    <row r="1" spans="1:30">
      <c r="A1" s="31"/>
      <c r="B1" s="31"/>
      <c r="C1" s="187" t="s">
        <v>377</v>
      </c>
      <c r="D1" s="188"/>
      <c r="E1" s="188"/>
      <c r="F1" s="188"/>
      <c r="G1" s="188"/>
      <c r="H1" s="188"/>
      <c r="I1" s="61"/>
      <c r="J1" s="187" t="s">
        <v>365</v>
      </c>
      <c r="K1" s="188"/>
      <c r="L1" s="188"/>
      <c r="M1" s="133"/>
      <c r="N1" s="187" t="s">
        <v>624</v>
      </c>
      <c r="O1" s="188"/>
      <c r="P1" s="188"/>
      <c r="Q1" s="188"/>
      <c r="R1" s="133"/>
      <c r="S1" s="191" t="s">
        <v>488</v>
      </c>
      <c r="T1" s="192"/>
      <c r="U1" s="188"/>
      <c r="V1" s="188"/>
      <c r="W1" s="188"/>
      <c r="X1" s="188"/>
      <c r="Y1" s="188"/>
      <c r="Z1" s="188"/>
      <c r="AA1" s="188"/>
      <c r="AB1" s="188"/>
      <c r="AC1" s="188"/>
      <c r="AD1" s="188"/>
    </row>
    <row r="2" spans="1:30">
      <c r="A2" s="31"/>
      <c r="B2" s="31"/>
      <c r="C2" s="164" t="s">
        <v>0</v>
      </c>
      <c r="D2" s="165" t="s">
        <v>16</v>
      </c>
      <c r="E2" s="31"/>
      <c r="F2" s="31"/>
      <c r="G2" s="189" t="s">
        <v>0</v>
      </c>
      <c r="H2" s="190" t="s">
        <v>16</v>
      </c>
      <c r="J2" s="155" t="s">
        <v>0</v>
      </c>
      <c r="K2" s="156" t="s">
        <v>16</v>
      </c>
      <c r="L2" s="61"/>
      <c r="M2" s="133"/>
      <c r="N2" s="164" t="s">
        <v>0</v>
      </c>
      <c r="O2" s="165" t="s">
        <v>16</v>
      </c>
      <c r="S2" s="62"/>
      <c r="T2" s="62"/>
      <c r="U2" s="62"/>
      <c r="V2" s="62"/>
      <c r="W2" s="62"/>
      <c r="X2" s="62"/>
      <c r="Y2" s="62"/>
      <c r="Z2" s="62"/>
      <c r="AA2" s="62"/>
      <c r="AB2" s="62"/>
      <c r="AC2" s="62"/>
      <c r="AD2" s="62"/>
    </row>
    <row r="3" spans="1:30">
      <c r="A3" s="31"/>
      <c r="B3" s="31"/>
      <c r="C3" s="164" t="s">
        <v>1</v>
      </c>
      <c r="D3" s="165" t="s">
        <v>16</v>
      </c>
      <c r="E3" s="31"/>
      <c r="F3" s="31"/>
      <c r="G3" s="189" t="s">
        <v>1</v>
      </c>
      <c r="H3" s="190" t="s">
        <v>16</v>
      </c>
      <c r="J3" s="155" t="s">
        <v>1</v>
      </c>
      <c r="K3" s="156" t="s">
        <v>16</v>
      </c>
      <c r="L3" s="61"/>
      <c r="M3" s="133"/>
      <c r="N3" s="164" t="s">
        <v>1</v>
      </c>
      <c r="O3" s="165" t="s">
        <v>16</v>
      </c>
      <c r="P3" s="133"/>
      <c r="Q3" s="134"/>
      <c r="S3" s="62"/>
      <c r="T3" s="63"/>
      <c r="U3" s="63"/>
      <c r="V3" s="63"/>
      <c r="W3" s="63"/>
      <c r="X3" s="63"/>
      <c r="Y3" s="63"/>
      <c r="Z3" s="63"/>
      <c r="AA3" s="63"/>
      <c r="AB3" s="63"/>
      <c r="AC3" s="63"/>
      <c r="AD3" s="63"/>
    </row>
    <row r="4" spans="1:30">
      <c r="A4" s="31"/>
      <c r="B4" s="31"/>
      <c r="C4" s="164" t="s">
        <v>2</v>
      </c>
      <c r="D4" s="165" t="s">
        <v>16</v>
      </c>
      <c r="G4" s="164" t="s">
        <v>2</v>
      </c>
      <c r="H4" s="165" t="s">
        <v>16</v>
      </c>
      <c r="J4" s="155" t="s">
        <v>2</v>
      </c>
      <c r="K4" s="156" t="s">
        <v>16</v>
      </c>
      <c r="N4" s="164" t="s">
        <v>2</v>
      </c>
      <c r="O4" s="165" t="s">
        <v>16</v>
      </c>
      <c r="Q4" s="134"/>
      <c r="S4" s="31"/>
      <c r="T4" s="31"/>
      <c r="Y4" s="31"/>
      <c r="Z4" s="31"/>
    </row>
    <row r="5" spans="1:30">
      <c r="A5" s="31"/>
      <c r="B5" s="31"/>
      <c r="C5" s="164" t="s">
        <v>52</v>
      </c>
      <c r="D5" s="165" t="s">
        <v>16</v>
      </c>
      <c r="G5" s="164" t="s">
        <v>52</v>
      </c>
      <c r="H5" s="165" t="s">
        <v>16</v>
      </c>
      <c r="J5" s="155" t="s">
        <v>52</v>
      </c>
      <c r="K5" s="156" t="s">
        <v>16</v>
      </c>
      <c r="N5" s="164" t="s">
        <v>52</v>
      </c>
      <c r="O5" s="165" t="s">
        <v>16</v>
      </c>
      <c r="Q5" s="134"/>
      <c r="S5" s="158" t="s">
        <v>0</v>
      </c>
      <c r="T5" s="159" t="s">
        <v>16</v>
      </c>
      <c r="Y5" s="158" t="s">
        <v>0</v>
      </c>
      <c r="Z5" s="159" t="s">
        <v>16</v>
      </c>
    </row>
    <row r="6" spans="1:30">
      <c r="A6" s="31"/>
      <c r="B6" s="31"/>
      <c r="C6" s="164" t="s">
        <v>3</v>
      </c>
      <c r="D6" s="165" t="s">
        <v>10</v>
      </c>
      <c r="G6" s="164" t="s">
        <v>3</v>
      </c>
      <c r="H6" s="165" t="s">
        <v>9</v>
      </c>
      <c r="J6" s="155" t="s">
        <v>3</v>
      </c>
      <c r="K6" s="156" t="s">
        <v>367</v>
      </c>
      <c r="N6" s="164" t="s">
        <v>3</v>
      </c>
      <c r="O6" s="165" t="s">
        <v>26</v>
      </c>
      <c r="Q6" s="134"/>
      <c r="S6" s="158" t="s">
        <v>3</v>
      </c>
      <c r="T6" s="159" t="s">
        <v>310</v>
      </c>
      <c r="Y6" s="158" t="s">
        <v>3</v>
      </c>
      <c r="Z6" s="159" t="s">
        <v>310</v>
      </c>
    </row>
    <row r="7" spans="1:30">
      <c r="A7" s="31"/>
      <c r="B7" s="31"/>
      <c r="Q7" s="134"/>
    </row>
    <row r="8" spans="1:30">
      <c r="A8" s="24" t="s">
        <v>699</v>
      </c>
      <c r="B8" s="24" t="s">
        <v>122</v>
      </c>
      <c r="C8" s="164" t="s">
        <v>296</v>
      </c>
      <c r="D8" s="165" t="s">
        <v>302</v>
      </c>
      <c r="E8" s="165" t="s">
        <v>415</v>
      </c>
      <c r="G8" s="164" t="s">
        <v>296</v>
      </c>
      <c r="H8" t="s">
        <v>382</v>
      </c>
      <c r="J8" s="155" t="s">
        <v>2</v>
      </c>
      <c r="K8" s="156" t="s">
        <v>302</v>
      </c>
      <c r="L8" s="156" t="s">
        <v>415</v>
      </c>
      <c r="N8" s="164" t="s">
        <v>2</v>
      </c>
      <c r="O8" s="165" t="s">
        <v>625</v>
      </c>
      <c r="P8" s="165" t="s">
        <v>622</v>
      </c>
      <c r="Q8" s="165" t="s">
        <v>623</v>
      </c>
      <c r="R8" s="5"/>
      <c r="S8" s="158" t="s">
        <v>296</v>
      </c>
      <c r="T8" s="159" t="s">
        <v>312</v>
      </c>
      <c r="U8" s="159" t="s">
        <v>408</v>
      </c>
      <c r="V8" s="159" t="s">
        <v>311</v>
      </c>
      <c r="W8" s="159" t="s">
        <v>416</v>
      </c>
      <c r="Y8" s="158" t="s">
        <v>296</v>
      </c>
      <c r="Z8" s="159" t="s">
        <v>313</v>
      </c>
      <c r="AA8" s="159" t="s">
        <v>314</v>
      </c>
      <c r="AB8" s="159" t="s">
        <v>315</v>
      </c>
    </row>
    <row r="9" spans="1:30">
      <c r="A9" s="29" t="str">
        <f>INDEX('OS-Machine Info'!$B:$B,MATCH(C9,'OS-Machine Info'!$A:$A,0))</f>
        <v>TestDC</v>
      </c>
      <c r="B9" s="29">
        <f>INDEX('Node Information'!$J:$J,MATCH(C9,'Node Information'!$A:$A,0))</f>
        <v>6.5428240740740704E-2</v>
      </c>
      <c r="C9" s="4" t="s">
        <v>49</v>
      </c>
      <c r="D9" s="9">
        <v>2.5000000000000001E-2</v>
      </c>
      <c r="E9" s="9">
        <v>0</v>
      </c>
      <c r="F9" s="9"/>
      <c r="G9" s="4" t="s">
        <v>49</v>
      </c>
      <c r="H9" s="5">
        <v>23</v>
      </c>
      <c r="I9" s="5"/>
      <c r="J9" s="4" t="s">
        <v>49</v>
      </c>
      <c r="K9" s="9">
        <v>10</v>
      </c>
      <c r="L9" s="9">
        <v>0</v>
      </c>
      <c r="M9" s="9"/>
      <c r="N9" s="4" t="s">
        <v>49</v>
      </c>
      <c r="O9" s="5">
        <v>0</v>
      </c>
      <c r="P9" s="5">
        <v>0</v>
      </c>
      <c r="Q9" s="5">
        <v>0</v>
      </c>
      <c r="R9" s="5"/>
      <c r="S9" s="4" t="s">
        <v>49</v>
      </c>
      <c r="T9" s="5">
        <v>1</v>
      </c>
      <c r="U9" s="5">
        <v>0.5</v>
      </c>
      <c r="V9" s="5">
        <v>0</v>
      </c>
      <c r="W9" s="5">
        <v>0</v>
      </c>
      <c r="Y9" s="4" t="s">
        <v>49</v>
      </c>
      <c r="Z9" s="5">
        <v>20388021892</v>
      </c>
      <c r="AA9" s="5">
        <v>0</v>
      </c>
      <c r="AB9" s="5">
        <v>0</v>
      </c>
    </row>
    <row r="10" spans="1:30">
      <c r="C10" s="4" t="s">
        <v>18</v>
      </c>
      <c r="D10" s="9">
        <v>2.5000000000000001E-2</v>
      </c>
      <c r="E10" s="9">
        <v>0</v>
      </c>
      <c r="F10" s="9"/>
      <c r="G10" s="4" t="s">
        <v>18</v>
      </c>
      <c r="H10" s="5">
        <v>23</v>
      </c>
      <c r="I10" s="5"/>
      <c r="J10" s="4" t="s">
        <v>18</v>
      </c>
      <c r="K10" s="9">
        <v>10</v>
      </c>
      <c r="L10" s="9">
        <v>0</v>
      </c>
      <c r="M10" s="9"/>
      <c r="N10" s="4" t="s">
        <v>18</v>
      </c>
      <c r="O10" s="5">
        <v>0</v>
      </c>
      <c r="P10" s="5">
        <v>0</v>
      </c>
      <c r="Q10" s="5">
        <v>0</v>
      </c>
      <c r="S10" s="4" t="s">
        <v>18</v>
      </c>
      <c r="T10" s="5">
        <v>1</v>
      </c>
      <c r="U10" s="5">
        <v>0.5</v>
      </c>
      <c r="V10" s="5">
        <v>0</v>
      </c>
      <c r="W10" s="5">
        <v>0</v>
      </c>
      <c r="Y10" s="4" t="s">
        <v>18</v>
      </c>
      <c r="Z10" s="5">
        <v>20388021892</v>
      </c>
      <c r="AA10" s="5">
        <v>0</v>
      </c>
      <c r="AB10" s="5">
        <v>0</v>
      </c>
    </row>
    <row r="15" spans="1:30">
      <c r="G15" s="61"/>
    </row>
    <row r="21" spans="5:7">
      <c r="E21" s="4"/>
      <c r="F21" s="5"/>
      <c r="G21" s="5"/>
    </row>
    <row r="22" spans="5:7">
      <c r="E22" s="4"/>
      <c r="F22" s="5"/>
      <c r="G22" s="5"/>
    </row>
  </sheetData>
  <mergeCells count="6">
    <mergeCell ref="G2:H2"/>
    <mergeCell ref="S1:AD1"/>
    <mergeCell ref="G3:H3"/>
    <mergeCell ref="C1:H1"/>
    <mergeCell ref="J1:L1"/>
    <mergeCell ref="N1:Q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O16"/>
  <sheetViews>
    <sheetView workbookViewId="0"/>
  </sheetViews>
  <sheetFormatPr defaultRowHeight="14.4"/>
  <cols>
    <col min="1" max="1" width="25.33203125" customWidth="1"/>
    <col min="2" max="2" width="26.77734375" customWidth="1"/>
    <col min="3" max="3" width="10.77734375" customWidth="1"/>
    <col min="4" max="4" width="24.5546875" customWidth="1"/>
    <col min="5" max="5" width="19.44140625" customWidth="1"/>
    <col min="6" max="6" width="19" customWidth="1"/>
    <col min="8" max="8" width="10.77734375" customWidth="1"/>
    <col min="9" max="9" width="25.77734375" customWidth="1"/>
    <col min="10" max="10" width="20.5546875" bestFit="1" customWidth="1"/>
    <col min="11" max="11" width="6.5546875" customWidth="1"/>
    <col min="12" max="12" width="26.5546875" customWidth="1"/>
    <col min="13" max="13" width="20.88671875" customWidth="1"/>
    <col min="14" max="14" width="10.77734375" customWidth="1"/>
    <col min="15" max="15" width="21.6640625" customWidth="1"/>
    <col min="16" max="16" width="20.5546875" bestFit="1" customWidth="1"/>
    <col min="17" max="17" width="20.5546875" customWidth="1"/>
    <col min="18" max="18" width="24.5546875" bestFit="1" customWidth="1"/>
    <col min="19" max="19" width="20.5546875" customWidth="1"/>
    <col min="20" max="20" width="10.77734375" customWidth="1"/>
    <col min="21" max="21" width="32.44140625" bestFit="1" customWidth="1"/>
    <col min="22" max="22" width="40.77734375" bestFit="1" customWidth="1"/>
    <col min="23" max="23" width="34.21875" bestFit="1" customWidth="1"/>
    <col min="24" max="24" width="15" bestFit="1" customWidth="1"/>
    <col min="25" max="25" width="16.21875" bestFit="1" customWidth="1"/>
    <col min="26" max="26" width="15.44140625" bestFit="1" customWidth="1"/>
    <col min="27" max="27" width="16.6640625" bestFit="1" customWidth="1"/>
    <col min="28" max="28" width="40.33203125" bestFit="1" customWidth="1"/>
    <col min="29" max="29" width="43.5546875" bestFit="1" customWidth="1"/>
    <col min="30" max="30" width="18.44140625" bestFit="1" customWidth="1"/>
    <col min="31" max="31" width="17.5546875" bestFit="1" customWidth="1"/>
    <col min="32" max="32" width="29.77734375" bestFit="1" customWidth="1"/>
    <col min="33" max="33" width="21" bestFit="1" customWidth="1"/>
    <col min="34" max="34" width="23.6640625" bestFit="1" customWidth="1"/>
    <col min="35" max="35" width="26.44140625" bestFit="1" customWidth="1"/>
    <col min="36" max="36" width="14.5546875" bestFit="1" customWidth="1"/>
    <col min="37" max="37" width="10.77734375" bestFit="1" customWidth="1"/>
    <col min="38" max="38" width="11.77734375" bestFit="1" customWidth="1"/>
    <col min="39" max="39" width="15.21875" bestFit="1" customWidth="1"/>
    <col min="40" max="40" width="16.21875" bestFit="1" customWidth="1"/>
    <col min="41" max="41" width="28" bestFit="1" customWidth="1"/>
    <col min="42" max="42" width="24" bestFit="1" customWidth="1"/>
    <col min="43" max="43" width="12.88671875" bestFit="1" customWidth="1"/>
    <col min="44" max="44" width="11.109375" bestFit="1" customWidth="1"/>
    <col min="45" max="45" width="12.109375" bestFit="1" customWidth="1"/>
    <col min="46" max="46" width="7" customWidth="1"/>
    <col min="47" max="47" width="22" bestFit="1" customWidth="1"/>
    <col min="48" max="48" width="21.6640625" bestFit="1" customWidth="1"/>
    <col min="49" max="49" width="18.21875" bestFit="1" customWidth="1"/>
    <col min="50" max="50" width="27.88671875" bestFit="1" customWidth="1"/>
    <col min="51" max="51" width="27.5546875" bestFit="1" customWidth="1"/>
    <col min="52" max="52" width="24.109375" bestFit="1" customWidth="1"/>
    <col min="53" max="53" width="22.109375" bestFit="1" customWidth="1"/>
    <col min="54" max="54" width="23.6640625" bestFit="1" customWidth="1"/>
    <col min="55" max="55" width="29.6640625" bestFit="1" customWidth="1"/>
    <col min="56" max="56" width="24.21875" bestFit="1" customWidth="1"/>
    <col min="57" max="57" width="23.88671875" bestFit="1" customWidth="1"/>
    <col min="58" max="58" width="20.44140625" bestFit="1" customWidth="1"/>
    <col min="59" max="59" width="23.109375" bestFit="1" customWidth="1"/>
    <col min="60" max="60" width="22.77734375" bestFit="1" customWidth="1"/>
    <col min="61" max="61" width="19.33203125" bestFit="1" customWidth="1"/>
    <col min="62" max="62" width="20.77734375" bestFit="1" customWidth="1"/>
    <col min="63" max="63" width="22.88671875" bestFit="1" customWidth="1"/>
    <col min="64" max="64" width="22.5546875" bestFit="1" customWidth="1"/>
    <col min="65" max="65" width="19.109375" bestFit="1" customWidth="1"/>
    <col min="66" max="66" width="27.109375" bestFit="1" customWidth="1"/>
    <col min="67" max="67" width="26.77734375" bestFit="1" customWidth="1"/>
    <col min="68" max="68" width="23.33203125" bestFit="1" customWidth="1"/>
    <col min="69" max="69" width="21.33203125" bestFit="1" customWidth="1"/>
    <col min="70" max="70" width="20.88671875" bestFit="1" customWidth="1"/>
    <col min="71" max="71" width="18.33203125" bestFit="1" customWidth="1"/>
    <col min="72" max="72" width="18" bestFit="1" customWidth="1"/>
    <col min="73" max="73" width="14.5546875" bestFit="1" customWidth="1"/>
    <col min="74" max="74" width="20" bestFit="1" customWidth="1"/>
    <col min="75" max="75" width="20.88671875" bestFit="1" customWidth="1"/>
    <col min="76" max="76" width="33.6640625" bestFit="1" customWidth="1"/>
    <col min="77" max="77" width="38" bestFit="1" customWidth="1"/>
    <col min="78" max="78" width="34.21875" bestFit="1" customWidth="1"/>
    <col min="79" max="79" width="37.5546875" bestFit="1" customWidth="1"/>
    <col min="80" max="80" width="39.6640625" bestFit="1" customWidth="1"/>
    <col min="81" max="81" width="28.88671875" bestFit="1" customWidth="1"/>
    <col min="82" max="82" width="33.21875" bestFit="1" customWidth="1"/>
    <col min="83" max="83" width="29.5546875" bestFit="1" customWidth="1"/>
    <col min="84" max="84" width="32.88671875" bestFit="1" customWidth="1"/>
    <col min="85" max="85" width="34.33203125" bestFit="1" customWidth="1"/>
    <col min="86" max="86" width="23.5546875" bestFit="1" customWidth="1"/>
    <col min="87" max="87" width="26.88671875" bestFit="1" customWidth="1"/>
    <col min="88" max="88" width="26.5546875" bestFit="1" customWidth="1"/>
    <col min="89" max="89" width="23.109375" bestFit="1" customWidth="1"/>
    <col min="90" max="90" width="21.88671875" bestFit="1" customWidth="1"/>
    <col min="91" max="91" width="29.33203125" bestFit="1" customWidth="1"/>
    <col min="92" max="92" width="27.88671875" bestFit="1" customWidth="1"/>
    <col min="93" max="93" width="27.5546875" bestFit="1" customWidth="1"/>
    <col min="94" max="94" width="24.109375" bestFit="1" customWidth="1"/>
    <col min="95" max="95" width="23.88671875" bestFit="1" customWidth="1"/>
    <col min="96" max="96" width="21.77734375" bestFit="1" customWidth="1"/>
    <col min="97" max="97" width="30.6640625" bestFit="1" customWidth="1"/>
    <col min="98" max="98" width="26.88671875" bestFit="1" customWidth="1"/>
    <col min="99" max="99" width="30.33203125" bestFit="1" customWidth="1"/>
    <col min="100" max="100" width="25.6640625" bestFit="1" customWidth="1"/>
    <col min="101" max="101" width="27.44140625" bestFit="1" customWidth="1"/>
    <col min="102" max="102" width="30.44140625" bestFit="1" customWidth="1"/>
    <col min="103" max="103" width="26.6640625" bestFit="1" customWidth="1"/>
    <col min="104" max="104" width="30.109375" bestFit="1" customWidth="1"/>
    <col min="105" max="105" width="25.44140625" bestFit="1" customWidth="1"/>
    <col min="106" max="106" width="30" bestFit="1" customWidth="1"/>
    <col min="107" max="107" width="26.21875" bestFit="1" customWidth="1"/>
    <col min="108" max="108" width="29.6640625" bestFit="1" customWidth="1"/>
    <col min="109" max="109" width="30.77734375" bestFit="1" customWidth="1"/>
    <col min="110" max="110" width="27" bestFit="1" customWidth="1"/>
    <col min="111" max="111" width="30.44140625" bestFit="1" customWidth="1"/>
    <col min="112" max="112" width="26.109375" bestFit="1" customWidth="1"/>
    <col min="113" max="113" width="19.33203125" bestFit="1" customWidth="1"/>
    <col min="114" max="114" width="10.77734375" bestFit="1" customWidth="1"/>
  </cols>
  <sheetData>
    <row r="1" spans="1:15">
      <c r="A1" s="30"/>
      <c r="B1" s="31"/>
      <c r="C1" s="187" t="s">
        <v>624</v>
      </c>
      <c r="D1" s="188"/>
      <c r="E1" s="188"/>
      <c r="F1" s="188"/>
      <c r="G1" s="188"/>
      <c r="H1" s="188"/>
      <c r="I1" s="188"/>
      <c r="J1" s="188"/>
      <c r="K1" s="188"/>
      <c r="L1" s="188"/>
      <c r="M1" s="188"/>
      <c r="N1" s="167"/>
      <c r="O1" s="167"/>
    </row>
    <row r="2" spans="1:15">
      <c r="A2" s="30"/>
      <c r="B2" s="31"/>
      <c r="C2" s="164" t="s">
        <v>0</v>
      </c>
      <c r="D2" s="165" t="s">
        <v>16</v>
      </c>
      <c r="E2" s="166"/>
      <c r="F2" s="165"/>
      <c r="H2" s="164" t="s">
        <v>0</v>
      </c>
      <c r="I2" s="165" t="s">
        <v>16</v>
      </c>
      <c r="J2" s="166"/>
      <c r="K2" s="165"/>
      <c r="L2" s="164" t="s">
        <v>0</v>
      </c>
      <c r="M2" s="165" t="s">
        <v>16</v>
      </c>
      <c r="N2" s="166"/>
    </row>
    <row r="3" spans="1:15">
      <c r="A3" s="30"/>
      <c r="B3" s="30"/>
      <c r="C3" s="164" t="s">
        <v>1</v>
      </c>
      <c r="D3" s="165" t="s">
        <v>16</v>
      </c>
      <c r="E3" s="165"/>
      <c r="F3" s="165"/>
      <c r="H3" s="164" t="s">
        <v>1</v>
      </c>
      <c r="I3" s="165" t="s">
        <v>16</v>
      </c>
      <c r="J3" s="165"/>
      <c r="K3" s="165"/>
      <c r="L3" s="164" t="s">
        <v>1</v>
      </c>
      <c r="M3" s="165" t="s">
        <v>16</v>
      </c>
      <c r="N3" s="165"/>
    </row>
    <row r="4" spans="1:15">
      <c r="A4" s="30"/>
      <c r="B4" s="30"/>
      <c r="C4" s="164" t="s">
        <v>52</v>
      </c>
      <c r="D4" s="165" t="s">
        <v>16</v>
      </c>
      <c r="E4" s="165"/>
      <c r="F4" s="165"/>
      <c r="H4" s="164" t="s">
        <v>52</v>
      </c>
      <c r="I4" s="165" t="s">
        <v>16</v>
      </c>
      <c r="J4" s="165"/>
      <c r="K4" s="165"/>
      <c r="L4" s="164" t="s">
        <v>52</v>
      </c>
      <c r="M4" s="165" t="s">
        <v>16</v>
      </c>
      <c r="N4" s="165"/>
    </row>
    <row r="5" spans="1:15">
      <c r="A5" s="30"/>
      <c r="B5" s="30"/>
      <c r="C5" s="164" t="s">
        <v>3</v>
      </c>
      <c r="D5" s="165" t="s">
        <v>26</v>
      </c>
      <c r="E5" s="165"/>
      <c r="F5" s="165"/>
      <c r="H5" s="164" t="s">
        <v>3</v>
      </c>
      <c r="I5" s="165" t="s">
        <v>441</v>
      </c>
      <c r="J5" s="165"/>
      <c r="K5" s="165"/>
      <c r="L5" s="164" t="s">
        <v>3</v>
      </c>
      <c r="M5" s="165" t="s">
        <v>723</v>
      </c>
      <c r="N5" s="165"/>
    </row>
    <row r="6" spans="1:15">
      <c r="A6" s="30"/>
      <c r="B6" s="30"/>
      <c r="C6" s="165"/>
      <c r="D6" s="165"/>
      <c r="E6" s="165"/>
      <c r="F6" s="165"/>
      <c r="H6" s="165"/>
      <c r="I6" s="165"/>
      <c r="J6" s="165"/>
      <c r="K6" s="165"/>
      <c r="L6" s="165"/>
      <c r="M6" s="165"/>
      <c r="N6" s="165"/>
    </row>
    <row r="7" spans="1:15">
      <c r="A7" s="24" t="s">
        <v>330</v>
      </c>
      <c r="B7" s="24" t="s">
        <v>94</v>
      </c>
      <c r="C7" s="164" t="s">
        <v>2</v>
      </c>
      <c r="D7" s="165" t="s">
        <v>621</v>
      </c>
      <c r="E7" s="165" t="s">
        <v>622</v>
      </c>
      <c r="F7" s="165" t="s">
        <v>623</v>
      </c>
      <c r="H7" s="164" t="s">
        <v>2</v>
      </c>
      <c r="I7" s="165" t="s">
        <v>721</v>
      </c>
      <c r="J7" s="165" t="s">
        <v>722</v>
      </c>
      <c r="L7" s="164" t="s">
        <v>731</v>
      </c>
      <c r="M7" s="164" t="s">
        <v>732</v>
      </c>
    </row>
    <row r="8" spans="1:15">
      <c r="A8" s="23" t="str">
        <f>INDEX('DDL Tables'!$B:$B,MATCH(SUBSTITUTE(C8, " (index)",""),'DDL Tables'!$C:$C,0))</f>
        <v>TestKS</v>
      </c>
      <c r="B8" s="23" t="str">
        <f>INDEX('DDL Tables'!$F:$F,MATCH(SUBSTITUTE(C8," (index)", ""),'DDL Tables'!$C:$C,0))</f>
        <v>SizeTieredCompactionStrategy</v>
      </c>
      <c r="C8" s="4" t="s">
        <v>50</v>
      </c>
      <c r="D8" s="5">
        <v>0</v>
      </c>
      <c r="E8" s="5">
        <v>0</v>
      </c>
      <c r="F8" s="5">
        <v>0</v>
      </c>
      <c r="H8" s="4" t="s">
        <v>50</v>
      </c>
      <c r="I8" s="104">
        <v>35</v>
      </c>
      <c r="J8" s="104">
        <v>35</v>
      </c>
      <c r="L8" s="164" t="s">
        <v>2</v>
      </c>
      <c r="M8" s="165" t="s">
        <v>50</v>
      </c>
      <c r="N8" s="165" t="s">
        <v>18</v>
      </c>
    </row>
    <row r="9" spans="1:15">
      <c r="C9" s="4" t="s">
        <v>18</v>
      </c>
      <c r="D9" s="5">
        <v>0</v>
      </c>
      <c r="E9" s="5">
        <v>0</v>
      </c>
      <c r="F9" s="5">
        <v>0</v>
      </c>
      <c r="H9" s="4" t="s">
        <v>18</v>
      </c>
      <c r="I9" s="104">
        <v>35</v>
      </c>
      <c r="J9" s="104">
        <v>35</v>
      </c>
      <c r="L9" s="4" t="s">
        <v>727</v>
      </c>
      <c r="M9" s="165">
        <v>1</v>
      </c>
      <c r="N9" s="165">
        <v>1</v>
      </c>
    </row>
    <row r="10" spans="1:15">
      <c r="L10" s="4" t="s">
        <v>729</v>
      </c>
      <c r="M10" s="165">
        <v>1</v>
      </c>
      <c r="N10" s="165">
        <v>1</v>
      </c>
    </row>
    <row r="11" spans="1:15">
      <c r="L11" s="4" t="s">
        <v>728</v>
      </c>
      <c r="M11" s="165">
        <v>1</v>
      </c>
      <c r="N11" s="165">
        <v>1</v>
      </c>
    </row>
    <row r="12" spans="1:15">
      <c r="L12" s="4" t="s">
        <v>726</v>
      </c>
      <c r="M12" s="165">
        <v>1</v>
      </c>
      <c r="N12" s="165">
        <v>1</v>
      </c>
    </row>
    <row r="13" spans="1:15">
      <c r="L13" s="4" t="s">
        <v>724</v>
      </c>
      <c r="M13" s="165">
        <v>3</v>
      </c>
      <c r="N13" s="165">
        <v>3</v>
      </c>
    </row>
    <row r="14" spans="1:15">
      <c r="L14" s="4" t="s">
        <v>725</v>
      </c>
      <c r="M14" s="165">
        <v>1</v>
      </c>
      <c r="N14" s="165">
        <v>1</v>
      </c>
    </row>
    <row r="15" spans="1:15">
      <c r="L15" s="4" t="s">
        <v>730</v>
      </c>
      <c r="M15" s="165">
        <v>1</v>
      </c>
      <c r="N15" s="165">
        <v>1</v>
      </c>
    </row>
    <row r="16" spans="1:15">
      <c r="L16" s="4" t="s">
        <v>18</v>
      </c>
      <c r="M16" s="165">
        <v>9</v>
      </c>
      <c r="N16" s="165">
        <v>9</v>
      </c>
    </row>
  </sheetData>
  <mergeCells count="1">
    <mergeCell ref="C1:M1"/>
  </mergeCells>
  <pageMargins left="0.7" right="0.7" top="0.75" bottom="0.75" header="0.3" footer="0.3"/>
  <pageSetup orientation="portrait" horizontalDpi="0" verticalDpi="0"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4.4"/>
  <cols>
    <col min="1" max="1" width="11.88671875" customWidth="1"/>
    <col min="2" max="2" width="31.44140625" style="23" customWidth="1"/>
    <col min="3" max="3" width="10.77734375" customWidth="1"/>
    <col min="4" max="4" width="18.6640625" customWidth="1"/>
    <col min="5" max="5" width="23.109375" customWidth="1"/>
    <col min="7" max="7" width="10.77734375" customWidth="1"/>
    <col min="8" max="8" width="17.44140625" customWidth="1"/>
    <col min="9" max="9" width="26.77734375" customWidth="1"/>
    <col min="10" max="10" width="24.88671875" style="57" customWidth="1"/>
    <col min="11" max="11" width="6.88671875" style="57" customWidth="1"/>
    <col min="12" max="12" width="11.44140625" style="57" customWidth="1"/>
    <col min="13" max="13" width="24.88671875" style="57" customWidth="1"/>
    <col min="14" max="14" width="24.33203125" style="57" customWidth="1"/>
    <col min="15" max="15" width="9.33203125" customWidth="1"/>
  </cols>
  <sheetData>
    <row r="1" spans="1:40" s="31" customFormat="1">
      <c r="B1" s="30"/>
      <c r="C1" s="187" t="s">
        <v>377</v>
      </c>
      <c r="D1" s="188"/>
      <c r="E1" s="188"/>
      <c r="F1" s="188"/>
      <c r="G1" s="188"/>
      <c r="H1" s="188"/>
      <c r="I1" s="188"/>
      <c r="J1" s="188"/>
      <c r="K1" s="61"/>
      <c r="L1" s="187" t="s">
        <v>365</v>
      </c>
      <c r="M1" s="188"/>
      <c r="N1" s="188"/>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64" t="s">
        <v>0</v>
      </c>
      <c r="D2" s="165" t="s">
        <v>16</v>
      </c>
      <c r="E2" s="53"/>
      <c r="F2" s="53"/>
      <c r="G2" s="164" t="s">
        <v>0</v>
      </c>
      <c r="H2" s="165" t="s">
        <v>16</v>
      </c>
      <c r="I2" s="53"/>
      <c r="J2" s="61"/>
      <c r="K2" s="61"/>
      <c r="L2" s="155" t="s">
        <v>0</v>
      </c>
      <c r="M2" s="156"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64" t="s">
        <v>1</v>
      </c>
      <c r="D3" s="165" t="s">
        <v>16</v>
      </c>
      <c r="G3" s="164" t="s">
        <v>1</v>
      </c>
      <c r="H3" s="165" t="s">
        <v>16</v>
      </c>
      <c r="L3" s="155" t="s">
        <v>1</v>
      </c>
      <c r="M3" s="156" t="s">
        <v>16</v>
      </c>
    </row>
    <row r="4" spans="1:40">
      <c r="A4" s="30"/>
      <c r="B4" s="30"/>
      <c r="C4" s="164" t="s">
        <v>52</v>
      </c>
      <c r="D4" s="165" t="s">
        <v>16</v>
      </c>
      <c r="G4" s="164" t="s">
        <v>52</v>
      </c>
      <c r="H4" s="165" t="s">
        <v>16</v>
      </c>
      <c r="L4" s="155" t="s">
        <v>52</v>
      </c>
      <c r="M4" s="156" t="s">
        <v>16</v>
      </c>
    </row>
    <row r="5" spans="1:40">
      <c r="A5" s="30"/>
      <c r="B5" s="30"/>
      <c r="C5" s="164" t="s">
        <v>3</v>
      </c>
      <c r="D5" s="165" t="s">
        <v>12</v>
      </c>
      <c r="G5" s="164" t="s">
        <v>3</v>
      </c>
      <c r="H5" s="165" t="s">
        <v>11</v>
      </c>
      <c r="L5" s="155" t="s">
        <v>3</v>
      </c>
      <c r="M5" s="156" t="s">
        <v>366</v>
      </c>
    </row>
    <row r="6" spans="1:40">
      <c r="A6" s="30"/>
      <c r="B6" s="30"/>
    </row>
    <row r="7" spans="1:40">
      <c r="A7" s="24" t="s">
        <v>330</v>
      </c>
      <c r="B7" s="24" t="s">
        <v>94</v>
      </c>
      <c r="C7" s="164" t="s">
        <v>2</v>
      </c>
      <c r="D7" s="165" t="s">
        <v>302</v>
      </c>
      <c r="E7" s="165" t="s">
        <v>415</v>
      </c>
      <c r="G7" s="164" t="s">
        <v>2</v>
      </c>
      <c r="H7" s="165" t="s">
        <v>378</v>
      </c>
      <c r="I7" s="165" t="s">
        <v>379</v>
      </c>
      <c r="J7" s="165" t="s">
        <v>383</v>
      </c>
      <c r="L7" s="155" t="s">
        <v>2</v>
      </c>
      <c r="M7" s="156" t="s">
        <v>302</v>
      </c>
      <c r="N7" s="156"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65">
        <v>2</v>
      </c>
      <c r="K8" s="5"/>
      <c r="L8" s="4" t="s">
        <v>50</v>
      </c>
      <c r="M8" s="9">
        <v>4.4999999999999998E-2</v>
      </c>
      <c r="N8" s="9">
        <v>0</v>
      </c>
      <c r="O8" s="5"/>
    </row>
    <row r="9" spans="1:40">
      <c r="C9" s="4" t="s">
        <v>18</v>
      </c>
      <c r="D9" s="9">
        <v>0.03</v>
      </c>
      <c r="E9" s="9">
        <v>0</v>
      </c>
      <c r="G9" s="4" t="s">
        <v>18</v>
      </c>
      <c r="H9" s="5">
        <v>2</v>
      </c>
      <c r="I9" s="5">
        <v>2</v>
      </c>
      <c r="J9" s="165">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10"/>
  <sheetViews>
    <sheetView workbookViewId="0">
      <selection activeCell="A9" sqref="A9"/>
    </sheetView>
  </sheetViews>
  <sheetFormatPr defaultColWidth="9.109375" defaultRowHeight="14.4"/>
  <cols>
    <col min="1" max="1" width="12.109375" style="154" customWidth="1"/>
    <col min="2" max="2" width="11.109375" style="57" customWidth="1"/>
    <col min="3" max="3" width="10.77734375" style="57" customWidth="1"/>
    <col min="4" max="4" width="18.6640625" style="57" customWidth="1"/>
    <col min="5" max="5" width="23.109375" style="57" customWidth="1"/>
    <col min="6" max="6" width="9.109375" style="57"/>
    <col min="7" max="7" width="10.77734375" style="57" customWidth="1"/>
    <col min="8" max="8" width="17.44140625" style="57" customWidth="1"/>
    <col min="9" max="9" width="7.44140625" style="57" customWidth="1"/>
    <col min="10" max="10" width="11.44140625" style="57" customWidth="1"/>
    <col min="11" max="11" width="24.88671875" style="57" customWidth="1"/>
    <col min="12" max="12" width="24.33203125" style="57" customWidth="1"/>
    <col min="13" max="13" width="9.109375" style="57"/>
    <col min="14" max="14" width="11.44140625" style="57" customWidth="1"/>
    <col min="15" max="16" width="17.88671875" style="57" customWidth="1"/>
    <col min="17" max="17" width="17.5546875" style="57" customWidth="1"/>
    <col min="18" max="18" width="19.5546875" style="57" customWidth="1"/>
    <col min="19" max="19" width="7.44140625" style="57" customWidth="1"/>
    <col min="20" max="20" width="11.44140625" style="57" customWidth="1"/>
    <col min="21" max="21" width="19.5546875" style="57" customWidth="1"/>
    <col min="22" max="22" width="16.5546875" style="57" customWidth="1"/>
    <col min="23" max="23" width="24.33203125" style="57" customWidth="1"/>
    <col min="24" max="16384" width="9.109375" style="57"/>
  </cols>
  <sheetData>
    <row r="1" spans="1:23">
      <c r="A1" s="31"/>
      <c r="B1" s="31"/>
      <c r="C1" s="187" t="s">
        <v>377</v>
      </c>
      <c r="D1" s="188"/>
      <c r="E1" s="188"/>
      <c r="F1" s="188"/>
      <c r="G1" s="188"/>
      <c r="H1" s="188"/>
      <c r="I1" s="61"/>
      <c r="J1" s="187" t="s">
        <v>365</v>
      </c>
      <c r="K1" s="188"/>
      <c r="L1" s="188"/>
      <c r="M1" s="61"/>
      <c r="N1" s="191" t="s">
        <v>489</v>
      </c>
      <c r="O1" s="192"/>
      <c r="P1" s="188"/>
      <c r="Q1" s="188"/>
      <c r="R1" s="188"/>
      <c r="S1" s="188"/>
      <c r="T1" s="188"/>
      <c r="U1" s="188"/>
      <c r="V1" s="188"/>
      <c r="W1" s="188"/>
    </row>
    <row r="2" spans="1:23" s="31" customFormat="1">
      <c r="C2" s="164" t="s">
        <v>0</v>
      </c>
      <c r="D2" s="165" t="s">
        <v>16</v>
      </c>
      <c r="G2" s="189" t="s">
        <v>0</v>
      </c>
      <c r="H2" s="190" t="s">
        <v>16</v>
      </c>
      <c r="I2" s="57"/>
      <c r="J2" s="155" t="s">
        <v>0</v>
      </c>
      <c r="K2" s="156" t="s">
        <v>16</v>
      </c>
      <c r="M2" s="57"/>
      <c r="N2" s="62"/>
      <c r="O2" s="62"/>
      <c r="P2" s="62"/>
      <c r="Q2" s="62"/>
      <c r="R2" s="62"/>
      <c r="S2" s="62"/>
      <c r="T2" s="62"/>
      <c r="U2" s="62"/>
      <c r="V2" s="62"/>
      <c r="W2" s="62"/>
    </row>
    <row r="3" spans="1:23" s="31" customFormat="1">
      <c r="C3" s="164" t="s">
        <v>1</v>
      </c>
      <c r="D3" s="165" t="s">
        <v>16</v>
      </c>
      <c r="G3" s="189" t="s">
        <v>1</v>
      </c>
      <c r="H3" s="190" t="s">
        <v>16</v>
      </c>
      <c r="I3" s="57"/>
      <c r="J3" s="155" t="s">
        <v>1</v>
      </c>
      <c r="K3" s="156" t="s">
        <v>16</v>
      </c>
      <c r="L3" s="61"/>
      <c r="M3" s="57"/>
      <c r="N3" s="62"/>
      <c r="O3" s="63"/>
      <c r="P3" s="63"/>
      <c r="Q3" s="63"/>
      <c r="R3" s="63"/>
      <c r="S3" s="63"/>
      <c r="T3" s="63"/>
      <c r="U3" s="63"/>
      <c r="V3" s="63"/>
      <c r="W3" s="63"/>
    </row>
    <row r="4" spans="1:23">
      <c r="A4" s="31"/>
      <c r="B4" s="31"/>
      <c r="C4" s="164" t="s">
        <v>2</v>
      </c>
      <c r="D4" s="165" t="s">
        <v>16</v>
      </c>
      <c r="G4" s="164" t="s">
        <v>2</v>
      </c>
      <c r="H4" s="165" t="s">
        <v>16</v>
      </c>
      <c r="J4" s="155" t="s">
        <v>2</v>
      </c>
      <c r="K4" s="156" t="s">
        <v>16</v>
      </c>
      <c r="N4" s="31"/>
      <c r="O4" s="31"/>
    </row>
    <row r="5" spans="1:23">
      <c r="A5" s="31"/>
      <c r="B5" s="31"/>
      <c r="C5" s="164" t="s">
        <v>52</v>
      </c>
      <c r="D5" s="165" t="s">
        <v>16</v>
      </c>
      <c r="G5" s="164" t="s">
        <v>52</v>
      </c>
      <c r="H5" s="165" t="s">
        <v>16</v>
      </c>
      <c r="J5" s="155" t="s">
        <v>52</v>
      </c>
      <c r="K5" s="156" t="s">
        <v>16</v>
      </c>
      <c r="N5" s="158" t="s">
        <v>0</v>
      </c>
      <c r="O5" s="159" t="s">
        <v>16</v>
      </c>
      <c r="T5" s="155" t="s">
        <v>0</v>
      </c>
      <c r="U5" s="156" t="s">
        <v>16</v>
      </c>
    </row>
    <row r="6" spans="1:23">
      <c r="A6" s="31"/>
      <c r="B6" s="31"/>
      <c r="C6" s="164" t="s">
        <v>3</v>
      </c>
      <c r="D6" s="165" t="s">
        <v>12</v>
      </c>
      <c r="G6" s="164" t="s">
        <v>3</v>
      </c>
      <c r="H6" s="165" t="s">
        <v>11</v>
      </c>
      <c r="J6" s="155" t="s">
        <v>3</v>
      </c>
      <c r="K6" s="156" t="s">
        <v>366</v>
      </c>
      <c r="N6" s="158" t="s">
        <v>3</v>
      </c>
      <c r="O6" s="159" t="s">
        <v>310</v>
      </c>
      <c r="T6" s="155" t="s">
        <v>3</v>
      </c>
      <c r="U6" s="156" t="s">
        <v>310</v>
      </c>
    </row>
    <row r="7" spans="1:23">
      <c r="A7" s="31"/>
      <c r="B7" s="31"/>
    </row>
    <row r="8" spans="1:23">
      <c r="A8" s="24" t="s">
        <v>699</v>
      </c>
      <c r="B8" s="24" t="s">
        <v>122</v>
      </c>
      <c r="C8" s="164" t="s">
        <v>2</v>
      </c>
      <c r="D8" s="165" t="s">
        <v>302</v>
      </c>
      <c r="E8" s="165" t="s">
        <v>415</v>
      </c>
      <c r="G8" s="164" t="s">
        <v>296</v>
      </c>
      <c r="H8" t="s">
        <v>384</v>
      </c>
      <c r="J8" s="155" t="s">
        <v>2</v>
      </c>
      <c r="K8" s="156" t="s">
        <v>302</v>
      </c>
      <c r="L8" s="156" t="s">
        <v>415</v>
      </c>
      <c r="N8" s="158" t="s">
        <v>296</v>
      </c>
      <c r="O8" s="159" t="s">
        <v>312</v>
      </c>
      <c r="P8" s="159" t="s">
        <v>417</v>
      </c>
      <c r="Q8" s="159" t="s">
        <v>311</v>
      </c>
      <c r="R8" s="159" t="s">
        <v>416</v>
      </c>
      <c r="T8" s="155" t="s">
        <v>296</v>
      </c>
      <c r="U8" s="156" t="s">
        <v>313</v>
      </c>
      <c r="V8" s="156" t="s">
        <v>314</v>
      </c>
      <c r="W8" s="156" t="s">
        <v>315</v>
      </c>
    </row>
    <row r="9" spans="1:23">
      <c r="A9" s="29" t="str">
        <f>INDEX('OS-Machine Info'!$B:$B,MATCH(C9,'OS-Machine Info'!$A:$A,0))</f>
        <v>TestDC</v>
      </c>
      <c r="B9" s="29">
        <f>INDEX('Node Information'!J:$J,MATCH(C9,'Node Information'!$A:$A,0))</f>
        <v>6.5428240740740704E-2</v>
      </c>
      <c r="C9" s="4" t="s">
        <v>49</v>
      </c>
      <c r="D9" s="9">
        <v>0.03</v>
      </c>
      <c r="E9" s="9">
        <v>0</v>
      </c>
      <c r="F9" s="9"/>
      <c r="G9" s="4" t="s">
        <v>49</v>
      </c>
      <c r="H9" s="5">
        <v>2</v>
      </c>
      <c r="I9" s="5"/>
      <c r="J9" s="4" t="s">
        <v>49</v>
      </c>
      <c r="K9" s="9">
        <v>4.4999999999999998E-2</v>
      </c>
      <c r="L9" s="9">
        <v>0</v>
      </c>
      <c r="N9" s="4" t="s">
        <v>49</v>
      </c>
      <c r="O9" s="5">
        <v>45</v>
      </c>
      <c r="P9" s="5">
        <v>22.5</v>
      </c>
      <c r="Q9" s="5">
        <v>175</v>
      </c>
      <c r="R9" s="5">
        <v>87.5</v>
      </c>
      <c r="S9" s="5"/>
      <c r="T9" s="4" t="s">
        <v>49</v>
      </c>
      <c r="U9" s="5">
        <v>96947910173</v>
      </c>
      <c r="V9" s="5">
        <v>0</v>
      </c>
      <c r="W9" s="5">
        <v>0</v>
      </c>
    </row>
    <row r="10" spans="1:23">
      <c r="C10" s="4" t="s">
        <v>18</v>
      </c>
      <c r="D10" s="9">
        <v>0.03</v>
      </c>
      <c r="E10" s="9">
        <v>0</v>
      </c>
      <c r="F10" s="9"/>
      <c r="G10" s="4" t="s">
        <v>18</v>
      </c>
      <c r="H10" s="5">
        <v>2</v>
      </c>
      <c r="I10" s="5"/>
      <c r="J10" s="4" t="s">
        <v>18</v>
      </c>
      <c r="K10" s="5">
        <v>4.4999999999999998E-2</v>
      </c>
      <c r="L10" s="9">
        <v>0</v>
      </c>
      <c r="N10" s="4" t="s">
        <v>18</v>
      </c>
      <c r="O10" s="5">
        <v>45</v>
      </c>
      <c r="P10" s="5">
        <v>22.5</v>
      </c>
      <c r="Q10" s="5">
        <v>175</v>
      </c>
      <c r="R10" s="5">
        <v>87.5</v>
      </c>
      <c r="S10" s="5"/>
      <c r="T10" s="4" t="s">
        <v>18</v>
      </c>
      <c r="U10" s="5">
        <v>96947910173</v>
      </c>
      <c r="V10" s="5">
        <v>0</v>
      </c>
      <c r="W10" s="5">
        <v>0</v>
      </c>
    </row>
  </sheetData>
  <mergeCells count="5">
    <mergeCell ref="J1:L1"/>
    <mergeCell ref="G2:H2"/>
    <mergeCell ref="N1:W1"/>
    <mergeCell ref="G3:H3"/>
    <mergeCell ref="C1:H1"/>
  </mergeCells>
  <pageMargins left="0.7" right="0.7" top="0.75" bottom="0.75" header="0.3" footer="0.3"/>
  <pageSetup orientation="portrait"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0"/>
  <sheetViews>
    <sheetView workbookViewId="0"/>
  </sheetViews>
  <sheetFormatPr defaultRowHeight="14.4"/>
  <cols>
    <col min="1" max="1" width="12.88671875" customWidth="1"/>
    <col min="2" max="2" width="10.77734375" customWidth="1"/>
    <col min="3" max="3" width="29.33203125" customWidth="1"/>
    <col min="4" max="4" width="23.5546875" customWidth="1"/>
    <col min="5" max="5" width="6.5546875" customWidth="1"/>
    <col min="6" max="6" width="10.77734375" customWidth="1"/>
    <col min="7" max="7" width="36.33203125" customWidth="1"/>
    <col min="9" max="9" width="10.77734375" customWidth="1"/>
    <col min="10" max="10" width="30.88671875" customWidth="1"/>
    <col min="12" max="12" width="10.77734375" customWidth="1"/>
    <col min="13" max="13" width="47.6640625" customWidth="1"/>
    <col min="14" max="14" width="23.109375" customWidth="1"/>
    <col min="15" max="15" width="8" customWidth="1"/>
    <col min="16" max="16" width="10.77734375" customWidth="1"/>
    <col min="17" max="17" width="44.5546875" customWidth="1"/>
    <col min="18" max="18" width="23.109375" customWidth="1"/>
  </cols>
  <sheetData>
    <row r="1" spans="1:18" s="30" customFormat="1"/>
    <row r="2" spans="1:18" s="52" customFormat="1">
      <c r="A2" s="30"/>
      <c r="B2" s="193" t="s">
        <v>146</v>
      </c>
      <c r="C2" s="194"/>
      <c r="D2" s="194"/>
      <c r="E2" s="194"/>
      <c r="F2" s="194"/>
      <c r="G2" s="194"/>
      <c r="H2" s="194"/>
      <c r="I2" s="194"/>
      <c r="J2" s="194"/>
      <c r="K2" s="194"/>
      <c r="L2" s="187" t="s">
        <v>377</v>
      </c>
      <c r="M2" s="188"/>
      <c r="N2" s="188"/>
      <c r="O2" s="188"/>
      <c r="P2" s="188"/>
      <c r="Q2" s="188"/>
      <c r="R2" s="188"/>
    </row>
    <row r="3" spans="1:18">
      <c r="A3" s="30"/>
      <c r="B3" s="54"/>
      <c r="C3" s="55"/>
      <c r="D3" s="55"/>
      <c r="E3" s="55"/>
      <c r="F3" s="55"/>
      <c r="G3" s="55"/>
      <c r="H3" s="55"/>
      <c r="I3" s="55"/>
      <c r="J3" s="55"/>
      <c r="K3" s="55"/>
      <c r="L3" s="164" t="s">
        <v>0</v>
      </c>
      <c r="M3" s="165" t="s">
        <v>16</v>
      </c>
      <c r="N3" s="53"/>
      <c r="O3" s="49"/>
      <c r="P3" s="164" t="s">
        <v>0</v>
      </c>
      <c r="Q3" s="165" t="s">
        <v>16</v>
      </c>
      <c r="R3" s="163"/>
    </row>
    <row r="4" spans="1:18">
      <c r="A4" s="30"/>
      <c r="B4" s="164" t="s">
        <v>0</v>
      </c>
      <c r="C4" s="165" t="s">
        <v>16</v>
      </c>
      <c r="D4" s="33"/>
      <c r="E4" s="33"/>
      <c r="F4" s="164" t="s">
        <v>0</v>
      </c>
      <c r="G4" s="165" t="s">
        <v>16</v>
      </c>
      <c r="I4" s="164" t="s">
        <v>0</v>
      </c>
      <c r="J4" s="165" t="s">
        <v>16</v>
      </c>
      <c r="K4" s="33"/>
      <c r="L4" s="164" t="s">
        <v>1</v>
      </c>
      <c r="M4" s="165" t="s">
        <v>16</v>
      </c>
      <c r="P4" s="164" t="s">
        <v>1</v>
      </c>
      <c r="Q4" s="165" t="s">
        <v>16</v>
      </c>
      <c r="R4" s="165"/>
    </row>
    <row r="5" spans="1:18">
      <c r="A5" s="30"/>
      <c r="B5" s="164" t="s">
        <v>1</v>
      </c>
      <c r="C5" s="165" t="s">
        <v>16</v>
      </c>
      <c r="D5" s="33"/>
      <c r="E5" s="33"/>
      <c r="F5" s="164" t="s">
        <v>1</v>
      </c>
      <c r="G5" s="165" t="s">
        <v>16</v>
      </c>
      <c r="I5" s="164" t="s">
        <v>1</v>
      </c>
      <c r="J5" s="165" t="s">
        <v>16</v>
      </c>
      <c r="K5" s="33"/>
      <c r="L5" s="164" t="s">
        <v>52</v>
      </c>
      <c r="M5" s="165" t="s">
        <v>16</v>
      </c>
      <c r="P5" s="164" t="s">
        <v>52</v>
      </c>
      <c r="Q5" s="165" t="s">
        <v>16</v>
      </c>
      <c r="R5" s="165"/>
    </row>
    <row r="6" spans="1:18">
      <c r="A6" s="30"/>
      <c r="B6" s="164" t="s">
        <v>3</v>
      </c>
      <c r="C6" s="165" t="s">
        <v>113</v>
      </c>
      <c r="D6" s="33"/>
      <c r="E6" s="33"/>
      <c r="F6" s="164" t="s">
        <v>3</v>
      </c>
      <c r="G6" s="165" t="s">
        <v>115</v>
      </c>
      <c r="I6" s="164" t="s">
        <v>3</v>
      </c>
      <c r="J6" s="165" t="s">
        <v>144</v>
      </c>
      <c r="K6" s="33"/>
      <c r="L6" s="164" t="s">
        <v>3</v>
      </c>
      <c r="M6" s="165" t="s">
        <v>15</v>
      </c>
      <c r="P6" s="164" t="s">
        <v>3</v>
      </c>
      <c r="Q6" s="165" t="s">
        <v>46</v>
      </c>
      <c r="R6" s="165"/>
    </row>
    <row r="7" spans="1:18">
      <c r="A7" s="30"/>
      <c r="P7" s="165"/>
      <c r="Q7" s="165"/>
      <c r="R7" s="165"/>
    </row>
    <row r="8" spans="1:18">
      <c r="A8" s="24" t="s">
        <v>330</v>
      </c>
      <c r="B8" s="164" t="s">
        <v>2</v>
      </c>
      <c r="C8" s="165" t="s">
        <v>299</v>
      </c>
      <c r="D8" s="165" t="s">
        <v>418</v>
      </c>
      <c r="F8" s="164" t="s">
        <v>2</v>
      </c>
      <c r="G8" t="s">
        <v>298</v>
      </c>
      <c r="I8" s="164" t="s">
        <v>2</v>
      </c>
      <c r="J8" t="s">
        <v>297</v>
      </c>
      <c r="L8" s="164" t="s">
        <v>2</v>
      </c>
      <c r="M8" s="165" t="s">
        <v>300</v>
      </c>
      <c r="N8" s="165" t="s">
        <v>415</v>
      </c>
      <c r="P8" s="164" t="s">
        <v>2</v>
      </c>
      <c r="Q8" s="165" t="s">
        <v>720</v>
      </c>
      <c r="R8" s="165" t="s">
        <v>415</v>
      </c>
    </row>
    <row r="9" spans="1:18">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c r="P9" s="4" t="s">
        <v>50</v>
      </c>
      <c r="Q9" s="5">
        <v>0</v>
      </c>
      <c r="R9" s="5">
        <v>0</v>
      </c>
    </row>
    <row r="10" spans="1:18">
      <c r="B10" s="4" t="s">
        <v>18</v>
      </c>
      <c r="C10" s="5">
        <v>7475</v>
      </c>
      <c r="D10" s="5">
        <v>0</v>
      </c>
      <c r="E10" s="5"/>
      <c r="F10" s="4" t="s">
        <v>18</v>
      </c>
      <c r="G10" s="5">
        <v>2422</v>
      </c>
      <c r="H10" s="5"/>
      <c r="I10" s="4" t="s">
        <v>18</v>
      </c>
      <c r="J10" s="5">
        <v>17942</v>
      </c>
      <c r="K10" s="5"/>
      <c r="L10" s="4" t="s">
        <v>18</v>
      </c>
      <c r="M10" s="5">
        <v>0</v>
      </c>
      <c r="N10" s="5">
        <v>0</v>
      </c>
      <c r="O10" s="5"/>
      <c r="P10" s="4" t="s">
        <v>18</v>
      </c>
      <c r="Q10" s="5">
        <v>0</v>
      </c>
      <c r="R10" s="5">
        <v>0</v>
      </c>
    </row>
  </sheetData>
  <mergeCells count="2">
    <mergeCell ref="B2:K2"/>
    <mergeCell ref="L2:R2"/>
  </mergeCells>
  <pageMargins left="0.7" right="0.7" top="0.75" bottom="0.75" header="0.3" footer="0.3"/>
  <pageSetup orientation="portrait" r:id="rId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10"/>
  <sheetViews>
    <sheetView workbookViewId="0"/>
  </sheetViews>
  <sheetFormatPr defaultRowHeight="14.4"/>
  <cols>
    <col min="1" max="1" width="12.109375" style="154" customWidth="1"/>
    <col min="2" max="2" width="11.109375" customWidth="1"/>
    <col min="3" max="3" width="10.77734375" customWidth="1"/>
    <col min="4" max="4" width="29.33203125" customWidth="1"/>
    <col min="5" max="5" width="23.109375" customWidth="1"/>
    <col min="6" max="6" width="4" customWidth="1"/>
    <col min="7" max="7" width="10.77734375" customWidth="1"/>
    <col min="8" max="8" width="36.33203125" customWidth="1"/>
    <col min="9" max="9" width="6.88671875" customWidth="1"/>
    <col min="10" max="10" width="10.77734375" customWidth="1"/>
    <col min="11" max="11" width="30.88671875" customWidth="1"/>
    <col min="12" max="12" width="5.6640625" customWidth="1"/>
    <col min="13" max="13" width="10.77734375" customWidth="1"/>
    <col min="14" max="14" width="47.6640625" customWidth="1"/>
    <col min="15" max="15" width="23.109375" customWidth="1"/>
    <col min="16" max="16" width="5.6640625" customWidth="1"/>
    <col min="17" max="17" width="10.77734375" bestFit="1" customWidth="1"/>
    <col min="18" max="18" width="44.5546875" customWidth="1"/>
    <col min="19" max="19" width="23.109375" customWidth="1"/>
  </cols>
  <sheetData>
    <row r="1" spans="1:19" s="52" customFormat="1">
      <c r="A1" s="31"/>
      <c r="B1" s="31"/>
      <c r="C1" s="193" t="s">
        <v>146</v>
      </c>
      <c r="D1" s="194"/>
      <c r="E1" s="194"/>
      <c r="F1" s="194"/>
      <c r="G1" s="194"/>
      <c r="H1" s="194"/>
      <c r="I1" s="194"/>
      <c r="J1" s="194"/>
      <c r="K1" s="194"/>
      <c r="L1" s="194"/>
      <c r="M1" s="187" t="s">
        <v>377</v>
      </c>
      <c r="N1" s="188"/>
      <c r="O1" s="188"/>
      <c r="P1" s="188"/>
      <c r="Q1" s="188"/>
      <c r="R1" s="188"/>
      <c r="S1" s="188"/>
    </row>
    <row r="2" spans="1:19">
      <c r="A2" s="31"/>
      <c r="B2" s="31"/>
      <c r="C2" s="54"/>
      <c r="D2" s="55"/>
      <c r="E2" s="55"/>
      <c r="F2" s="55"/>
      <c r="G2" s="55"/>
      <c r="H2" s="55"/>
      <c r="I2" s="55"/>
      <c r="J2" s="55"/>
      <c r="K2" s="55"/>
      <c r="L2" s="55"/>
      <c r="M2" s="164" t="s">
        <v>0</v>
      </c>
      <c r="N2" s="165" t="s">
        <v>16</v>
      </c>
      <c r="O2" s="53"/>
      <c r="Q2" s="164" t="s">
        <v>0</v>
      </c>
      <c r="R2" s="165" t="s">
        <v>16</v>
      </c>
      <c r="S2" s="163"/>
    </row>
    <row r="3" spans="1:19">
      <c r="A3" s="31"/>
      <c r="B3" s="31"/>
      <c r="C3" s="164" t="s">
        <v>0</v>
      </c>
      <c r="D3" s="165" t="s">
        <v>16</v>
      </c>
      <c r="G3" s="164" t="s">
        <v>0</v>
      </c>
      <c r="H3" s="165" t="s">
        <v>16</v>
      </c>
      <c r="J3" s="164" t="s">
        <v>0</v>
      </c>
      <c r="K3" s="165" t="s">
        <v>16</v>
      </c>
      <c r="M3" s="164" t="s">
        <v>1</v>
      </c>
      <c r="N3" s="165" t="s">
        <v>16</v>
      </c>
      <c r="Q3" s="164" t="s">
        <v>1</v>
      </c>
      <c r="R3" s="165" t="s">
        <v>16</v>
      </c>
      <c r="S3" s="165"/>
    </row>
    <row r="4" spans="1:19">
      <c r="A4" s="31"/>
      <c r="B4" s="31"/>
      <c r="C4" s="164" t="s">
        <v>1</v>
      </c>
      <c r="D4" s="165" t="s">
        <v>16</v>
      </c>
      <c r="E4" s="33"/>
      <c r="F4" s="33"/>
      <c r="G4" s="164" t="s">
        <v>1</v>
      </c>
      <c r="H4" s="165" t="s">
        <v>16</v>
      </c>
      <c r="J4" s="164" t="s">
        <v>1</v>
      </c>
      <c r="K4" s="165" t="s">
        <v>16</v>
      </c>
      <c r="L4" s="33"/>
      <c r="M4" s="164" t="s">
        <v>2</v>
      </c>
      <c r="N4" s="165" t="s">
        <v>16</v>
      </c>
      <c r="Q4" s="164" t="s">
        <v>2</v>
      </c>
      <c r="R4" s="165" t="s">
        <v>16</v>
      </c>
      <c r="S4" s="165"/>
    </row>
    <row r="5" spans="1:19">
      <c r="A5" s="31"/>
      <c r="B5" s="31"/>
      <c r="C5" s="164" t="s">
        <v>2</v>
      </c>
      <c r="D5" s="165" t="s">
        <v>16</v>
      </c>
      <c r="E5" s="33"/>
      <c r="F5" s="33"/>
      <c r="G5" s="164" t="s">
        <v>2</v>
      </c>
      <c r="H5" s="165" t="s">
        <v>16</v>
      </c>
      <c r="J5" s="164" t="s">
        <v>2</v>
      </c>
      <c r="K5" s="165" t="s">
        <v>16</v>
      </c>
      <c r="L5" s="33"/>
      <c r="M5" s="164" t="s">
        <v>52</v>
      </c>
      <c r="N5" s="165" t="s">
        <v>16</v>
      </c>
      <c r="Q5" s="164" t="s">
        <v>52</v>
      </c>
      <c r="R5" s="165" t="s">
        <v>16</v>
      </c>
      <c r="S5" s="165"/>
    </row>
    <row r="6" spans="1:19">
      <c r="A6" s="31"/>
      <c r="B6" s="31"/>
      <c r="C6" s="164" t="s">
        <v>3</v>
      </c>
      <c r="D6" s="165" t="s">
        <v>113</v>
      </c>
      <c r="E6" s="33"/>
      <c r="F6" s="33"/>
      <c r="G6" s="164" t="s">
        <v>3</v>
      </c>
      <c r="H6" s="165" t="s">
        <v>115</v>
      </c>
      <c r="J6" s="164" t="s">
        <v>3</v>
      </c>
      <c r="K6" s="165" t="s">
        <v>144</v>
      </c>
      <c r="L6" s="33"/>
      <c r="M6" s="164" t="s">
        <v>3</v>
      </c>
      <c r="N6" s="165" t="s">
        <v>15</v>
      </c>
      <c r="Q6" s="164" t="s">
        <v>3</v>
      </c>
      <c r="R6" s="165" t="s">
        <v>46</v>
      </c>
      <c r="S6" s="165"/>
    </row>
    <row r="7" spans="1:19">
      <c r="A7" s="31"/>
      <c r="B7" s="31"/>
      <c r="Q7" s="165"/>
      <c r="R7" s="165"/>
      <c r="S7" s="165"/>
    </row>
    <row r="8" spans="1:19">
      <c r="A8" s="24" t="s">
        <v>699</v>
      </c>
      <c r="B8" s="24" t="s">
        <v>122</v>
      </c>
      <c r="C8" s="164" t="s">
        <v>296</v>
      </c>
      <c r="D8" s="165" t="s">
        <v>299</v>
      </c>
      <c r="E8" s="165" t="s">
        <v>415</v>
      </c>
      <c r="G8" s="164" t="s">
        <v>296</v>
      </c>
      <c r="H8" t="s">
        <v>298</v>
      </c>
      <c r="J8" s="164" t="s">
        <v>296</v>
      </c>
      <c r="K8" t="s">
        <v>297</v>
      </c>
      <c r="M8" s="164" t="s">
        <v>296</v>
      </c>
      <c r="N8" s="165" t="s">
        <v>300</v>
      </c>
      <c r="O8" s="165" t="s">
        <v>415</v>
      </c>
      <c r="Q8" s="164" t="s">
        <v>296</v>
      </c>
      <c r="R8" s="165" t="s">
        <v>720</v>
      </c>
      <c r="S8" s="165" t="s">
        <v>415</v>
      </c>
    </row>
    <row r="9" spans="1:19">
      <c r="A9" s="29" t="str">
        <f>INDEX('OS-Machine Info'!$B:$B,MATCH(C9,'OS-Machine Info'!$A:$A,0))</f>
        <v>TestDC</v>
      </c>
      <c r="B9" s="29">
        <f>INDEX('Node Information'!$J:J,MATCH(C9,'Node Information'!$A:$A,0))</f>
        <v>6.5428240740740704E-2</v>
      </c>
      <c r="C9" s="4" t="s">
        <v>49</v>
      </c>
      <c r="D9" s="5">
        <v>7475</v>
      </c>
      <c r="E9" s="5">
        <v>0</v>
      </c>
      <c r="F9" s="5"/>
      <c r="G9" s="4" t="s">
        <v>49</v>
      </c>
      <c r="H9" s="5">
        <v>2422</v>
      </c>
      <c r="I9" s="5"/>
      <c r="J9" s="4" t="s">
        <v>49</v>
      </c>
      <c r="K9" s="5">
        <v>17942</v>
      </c>
      <c r="L9" s="5"/>
      <c r="M9" s="4" t="s">
        <v>49</v>
      </c>
      <c r="N9" s="5">
        <v>0</v>
      </c>
      <c r="O9" s="5">
        <v>0</v>
      </c>
      <c r="Q9" s="4" t="s">
        <v>49</v>
      </c>
      <c r="R9" s="5">
        <v>0</v>
      </c>
      <c r="S9" s="5">
        <v>0</v>
      </c>
    </row>
    <row r="10" spans="1:19">
      <c r="C10" s="4" t="s">
        <v>18</v>
      </c>
      <c r="D10" s="5">
        <v>7475</v>
      </c>
      <c r="E10" s="5">
        <v>0</v>
      </c>
      <c r="F10" s="5"/>
      <c r="G10" s="4" t="s">
        <v>18</v>
      </c>
      <c r="H10" s="5">
        <v>2422</v>
      </c>
      <c r="I10" s="5"/>
      <c r="J10" s="4" t="s">
        <v>18</v>
      </c>
      <c r="K10" s="5">
        <v>17942</v>
      </c>
      <c r="L10" s="5"/>
      <c r="M10" s="4" t="s">
        <v>18</v>
      </c>
      <c r="N10" s="5">
        <v>0</v>
      </c>
      <c r="O10" s="5">
        <v>0</v>
      </c>
      <c r="Q10" s="4" t="s">
        <v>18</v>
      </c>
      <c r="R10" s="5">
        <v>0</v>
      </c>
      <c r="S10" s="5">
        <v>0</v>
      </c>
    </row>
  </sheetData>
  <mergeCells count="2">
    <mergeCell ref="C1:L1"/>
    <mergeCell ref="M1:S1"/>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10"/>
  <sheetViews>
    <sheetView workbookViewId="0"/>
  </sheetViews>
  <sheetFormatPr defaultRowHeight="14.4"/>
  <cols>
    <col min="1" max="1" width="14.109375" style="154" customWidth="1"/>
    <col min="2" max="2" width="15.109375" customWidth="1"/>
    <col min="3" max="3" width="11.44140625" customWidth="1"/>
    <col min="4" max="4" width="27.88671875" customWidth="1"/>
    <col min="5" max="5" width="9.109375" customWidth="1"/>
    <col min="6" max="6" width="11.44140625" customWidth="1"/>
    <col min="7" max="7" width="30.109375" customWidth="1"/>
    <col min="8" max="8" width="24.33203125" customWidth="1"/>
    <col min="10" max="10" width="11.44140625" customWidth="1"/>
    <col min="11" max="11" width="26.109375" customWidth="1"/>
    <col min="12" max="12" width="23.6640625" customWidth="1"/>
    <col min="15" max="15" width="10.77734375" customWidth="1"/>
    <col min="16" max="16" width="30.21875" customWidth="1"/>
    <col min="18" max="18" width="10.77734375" customWidth="1"/>
    <col min="19" max="19" width="30.5546875" customWidth="1"/>
    <col min="20" max="20" width="27.88671875" customWidth="1"/>
  </cols>
  <sheetData>
    <row r="1" spans="1:20" s="31" customFormat="1"/>
    <row r="2" spans="1:20" s="31" customFormat="1"/>
    <row r="3" spans="1:20" s="31" customFormat="1">
      <c r="C3" s="191" t="s">
        <v>308</v>
      </c>
      <c r="D3" s="171"/>
      <c r="E3" s="171"/>
      <c r="F3" s="171"/>
      <c r="G3" s="171"/>
      <c r="H3" s="171"/>
      <c r="I3" s="171"/>
      <c r="J3" s="171"/>
      <c r="K3" s="171"/>
      <c r="L3" s="171"/>
      <c r="N3" s="191" t="s">
        <v>475</v>
      </c>
      <c r="O3" s="188"/>
      <c r="P3" s="188"/>
      <c r="Q3" s="188"/>
      <c r="R3" s="188"/>
      <c r="S3" s="188"/>
      <c r="T3" s="188"/>
    </row>
    <row r="4" spans="1:20">
      <c r="A4" s="31"/>
      <c r="B4" s="31"/>
      <c r="C4" s="191"/>
      <c r="D4" s="171"/>
      <c r="E4" s="171"/>
      <c r="F4" s="171"/>
      <c r="G4" s="171"/>
      <c r="H4" s="171"/>
      <c r="I4" s="171"/>
      <c r="J4" s="171"/>
      <c r="K4" s="171"/>
      <c r="L4" s="171"/>
      <c r="N4" s="96"/>
      <c r="O4" s="164" t="s">
        <v>0</v>
      </c>
      <c r="P4" s="165" t="s">
        <v>16</v>
      </c>
      <c r="Q4" s="96"/>
      <c r="R4" s="164" t="s">
        <v>0</v>
      </c>
      <c r="S4" s="165" t="s">
        <v>16</v>
      </c>
      <c r="T4" s="33"/>
    </row>
    <row r="5" spans="1:20">
      <c r="A5" s="31"/>
      <c r="B5" s="31"/>
      <c r="C5" s="158" t="s">
        <v>0</v>
      </c>
      <c r="D5" s="159" t="s">
        <v>16</v>
      </c>
      <c r="F5" s="158" t="s">
        <v>0</v>
      </c>
      <c r="G5" s="159" t="s">
        <v>16</v>
      </c>
      <c r="J5" s="158" t="s">
        <v>0</v>
      </c>
      <c r="K5" s="159" t="s">
        <v>16</v>
      </c>
      <c r="L5" s="52"/>
      <c r="N5" s="96"/>
      <c r="O5" s="164" t="s">
        <v>1</v>
      </c>
      <c r="P5" s="165" t="s">
        <v>16</v>
      </c>
      <c r="Q5" s="96"/>
      <c r="R5" s="164" t="s">
        <v>1</v>
      </c>
      <c r="S5" s="165" t="s">
        <v>16</v>
      </c>
      <c r="T5" s="33"/>
    </row>
    <row r="6" spans="1:20">
      <c r="A6" s="31"/>
      <c r="B6" s="31"/>
      <c r="C6" s="158" t="s">
        <v>3</v>
      </c>
      <c r="D6" s="159" t="s">
        <v>294</v>
      </c>
      <c r="F6" s="158" t="s">
        <v>3</v>
      </c>
      <c r="G6" s="159" t="s">
        <v>334</v>
      </c>
      <c r="J6" s="158" t="s">
        <v>3</v>
      </c>
      <c r="K6" s="159" t="s">
        <v>335</v>
      </c>
      <c r="L6" s="52"/>
      <c r="N6" s="96"/>
      <c r="O6" s="164" t="s">
        <v>3</v>
      </c>
      <c r="P6" s="165" t="s">
        <v>466</v>
      </c>
      <c r="Q6" s="96"/>
      <c r="R6" s="164" t="s">
        <v>3</v>
      </c>
      <c r="S6" s="165" t="s">
        <v>468</v>
      </c>
      <c r="T6" s="33"/>
    </row>
    <row r="7" spans="1:20">
      <c r="A7" s="31"/>
      <c r="B7" s="31"/>
      <c r="F7" s="52"/>
      <c r="G7" s="52"/>
      <c r="J7" s="52"/>
      <c r="K7" s="52"/>
      <c r="L7" s="52"/>
      <c r="N7" s="96"/>
      <c r="O7" s="96"/>
      <c r="P7" s="96"/>
      <c r="Q7" s="96"/>
      <c r="R7" s="96"/>
      <c r="S7" s="96"/>
      <c r="T7" s="96"/>
    </row>
    <row r="8" spans="1:20">
      <c r="A8" s="24" t="s">
        <v>699</v>
      </c>
      <c r="B8" s="24" t="s">
        <v>122</v>
      </c>
      <c r="C8" s="158" t="s">
        <v>296</v>
      </c>
      <c r="D8" t="s">
        <v>309</v>
      </c>
      <c r="F8" s="158" t="s">
        <v>296</v>
      </c>
      <c r="G8" s="159" t="s">
        <v>346</v>
      </c>
      <c r="H8" s="159" t="s">
        <v>415</v>
      </c>
      <c r="J8" s="158" t="s">
        <v>296</v>
      </c>
      <c r="K8" s="159" t="s">
        <v>347</v>
      </c>
      <c r="L8" s="159" t="s">
        <v>419</v>
      </c>
      <c r="N8" s="24" t="s">
        <v>330</v>
      </c>
      <c r="O8" s="164" t="s">
        <v>2</v>
      </c>
      <c r="P8" t="s">
        <v>472</v>
      </c>
      <c r="Q8" s="96"/>
      <c r="R8" s="164" t="s">
        <v>2</v>
      </c>
      <c r="S8" s="165" t="s">
        <v>473</v>
      </c>
      <c r="T8" s="165" t="s">
        <v>474</v>
      </c>
    </row>
    <row r="9" spans="1:20" ht="20.25" customHeight="1">
      <c r="A9" s="29" t="str">
        <f>INDEX('OS-Machine Info'!$B:$B,MATCH(C9,'OS-Machine Info'!$A:$A,0))</f>
        <v>TestDC</v>
      </c>
      <c r="B9" s="29">
        <f>INDEX('Node Information'!J:$J,MATCH(C9,'Node Information'!$A:$A,0))</f>
        <v>6.5428240740740704E-2</v>
      </c>
      <c r="C9" s="4" t="s">
        <v>49</v>
      </c>
      <c r="D9" s="5">
        <v>368</v>
      </c>
      <c r="F9" s="4" t="s">
        <v>49</v>
      </c>
      <c r="G9" s="5">
        <v>396</v>
      </c>
      <c r="H9" s="159">
        <v>0</v>
      </c>
      <c r="J9" s="4" t="s">
        <v>49</v>
      </c>
      <c r="K9" s="5">
        <v>240</v>
      </c>
      <c r="L9" s="5">
        <v>0</v>
      </c>
      <c r="N9" s="23" t="str">
        <f>INDEX('DDL Tables'!$B:$B,MATCH(O9,'DDL Tables'!$C:$C,0))</f>
        <v>TestKS</v>
      </c>
      <c r="O9" s="4" t="s">
        <v>50</v>
      </c>
      <c r="P9" s="5">
        <v>7</v>
      </c>
      <c r="Q9" s="96"/>
      <c r="R9" s="4" t="s">
        <v>50</v>
      </c>
      <c r="S9" s="5">
        <v>2</v>
      </c>
      <c r="T9" s="5">
        <v>0</v>
      </c>
    </row>
    <row r="10" spans="1:20">
      <c r="C10" s="4" t="s">
        <v>18</v>
      </c>
      <c r="D10" s="5">
        <v>368</v>
      </c>
      <c r="F10" s="4" t="s">
        <v>18</v>
      </c>
      <c r="G10" s="159">
        <v>396</v>
      </c>
      <c r="H10" s="159">
        <v>0</v>
      </c>
      <c r="J10" s="4" t="s">
        <v>18</v>
      </c>
      <c r="K10" s="159">
        <v>240</v>
      </c>
      <c r="L10" s="5">
        <v>0</v>
      </c>
      <c r="N10" s="90"/>
      <c r="O10" s="4" t="s">
        <v>18</v>
      </c>
      <c r="P10" s="5">
        <v>7</v>
      </c>
      <c r="R10" s="4" t="s">
        <v>18</v>
      </c>
      <c r="S10" s="5">
        <v>2</v>
      </c>
      <c r="T10" s="5">
        <v>0</v>
      </c>
    </row>
  </sheetData>
  <mergeCells count="3">
    <mergeCell ref="C4:L4"/>
    <mergeCell ref="C3:L3"/>
    <mergeCell ref="N3:T3"/>
  </mergeCells>
  <pageMargins left="0.7" right="0.7" top="0.75" bottom="0.75" header="0.3" footer="0.3"/>
  <pageSetup orientation="portrait"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election activeCell="B9" sqref="B9"/>
    </sheetView>
  </sheetViews>
  <sheetFormatPr defaultColWidth="9.109375" defaultRowHeight="14.4"/>
  <cols>
    <col min="1" max="1" width="14.33203125" style="141" customWidth="1"/>
    <col min="2" max="2" width="21.77734375" style="141" customWidth="1"/>
    <col min="3" max="3" width="13.88671875" style="141" customWidth="1"/>
    <col min="4" max="4" width="21.6640625" style="141" customWidth="1"/>
    <col min="5" max="5" width="24.88671875" style="141" customWidth="1"/>
    <col min="6" max="6" width="13.5546875" style="141" customWidth="1"/>
    <col min="7" max="7" width="17.77734375" style="141" customWidth="1"/>
    <col min="8" max="8" width="25.88671875" style="141" customWidth="1"/>
    <col min="9" max="9" width="26.77734375" style="141" customWidth="1"/>
    <col min="10" max="10" width="11.77734375" style="141" customWidth="1"/>
    <col min="11" max="11" width="20.5546875" style="141" customWidth="1"/>
    <col min="12" max="12" width="21.77734375" style="141" customWidth="1"/>
    <col min="13" max="13" width="23.88671875" style="141" customWidth="1"/>
    <col min="14" max="14" width="16.44140625" style="141" customWidth="1"/>
    <col min="15" max="15" width="15.21875" style="141" customWidth="1"/>
    <col min="16" max="16" width="18.44140625" style="141" customWidth="1"/>
    <col min="17" max="17" width="23.33203125" style="141" customWidth="1"/>
    <col min="18" max="18" width="24.5546875" style="141" bestFit="1" customWidth="1"/>
    <col min="19" max="16384" width="9.109375" style="141"/>
  </cols>
  <sheetData>
    <row r="1" spans="1:18" s="45" customFormat="1"/>
    <row r="2" spans="1:18" s="45" customFormat="1"/>
    <row r="3" spans="1:18" s="45" customFormat="1"/>
    <row r="4" spans="1:18">
      <c r="A4" s="45"/>
      <c r="B4" s="195" t="s">
        <v>301</v>
      </c>
      <c r="C4" s="188"/>
      <c r="D4" s="188"/>
      <c r="E4" s="188"/>
      <c r="F4" s="188"/>
      <c r="G4" s="188"/>
      <c r="H4" s="188"/>
      <c r="I4" s="188"/>
      <c r="J4" s="188"/>
      <c r="K4" s="188"/>
      <c r="L4" s="188"/>
      <c r="M4" s="188"/>
      <c r="N4" s="188"/>
      <c r="O4" s="188"/>
      <c r="P4" s="188"/>
    </row>
    <row r="5" spans="1:18">
      <c r="A5" s="45"/>
      <c r="B5" s="168" t="s">
        <v>575</v>
      </c>
      <c r="C5" s="169" t="s">
        <v>16</v>
      </c>
      <c r="D5" s="45"/>
      <c r="E5" s="45"/>
      <c r="F5" s="45"/>
      <c r="G5" s="45"/>
      <c r="H5" s="45"/>
      <c r="I5" s="45"/>
      <c r="J5" s="45"/>
      <c r="K5" s="45"/>
      <c r="L5" s="45"/>
      <c r="M5" s="45"/>
      <c r="N5" s="45"/>
      <c r="O5" s="45"/>
      <c r="P5" s="45"/>
    </row>
    <row r="6" spans="1:18">
      <c r="A6" s="45"/>
      <c r="B6" s="168" t="s">
        <v>0</v>
      </c>
      <c r="C6" s="169" t="s">
        <v>16</v>
      </c>
      <c r="D6" s="140"/>
      <c r="E6" s="140"/>
      <c r="F6" s="140"/>
      <c r="G6" s="140"/>
      <c r="H6" s="142"/>
      <c r="I6" s="140"/>
      <c r="J6" s="140"/>
      <c r="K6" s="140"/>
      <c r="L6" s="140"/>
      <c r="M6" s="142"/>
    </row>
    <row r="7" spans="1:18">
      <c r="A7" s="45"/>
    </row>
    <row r="8" spans="1:18">
      <c r="A8" s="24"/>
      <c r="B8" s="130" t="s">
        <v>642</v>
      </c>
      <c r="C8" s="131" t="s">
        <v>599</v>
      </c>
      <c r="D8" s="131" t="s">
        <v>597</v>
      </c>
      <c r="E8" s="131" t="s">
        <v>598</v>
      </c>
      <c r="F8" s="169" t="s">
        <v>620</v>
      </c>
      <c r="G8" s="131" t="s">
        <v>600</v>
      </c>
      <c r="H8" s="131" t="s">
        <v>601</v>
      </c>
      <c r="I8" s="131" t="s">
        <v>606</v>
      </c>
      <c r="J8" s="169" t="s">
        <v>648</v>
      </c>
      <c r="K8" s="169" t="s">
        <v>649</v>
      </c>
      <c r="L8" s="169" t="s">
        <v>650</v>
      </c>
      <c r="M8" s="131" t="s">
        <v>602</v>
      </c>
      <c r="N8" s="169" t="s">
        <v>709</v>
      </c>
      <c r="O8" s="169" t="s">
        <v>710</v>
      </c>
      <c r="P8" s="131" t="s">
        <v>603</v>
      </c>
      <c r="Q8" s="131" t="s">
        <v>604</v>
      </c>
      <c r="R8"/>
    </row>
    <row r="9" spans="1:18">
      <c r="A9" s="29"/>
      <c r="B9" s="4" t="s">
        <v>48</v>
      </c>
      <c r="C9" s="5">
        <v>2</v>
      </c>
      <c r="D9" s="129">
        <v>4.9768518518518521E-4</v>
      </c>
      <c r="E9" s="129">
        <v>3.3564814814814818E-4</v>
      </c>
      <c r="F9" s="5"/>
      <c r="G9" s="5">
        <v>3</v>
      </c>
      <c r="H9" s="5">
        <v>0</v>
      </c>
      <c r="I9" s="5">
        <v>1</v>
      </c>
      <c r="J9" s="5">
        <v>358</v>
      </c>
      <c r="K9" s="104">
        <v>2468</v>
      </c>
      <c r="L9" s="5">
        <v>3.45</v>
      </c>
      <c r="M9" s="5">
        <v>0</v>
      </c>
      <c r="N9" s="5">
        <v>249</v>
      </c>
      <c r="O9" s="5">
        <v>3464</v>
      </c>
      <c r="P9" s="5">
        <v>1</v>
      </c>
      <c r="Q9" s="5"/>
      <c r="R9"/>
    </row>
    <row r="10" spans="1:18">
      <c r="B10" s="4" t="s">
        <v>498</v>
      </c>
      <c r="C10" s="5"/>
      <c r="D10" s="129"/>
      <c r="E10" s="129"/>
      <c r="F10" s="5"/>
      <c r="G10" s="5"/>
      <c r="H10" s="5"/>
      <c r="I10" s="5"/>
      <c r="J10" s="5"/>
      <c r="K10" s="104"/>
      <c r="L10" s="5"/>
      <c r="M10" s="5"/>
      <c r="N10" s="5"/>
      <c r="O10" s="5"/>
      <c r="P10" s="5"/>
      <c r="Q10" s="5"/>
      <c r="R10"/>
    </row>
    <row r="11" spans="1:18">
      <c r="B11" s="4" t="s">
        <v>18</v>
      </c>
      <c r="C11" s="5">
        <v>2</v>
      </c>
      <c r="D11" s="129">
        <v>4.9768518518518521E-4</v>
      </c>
      <c r="E11" s="129">
        <v>3.3564814814814818E-4</v>
      </c>
      <c r="F11" s="5"/>
      <c r="G11" s="5">
        <v>3</v>
      </c>
      <c r="H11" s="5">
        <v>0</v>
      </c>
      <c r="I11" s="5">
        <v>1</v>
      </c>
      <c r="J11" s="5">
        <v>358</v>
      </c>
      <c r="K11" s="104">
        <v>2468</v>
      </c>
      <c r="L11" s="5">
        <v>3.45</v>
      </c>
      <c r="M11" s="5">
        <v>0</v>
      </c>
      <c r="N11" s="5">
        <v>249</v>
      </c>
      <c r="O11" s="5">
        <v>3464</v>
      </c>
      <c r="P11" s="5">
        <v>1</v>
      </c>
      <c r="Q11" s="5"/>
      <c r="R11"/>
    </row>
    <row r="12" spans="1:18">
      <c r="B12"/>
      <c r="C12"/>
      <c r="D12"/>
      <c r="E12"/>
      <c r="F12"/>
      <c r="G12"/>
      <c r="H12"/>
      <c r="I12"/>
      <c r="J12"/>
      <c r="K12"/>
      <c r="L12"/>
      <c r="M12"/>
      <c r="N12"/>
    </row>
    <row r="13" spans="1:18">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M15"/>
  <sheetViews>
    <sheetView workbookViewId="0">
      <selection activeCell="AB9" sqref="AB9"/>
    </sheetView>
  </sheetViews>
  <sheetFormatPr defaultRowHeight="14.4"/>
  <cols>
    <col min="1" max="1" width="14.109375" style="154" customWidth="1"/>
    <col min="2" max="2" width="14.33203125" customWidth="1"/>
    <col min="3" max="3" width="11.44140625" customWidth="1"/>
    <col min="4" max="5" width="17.88671875" customWidth="1"/>
    <col min="6" max="6" width="17.5546875" customWidth="1"/>
    <col min="7" max="7" width="19.5546875" customWidth="1"/>
    <col min="9" max="9" width="11.44140625" customWidth="1"/>
    <col min="10" max="10" width="17.88671875" customWidth="1"/>
    <col min="11" max="11" width="12.6640625" customWidth="1"/>
    <col min="12" max="12" width="20.44140625" customWidth="1"/>
    <col min="14" max="14" width="11.44140625" customWidth="1"/>
    <col min="15" max="16" width="17.88671875" customWidth="1"/>
    <col min="17" max="17" width="17.5546875" customWidth="1"/>
    <col min="18" max="18" width="19.5546875" customWidth="1"/>
    <col min="20" max="20" width="11.44140625" customWidth="1"/>
    <col min="21" max="21" width="17.88671875" customWidth="1"/>
    <col min="22" max="22" width="12.6640625" customWidth="1"/>
    <col min="23" max="23" width="20.44140625" customWidth="1"/>
    <col min="25" max="25" width="14.44140625" customWidth="1"/>
    <col min="26" max="26" width="13.88671875" customWidth="1"/>
    <col min="27" max="27" width="21.6640625" customWidth="1"/>
    <col min="28" max="28" width="24.88671875" style="115" customWidth="1"/>
    <col min="29" max="29" width="13.5546875" style="115" customWidth="1"/>
    <col min="30" max="30" width="17.77734375" customWidth="1"/>
    <col min="31" max="31" width="16.33203125" customWidth="1"/>
    <col min="32" max="32" width="25.88671875" customWidth="1"/>
    <col min="33" max="33" width="26.77734375" customWidth="1"/>
    <col min="34" max="34" width="22.109375" customWidth="1"/>
    <col min="35" max="35" width="23.88671875" customWidth="1"/>
    <col min="36" max="36" width="16.44140625" customWidth="1"/>
    <col min="37" max="37" width="15.21875" customWidth="1"/>
    <col min="38" max="38" width="18.44140625" customWidth="1"/>
    <col min="39" max="39" width="23.33203125" customWidth="1"/>
    <col min="40" max="40" width="24.5546875" bestFit="1" customWidth="1"/>
  </cols>
  <sheetData>
    <row r="1" spans="1:39" s="45" customFormat="1">
      <c r="A1" s="31"/>
    </row>
    <row r="2" spans="1:39" s="45" customFormat="1">
      <c r="A2" s="31"/>
    </row>
    <row r="3" spans="1:39" s="45" customFormat="1">
      <c r="A3" s="31"/>
    </row>
    <row r="4" spans="1:39">
      <c r="A4" s="31"/>
      <c r="B4" s="45"/>
      <c r="C4" s="195" t="s">
        <v>528</v>
      </c>
      <c r="D4" s="196"/>
      <c r="E4" s="196"/>
      <c r="F4" s="196"/>
      <c r="G4" s="196"/>
      <c r="H4" s="196"/>
      <c r="I4" s="196"/>
      <c r="J4" s="196"/>
      <c r="K4" s="196"/>
      <c r="L4" s="196"/>
      <c r="N4" s="195" t="s">
        <v>529</v>
      </c>
      <c r="O4" s="196"/>
      <c r="P4" s="196"/>
      <c r="Q4" s="196"/>
      <c r="R4" s="196"/>
      <c r="S4" s="196"/>
      <c r="T4" s="196"/>
      <c r="U4" s="196"/>
      <c r="V4" s="196"/>
      <c r="W4" s="196"/>
      <c r="Y4" s="195" t="s">
        <v>301</v>
      </c>
      <c r="Z4" s="196"/>
      <c r="AA4" s="196"/>
      <c r="AB4" s="196"/>
      <c r="AC4" s="196"/>
      <c r="AD4" s="196"/>
      <c r="AE4" s="196"/>
      <c r="AF4" s="196"/>
      <c r="AG4" s="196"/>
      <c r="AH4" s="196"/>
      <c r="AI4" s="171"/>
      <c r="AJ4" s="171"/>
      <c r="AK4" s="171"/>
    </row>
    <row r="5" spans="1:39">
      <c r="A5" s="31"/>
      <c r="B5" s="45"/>
      <c r="C5" s="158" t="s">
        <v>0</v>
      </c>
      <c r="D5" s="159" t="s">
        <v>16</v>
      </c>
      <c r="E5" s="33"/>
      <c r="H5" s="33"/>
      <c r="I5" s="158" t="s">
        <v>0</v>
      </c>
      <c r="J5" s="159" t="s">
        <v>16</v>
      </c>
      <c r="N5" s="158" t="s">
        <v>0</v>
      </c>
      <c r="O5" s="159" t="s">
        <v>16</v>
      </c>
      <c r="P5" s="33"/>
      <c r="S5" s="33"/>
      <c r="T5" s="158" t="s">
        <v>0</v>
      </c>
      <c r="U5" s="159" t="s">
        <v>16</v>
      </c>
      <c r="Y5" s="168" t="s">
        <v>575</v>
      </c>
      <c r="Z5" s="169" t="s">
        <v>16</v>
      </c>
      <c r="AA5" s="45"/>
      <c r="AB5" s="45"/>
      <c r="AC5" s="45"/>
      <c r="AD5" s="45"/>
      <c r="AE5" s="45"/>
      <c r="AF5" s="45"/>
      <c r="AG5" s="45"/>
      <c r="AH5" s="45"/>
      <c r="AI5" s="45"/>
      <c r="AJ5" s="45"/>
      <c r="AK5" s="45"/>
    </row>
    <row r="6" spans="1:39">
      <c r="A6" s="31"/>
      <c r="B6" s="45"/>
      <c r="C6" s="158" t="s">
        <v>3</v>
      </c>
      <c r="D6" s="159" t="s">
        <v>310</v>
      </c>
      <c r="E6" s="33"/>
      <c r="H6" s="33"/>
      <c r="I6" s="158" t="s">
        <v>3</v>
      </c>
      <c r="J6" s="159" t="s">
        <v>310</v>
      </c>
      <c r="N6" s="158" t="s">
        <v>3</v>
      </c>
      <c r="O6" s="159" t="s">
        <v>310</v>
      </c>
      <c r="P6" s="33"/>
      <c r="S6" s="33"/>
      <c r="T6" s="158" t="s">
        <v>3</v>
      </c>
      <c r="U6" s="159" t="s">
        <v>310</v>
      </c>
      <c r="Y6" s="168" t="s">
        <v>0</v>
      </c>
      <c r="Z6" s="169" t="s">
        <v>16</v>
      </c>
      <c r="AA6" s="117"/>
      <c r="AB6" s="117"/>
      <c r="AC6" s="117"/>
      <c r="AD6" s="117"/>
      <c r="AE6" s="116"/>
      <c r="AF6" s="117"/>
      <c r="AG6" s="117"/>
      <c r="AH6" s="117"/>
      <c r="AI6" s="117"/>
      <c r="AJ6" s="116"/>
    </row>
    <row r="7" spans="1:39">
      <c r="A7" s="31"/>
      <c r="B7" s="45"/>
      <c r="Y7" s="118"/>
      <c r="Z7" s="115"/>
      <c r="AC7" s="118"/>
      <c r="AD7" s="115"/>
      <c r="AF7" s="118"/>
      <c r="AG7" s="115"/>
      <c r="AH7" s="115"/>
      <c r="AI7" s="115"/>
    </row>
    <row r="8" spans="1:39">
      <c r="A8" s="24" t="s">
        <v>699</v>
      </c>
      <c r="B8" s="24" t="s">
        <v>122</v>
      </c>
      <c r="C8" s="158" t="s">
        <v>296</v>
      </c>
      <c r="D8" s="159" t="s">
        <v>312</v>
      </c>
      <c r="E8" s="159" t="s">
        <v>417</v>
      </c>
      <c r="F8" s="159" t="s">
        <v>311</v>
      </c>
      <c r="G8" s="159" t="s">
        <v>416</v>
      </c>
      <c r="I8" s="158" t="s">
        <v>296</v>
      </c>
      <c r="J8" s="159" t="s">
        <v>316</v>
      </c>
      <c r="K8" s="159" t="s">
        <v>317</v>
      </c>
      <c r="L8" s="159" t="s">
        <v>318</v>
      </c>
      <c r="N8" s="158" t="s">
        <v>296</v>
      </c>
      <c r="O8" s="159" t="s">
        <v>312</v>
      </c>
      <c r="P8" s="159" t="s">
        <v>417</v>
      </c>
      <c r="Q8" s="159" t="s">
        <v>311</v>
      </c>
      <c r="R8" s="159" t="s">
        <v>416</v>
      </c>
      <c r="T8" s="158" t="s">
        <v>296</v>
      </c>
      <c r="U8" s="159" t="s">
        <v>316</v>
      </c>
      <c r="V8" s="159" t="s">
        <v>317</v>
      </c>
      <c r="W8" s="159" t="s">
        <v>318</v>
      </c>
      <c r="Y8" s="130" t="s">
        <v>17</v>
      </c>
      <c r="Z8" s="131" t="s">
        <v>599</v>
      </c>
      <c r="AA8" s="131" t="s">
        <v>597</v>
      </c>
      <c r="AB8" s="131" t="s">
        <v>598</v>
      </c>
      <c r="AC8" s="169" t="s">
        <v>620</v>
      </c>
      <c r="AD8" s="131" t="s">
        <v>600</v>
      </c>
      <c r="AE8" s="131" t="s">
        <v>605</v>
      </c>
      <c r="AF8" s="131" t="s">
        <v>601</v>
      </c>
      <c r="AG8" s="131" t="s">
        <v>606</v>
      </c>
      <c r="AH8" s="169" t="s">
        <v>695</v>
      </c>
      <c r="AI8" s="131" t="s">
        <v>602</v>
      </c>
      <c r="AJ8" s="169" t="s">
        <v>709</v>
      </c>
      <c r="AK8" s="169" t="s">
        <v>710</v>
      </c>
      <c r="AL8" s="131" t="s">
        <v>603</v>
      </c>
      <c r="AM8" s="131" t="s">
        <v>604</v>
      </c>
    </row>
    <row r="9" spans="1:39">
      <c r="A9" s="29" t="str">
        <f>INDEX('OS-Machine Info'!$B:$B,MATCH(C9,'OS-Machine Info'!$A:$A,0))</f>
        <v>TestDC</v>
      </c>
      <c r="B9" s="29">
        <f>INDEX('Node Information'!J:$J,MATCH(C9,'Node Information'!$A:$A,0))</f>
        <v>6.5428240740740704E-2</v>
      </c>
      <c r="C9" s="4" t="s">
        <v>49</v>
      </c>
      <c r="D9" s="5">
        <v>0</v>
      </c>
      <c r="E9" s="5">
        <v>0</v>
      </c>
      <c r="F9" s="5">
        <v>0</v>
      </c>
      <c r="G9" s="5">
        <v>0</v>
      </c>
      <c r="H9" s="5"/>
      <c r="I9" s="4" t="s">
        <v>49</v>
      </c>
      <c r="J9" s="5">
        <v>1205474744</v>
      </c>
      <c r="K9" s="5">
        <v>0</v>
      </c>
      <c r="L9" s="5">
        <v>0</v>
      </c>
      <c r="N9" s="4" t="s">
        <v>49</v>
      </c>
      <c r="O9" s="5">
        <v>1</v>
      </c>
      <c r="P9" s="5">
        <v>0.5</v>
      </c>
      <c r="Q9" s="5">
        <v>0</v>
      </c>
      <c r="R9" s="5">
        <v>0</v>
      </c>
      <c r="S9" s="5"/>
      <c r="T9" s="4" t="s">
        <v>49</v>
      </c>
      <c r="U9" s="5">
        <v>20378954531</v>
      </c>
      <c r="V9" s="5">
        <v>0</v>
      </c>
      <c r="W9" s="5">
        <v>0</v>
      </c>
      <c r="Y9" s="4" t="s">
        <v>49</v>
      </c>
      <c r="Z9" s="5">
        <v>2</v>
      </c>
      <c r="AA9" s="129">
        <v>4.9768518518518521E-4</v>
      </c>
      <c r="AB9" s="129">
        <v>3.3564814814814818E-4</v>
      </c>
      <c r="AC9" s="5"/>
      <c r="AD9" s="5">
        <v>3</v>
      </c>
      <c r="AE9" s="5"/>
      <c r="AF9" s="5">
        <v>0</v>
      </c>
      <c r="AG9" s="5">
        <v>1</v>
      </c>
      <c r="AH9" s="5">
        <v>358</v>
      </c>
      <c r="AI9" s="5">
        <v>0</v>
      </c>
      <c r="AJ9" s="5">
        <v>249</v>
      </c>
      <c r="AK9" s="5">
        <v>3464</v>
      </c>
      <c r="AL9" s="5">
        <v>1</v>
      </c>
      <c r="AM9" s="5"/>
    </row>
    <row r="10" spans="1:39">
      <c r="C10" s="4" t="s">
        <v>18</v>
      </c>
      <c r="D10" s="5">
        <v>0</v>
      </c>
      <c r="E10" s="5">
        <v>0</v>
      </c>
      <c r="F10" s="5">
        <v>0</v>
      </c>
      <c r="G10" s="5">
        <v>0</v>
      </c>
      <c r="H10" s="5"/>
      <c r="I10" s="4" t="s">
        <v>18</v>
      </c>
      <c r="J10" s="5">
        <v>1205474744</v>
      </c>
      <c r="K10" s="5">
        <v>0</v>
      </c>
      <c r="L10" s="5">
        <v>0</v>
      </c>
      <c r="N10" s="4" t="s">
        <v>18</v>
      </c>
      <c r="O10" s="5">
        <v>1</v>
      </c>
      <c r="P10" s="5">
        <v>0.5</v>
      </c>
      <c r="Q10" s="5">
        <v>0</v>
      </c>
      <c r="R10" s="5">
        <v>0</v>
      </c>
      <c r="S10" s="5"/>
      <c r="T10" s="4" t="s">
        <v>18</v>
      </c>
      <c r="U10" s="5">
        <v>20378954531</v>
      </c>
      <c r="V10" s="5">
        <v>0</v>
      </c>
      <c r="W10" s="5">
        <v>0</v>
      </c>
      <c r="Y10" s="4" t="s">
        <v>498</v>
      </c>
      <c r="Z10" s="5"/>
      <c r="AA10" s="129"/>
      <c r="AB10" s="129"/>
      <c r="AC10" s="5"/>
      <c r="AD10" s="5"/>
      <c r="AE10" s="5"/>
      <c r="AF10" s="5"/>
      <c r="AG10" s="5"/>
      <c r="AH10" s="5"/>
      <c r="AI10" s="5"/>
      <c r="AJ10" s="5"/>
      <c r="AK10" s="5"/>
      <c r="AL10" s="5"/>
      <c r="AM10" s="5"/>
    </row>
    <row r="11" spans="1:39">
      <c r="Y11" s="4" t="s">
        <v>18</v>
      </c>
      <c r="Z11" s="5">
        <v>2</v>
      </c>
      <c r="AA11" s="129">
        <v>4.9768518518518521E-4</v>
      </c>
      <c r="AB11" s="129">
        <v>3.3564814814814818E-4</v>
      </c>
      <c r="AC11" s="5"/>
      <c r="AD11" s="5">
        <v>3</v>
      </c>
      <c r="AE11" s="5"/>
      <c r="AF11" s="5">
        <v>0</v>
      </c>
      <c r="AG11" s="5">
        <v>1</v>
      </c>
      <c r="AH11" s="5">
        <v>358</v>
      </c>
      <c r="AI11" s="5">
        <v>0</v>
      </c>
      <c r="AJ11" s="5">
        <v>249</v>
      </c>
      <c r="AK11" s="5">
        <v>3464</v>
      </c>
      <c r="AL11" s="5">
        <v>1</v>
      </c>
      <c r="AM11" s="5"/>
    </row>
    <row r="12" spans="1:39">
      <c r="AB12"/>
      <c r="AC12"/>
    </row>
    <row r="13" spans="1:39">
      <c r="AB13"/>
      <c r="AC13"/>
    </row>
    <row r="14" spans="1:39">
      <c r="AB14"/>
      <c r="AC14"/>
    </row>
    <row r="15" spans="1:39">
      <c r="AB15"/>
      <c r="AC15"/>
    </row>
  </sheetData>
  <mergeCells count="3">
    <mergeCell ref="C4:L4"/>
    <mergeCell ref="N4:W4"/>
    <mergeCell ref="Y4:AK4"/>
  </mergeCells>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heetViews>
  <sheetFormatPr defaultRowHeight="14.4"/>
  <cols>
    <col min="1" max="1" width="11.33203125" customWidth="1"/>
    <col min="2" max="2" width="10.77734375" customWidth="1"/>
    <col min="3" max="3" width="23.33203125" customWidth="1"/>
    <col min="4" max="4" width="4.6640625" customWidth="1"/>
    <col min="5" max="5" width="10.77734375" customWidth="1"/>
    <col min="6" max="6" width="25.33203125" customWidth="1"/>
    <col min="7" max="7" width="3.44140625" customWidth="1"/>
    <col min="8" max="8" width="10.77734375" customWidth="1"/>
    <col min="9" max="9" width="19.88671875" customWidth="1"/>
    <col min="10" max="10" width="7" style="86" customWidth="1"/>
    <col min="11" max="11" width="11.44140625" style="86" customWidth="1"/>
    <col min="12" max="12" width="25.5546875" style="86" customWidth="1"/>
    <col min="13" max="13" width="10.109375" customWidth="1"/>
    <col min="14" max="14" width="10.77734375" customWidth="1"/>
    <col min="15" max="15" width="33.77734375" customWidth="1"/>
    <col min="16" max="16" width="12.21875" customWidth="1"/>
    <col min="17" max="17" width="13.109375" bestFit="1" customWidth="1"/>
    <col min="18" max="18" width="10.77734375" customWidth="1"/>
    <col min="19" max="19" width="30.21875" customWidth="1"/>
    <col min="20" max="20" width="12.21875" style="8" customWidth="1"/>
    <col min="22" max="22" width="10.77734375" customWidth="1"/>
    <col min="23" max="23" width="25" customWidth="1"/>
    <col min="24" max="24" width="15.88671875" customWidth="1"/>
    <col min="25" max="25" width="12.88671875" customWidth="1"/>
  </cols>
  <sheetData>
    <row r="1" spans="1:26" s="30" customFormat="1"/>
    <row r="2" spans="1:26" s="31" customFormat="1">
      <c r="A2" s="30"/>
      <c r="B2" s="197" t="s">
        <v>147</v>
      </c>
      <c r="C2" s="194"/>
      <c r="D2" s="194"/>
      <c r="E2" s="194"/>
      <c r="F2" s="194"/>
      <c r="G2" s="194"/>
      <c r="H2" s="194"/>
      <c r="I2" s="198"/>
      <c r="J2" s="86"/>
      <c r="K2" s="187" t="s">
        <v>365</v>
      </c>
      <c r="L2" s="171"/>
      <c r="M2" s="57"/>
      <c r="N2" s="187" t="s">
        <v>377</v>
      </c>
      <c r="O2" s="171"/>
      <c r="P2" s="171"/>
      <c r="Q2" s="171"/>
      <c r="R2" s="171"/>
      <c r="S2" s="171"/>
      <c r="T2" s="171"/>
      <c r="U2" s="171"/>
      <c r="V2" s="171"/>
      <c r="W2" s="171"/>
      <c r="X2" s="171"/>
      <c r="Y2" s="171"/>
    </row>
    <row r="3" spans="1:26" s="31" customFormat="1">
      <c r="A3" s="30"/>
      <c r="B3" s="164" t="s">
        <v>150</v>
      </c>
      <c r="C3" s="165" t="s">
        <v>16</v>
      </c>
      <c r="D3" s="55"/>
      <c r="E3" s="164" t="s">
        <v>150</v>
      </c>
      <c r="F3" s="165" t="s">
        <v>16</v>
      </c>
      <c r="G3" s="55"/>
      <c r="H3" s="164" t="s">
        <v>150</v>
      </c>
      <c r="I3" s="165" t="s">
        <v>16</v>
      </c>
      <c r="J3" s="86"/>
      <c r="K3" s="155" t="s">
        <v>150</v>
      </c>
      <c r="L3" s="156" t="s">
        <v>365</v>
      </c>
      <c r="M3" s="57"/>
      <c r="N3" s="164" t="s">
        <v>0</v>
      </c>
      <c r="O3" s="165" t="s">
        <v>16</v>
      </c>
      <c r="R3" s="164" t="s">
        <v>0</v>
      </c>
      <c r="S3" s="165" t="s">
        <v>16</v>
      </c>
      <c r="T3" s="34"/>
      <c r="V3" s="164" t="s">
        <v>0</v>
      </c>
      <c r="W3" s="165" t="s">
        <v>16</v>
      </c>
    </row>
    <row r="4" spans="1:26">
      <c r="A4" s="30"/>
      <c r="B4" s="164" t="s">
        <v>0</v>
      </c>
      <c r="C4" s="165" t="s">
        <v>16</v>
      </c>
      <c r="D4" s="33"/>
      <c r="E4" s="164" t="s">
        <v>0</v>
      </c>
      <c r="F4" s="165" t="s">
        <v>16</v>
      </c>
      <c r="G4" s="33"/>
      <c r="H4" s="164" t="s">
        <v>0</v>
      </c>
      <c r="I4" s="165" t="s">
        <v>16</v>
      </c>
      <c r="K4" s="155" t="s">
        <v>0</v>
      </c>
      <c r="L4" s="156" t="s">
        <v>16</v>
      </c>
      <c r="N4" s="164" t="s">
        <v>1</v>
      </c>
      <c r="O4" s="165" t="s">
        <v>16</v>
      </c>
      <c r="Q4" s="8"/>
      <c r="R4" s="164" t="s">
        <v>1</v>
      </c>
      <c r="S4" s="165" t="s">
        <v>16</v>
      </c>
      <c r="T4"/>
      <c r="V4" s="164" t="s">
        <v>1</v>
      </c>
      <c r="W4" s="165" t="s">
        <v>16</v>
      </c>
      <c r="Z4" s="8"/>
    </row>
    <row r="5" spans="1:26">
      <c r="A5" s="30"/>
      <c r="B5" s="164" t="s">
        <v>1</v>
      </c>
      <c r="C5" s="165" t="s">
        <v>16</v>
      </c>
      <c r="D5" s="33"/>
      <c r="E5" s="164" t="s">
        <v>1</v>
      </c>
      <c r="F5" s="165" t="s">
        <v>16</v>
      </c>
      <c r="G5" s="33"/>
      <c r="H5" s="164" t="s">
        <v>1</v>
      </c>
      <c r="I5" s="165" t="s">
        <v>16</v>
      </c>
      <c r="K5" s="155" t="s">
        <v>1</v>
      </c>
      <c r="L5" s="156" t="s">
        <v>16</v>
      </c>
      <c r="N5" s="164" t="s">
        <v>52</v>
      </c>
      <c r="O5" s="165" t="s">
        <v>16</v>
      </c>
      <c r="Q5" s="8"/>
      <c r="R5" s="164" t="s">
        <v>52</v>
      </c>
      <c r="S5" s="165" t="s">
        <v>16</v>
      </c>
      <c r="T5"/>
      <c r="V5" s="164" t="s">
        <v>52</v>
      </c>
      <c r="W5" s="165" t="s">
        <v>16</v>
      </c>
      <c r="Z5" s="8"/>
    </row>
    <row r="6" spans="1:26">
      <c r="A6" s="30"/>
      <c r="B6" s="164" t="s">
        <v>3</v>
      </c>
      <c r="C6" s="165" t="s">
        <v>109</v>
      </c>
      <c r="D6" s="33"/>
      <c r="E6" s="164" t="s">
        <v>3</v>
      </c>
      <c r="F6" s="165" t="s">
        <v>143</v>
      </c>
      <c r="G6" s="33"/>
      <c r="H6" s="164" t="s">
        <v>3</v>
      </c>
      <c r="I6" s="165" t="s">
        <v>112</v>
      </c>
      <c r="K6" s="155" t="s">
        <v>3</v>
      </c>
      <c r="L6" s="156" t="s">
        <v>109</v>
      </c>
      <c r="N6" s="164" t="s">
        <v>3</v>
      </c>
      <c r="O6" s="165" t="s">
        <v>13</v>
      </c>
      <c r="Q6" s="8"/>
      <c r="R6" s="164" t="s">
        <v>3</v>
      </c>
      <c r="S6" s="165" t="s">
        <v>14</v>
      </c>
      <c r="T6"/>
      <c r="V6" s="164" t="s">
        <v>3</v>
      </c>
      <c r="W6" s="165" t="s">
        <v>8</v>
      </c>
      <c r="Z6" s="8"/>
    </row>
    <row r="7" spans="1:26">
      <c r="A7" s="30"/>
      <c r="Q7" s="8"/>
      <c r="T7"/>
      <c r="Z7" s="8"/>
    </row>
    <row r="8" spans="1:26" ht="28.8">
      <c r="A8" s="24" t="s">
        <v>330</v>
      </c>
      <c r="B8" s="164" t="s">
        <v>2</v>
      </c>
      <c r="C8" t="s">
        <v>439</v>
      </c>
      <c r="E8" s="164" t="s">
        <v>2</v>
      </c>
      <c r="F8" s="32" t="s">
        <v>388</v>
      </c>
      <c r="H8" s="164" t="s">
        <v>2</v>
      </c>
      <c r="I8" s="32" t="s">
        <v>440</v>
      </c>
      <c r="J8" s="32"/>
      <c r="K8" s="155" t="s">
        <v>2</v>
      </c>
      <c r="L8" t="s">
        <v>439</v>
      </c>
      <c r="N8" s="164" t="s">
        <v>2</v>
      </c>
      <c r="O8" s="32" t="s">
        <v>385</v>
      </c>
      <c r="P8" s="32" t="s">
        <v>415</v>
      </c>
      <c r="Q8" s="8"/>
      <c r="R8" s="164" t="s">
        <v>2</v>
      </c>
      <c r="S8" s="32" t="s">
        <v>386</v>
      </c>
      <c r="T8" s="32" t="s">
        <v>419</v>
      </c>
      <c r="V8" s="164" t="s">
        <v>2</v>
      </c>
      <c r="W8" s="165"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56">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heetViews>
  <sheetFormatPr defaultRowHeight="14.4"/>
  <cols>
    <col min="1" max="1" width="14.109375" style="154" customWidth="1"/>
    <col min="2" max="2" width="10.77734375" customWidth="1"/>
    <col min="3" max="3" width="23.33203125" customWidth="1"/>
    <col min="4" max="4" width="4.6640625" customWidth="1"/>
    <col min="5" max="5" width="10.77734375" customWidth="1"/>
    <col min="6" max="6" width="25.33203125" customWidth="1"/>
    <col min="7" max="7" width="3.44140625" customWidth="1"/>
    <col min="8" max="8" width="10.77734375" customWidth="1"/>
    <col min="9" max="9" width="19.88671875" customWidth="1"/>
    <col min="10" max="10" width="8" style="86" customWidth="1"/>
    <col min="11" max="11" width="11.44140625" style="86" customWidth="1"/>
    <col min="12" max="12" width="25.5546875" style="86" customWidth="1"/>
    <col min="13" max="13" width="11" customWidth="1"/>
    <col min="14" max="14" width="10.77734375" customWidth="1"/>
    <col min="15" max="15" width="33.77734375" customWidth="1"/>
    <col min="16" max="16" width="13.88671875" customWidth="1"/>
    <col min="17" max="17" width="13.109375" bestFit="1" customWidth="1"/>
    <col min="18" max="18" width="10.77734375" customWidth="1"/>
    <col min="19" max="19" width="30.21875" customWidth="1"/>
    <col min="20" max="20" width="12.21875" style="8" customWidth="1"/>
    <col min="22" max="22" width="10.77734375" customWidth="1"/>
    <col min="23" max="23" width="25" customWidth="1"/>
    <col min="24" max="24" width="15.88671875" customWidth="1"/>
    <col min="25" max="25" width="12.88671875" customWidth="1"/>
  </cols>
  <sheetData>
    <row r="1" spans="1:36" s="52" customFormat="1">
      <c r="A1" s="31"/>
      <c r="B1" s="197" t="s">
        <v>387</v>
      </c>
      <c r="C1" s="194"/>
      <c r="D1" s="194"/>
      <c r="E1" s="194"/>
      <c r="F1" s="194"/>
      <c r="G1" s="194"/>
      <c r="H1" s="194"/>
      <c r="I1" s="198"/>
      <c r="J1" s="86"/>
      <c r="K1" s="187" t="s">
        <v>365</v>
      </c>
      <c r="L1" s="188"/>
      <c r="M1" s="86"/>
      <c r="N1" s="199" t="s">
        <v>377</v>
      </c>
      <c r="O1" s="188"/>
      <c r="P1" s="188"/>
      <c r="Q1" s="188"/>
      <c r="R1" s="188"/>
      <c r="S1" s="188"/>
      <c r="T1" s="188"/>
      <c r="U1" s="188"/>
      <c r="V1" s="188"/>
      <c r="W1" s="188"/>
      <c r="X1" s="188"/>
      <c r="Y1" s="188"/>
    </row>
    <row r="2" spans="1:36">
      <c r="A2" s="31"/>
      <c r="B2" s="164" t="s">
        <v>150</v>
      </c>
      <c r="C2" s="165" t="s">
        <v>16</v>
      </c>
      <c r="D2" s="55"/>
      <c r="E2" s="164" t="s">
        <v>150</v>
      </c>
      <c r="F2" s="165" t="s">
        <v>16</v>
      </c>
      <c r="G2" s="55"/>
      <c r="H2" s="164" t="s">
        <v>150</v>
      </c>
      <c r="I2" s="165" t="s">
        <v>16</v>
      </c>
      <c r="K2" s="155" t="s">
        <v>150</v>
      </c>
      <c r="L2" s="156" t="s">
        <v>365</v>
      </c>
      <c r="M2" s="86"/>
      <c r="N2" s="164" t="s">
        <v>0</v>
      </c>
      <c r="O2" s="165" t="s">
        <v>16</v>
      </c>
      <c r="P2" s="31"/>
      <c r="Q2" s="31"/>
      <c r="R2" s="164" t="s">
        <v>0</v>
      </c>
      <c r="S2" s="165" t="s">
        <v>16</v>
      </c>
      <c r="T2" s="31"/>
      <c r="U2" s="31"/>
      <c r="V2" s="164" t="s">
        <v>0</v>
      </c>
      <c r="W2" s="165" t="s">
        <v>16</v>
      </c>
      <c r="X2" s="86"/>
      <c r="Y2" s="86"/>
      <c r="Z2" s="86"/>
      <c r="AA2" s="86"/>
      <c r="AB2" s="86"/>
      <c r="AC2" s="86"/>
      <c r="AD2" s="86"/>
      <c r="AE2" s="86"/>
      <c r="AF2" s="86"/>
      <c r="AG2" s="86"/>
      <c r="AH2" s="86"/>
      <c r="AI2" s="86"/>
      <c r="AJ2" s="86"/>
    </row>
    <row r="3" spans="1:36" s="31" customFormat="1">
      <c r="B3" s="164" t="s">
        <v>0</v>
      </c>
      <c r="C3" s="165" t="s">
        <v>16</v>
      </c>
      <c r="E3" s="164" t="s">
        <v>0</v>
      </c>
      <c r="F3" s="165" t="s">
        <v>16</v>
      </c>
      <c r="H3" s="164" t="s">
        <v>0</v>
      </c>
      <c r="I3" s="165" t="s">
        <v>16</v>
      </c>
      <c r="J3" s="86"/>
      <c r="K3" s="155" t="s">
        <v>0</v>
      </c>
      <c r="L3" s="156" t="s">
        <v>16</v>
      </c>
      <c r="M3" s="86"/>
      <c r="N3" s="164" t="s">
        <v>1</v>
      </c>
      <c r="O3" s="165" t="s">
        <v>16</v>
      </c>
      <c r="R3" s="164" t="s">
        <v>1</v>
      </c>
      <c r="S3" s="165" t="s">
        <v>16</v>
      </c>
      <c r="T3" s="34"/>
      <c r="V3" s="164" t="s">
        <v>1</v>
      </c>
      <c r="W3" s="165" t="s">
        <v>16</v>
      </c>
      <c r="X3" s="86"/>
      <c r="Y3" s="86"/>
      <c r="Z3" s="86"/>
      <c r="AA3" s="86"/>
      <c r="AB3" s="86"/>
      <c r="AC3" s="86"/>
      <c r="AD3" s="86"/>
      <c r="AE3" s="86"/>
      <c r="AF3" s="86"/>
      <c r="AG3" s="86"/>
      <c r="AH3" s="86"/>
      <c r="AI3" s="86"/>
      <c r="AJ3" s="86"/>
    </row>
    <row r="4" spans="1:36">
      <c r="A4" s="31"/>
      <c r="B4" s="164" t="s">
        <v>1</v>
      </c>
      <c r="C4" s="165" t="s">
        <v>16</v>
      </c>
      <c r="D4" s="33"/>
      <c r="E4" s="164" t="s">
        <v>1</v>
      </c>
      <c r="F4" s="165" t="s">
        <v>16</v>
      </c>
      <c r="G4" s="33"/>
      <c r="H4" s="164" t="s">
        <v>1</v>
      </c>
      <c r="I4" s="165" t="s">
        <v>16</v>
      </c>
      <c r="K4" s="155" t="s">
        <v>1</v>
      </c>
      <c r="L4" s="156" t="s">
        <v>16</v>
      </c>
      <c r="N4" s="164" t="s">
        <v>2</v>
      </c>
      <c r="O4" s="165" t="s">
        <v>16</v>
      </c>
      <c r="Q4" s="8"/>
      <c r="R4" s="164" t="s">
        <v>2</v>
      </c>
      <c r="S4" s="165" t="s">
        <v>16</v>
      </c>
      <c r="T4"/>
      <c r="V4" s="164" t="s">
        <v>2</v>
      </c>
      <c r="W4" s="165" t="s">
        <v>16</v>
      </c>
      <c r="X4" s="86"/>
      <c r="Z4" s="86"/>
      <c r="AA4" s="86"/>
      <c r="AB4" s="86"/>
      <c r="AC4" s="86"/>
      <c r="AD4" s="86"/>
      <c r="AE4" s="86"/>
      <c r="AF4" s="86"/>
      <c r="AG4" s="86"/>
      <c r="AH4" s="86"/>
      <c r="AI4" s="86"/>
      <c r="AJ4" s="86"/>
    </row>
    <row r="5" spans="1:36">
      <c r="A5" s="31"/>
      <c r="B5" s="164" t="s">
        <v>2</v>
      </c>
      <c r="C5" s="165" t="s">
        <v>16</v>
      </c>
      <c r="D5" s="33"/>
      <c r="E5" s="164" t="s">
        <v>2</v>
      </c>
      <c r="F5" s="165" t="s">
        <v>16</v>
      </c>
      <c r="G5" s="33"/>
      <c r="H5" s="164" t="s">
        <v>2</v>
      </c>
      <c r="I5" s="165" t="s">
        <v>16</v>
      </c>
      <c r="K5" s="155" t="s">
        <v>2</v>
      </c>
      <c r="L5" s="156" t="s">
        <v>16</v>
      </c>
      <c r="N5" s="164" t="s">
        <v>52</v>
      </c>
      <c r="O5" s="165" t="s">
        <v>16</v>
      </c>
      <c r="Q5" s="8"/>
      <c r="R5" s="164" t="s">
        <v>52</v>
      </c>
      <c r="S5" s="165" t="s">
        <v>16</v>
      </c>
      <c r="T5"/>
      <c r="V5" s="164" t="s">
        <v>52</v>
      </c>
      <c r="W5" s="165" t="s">
        <v>16</v>
      </c>
      <c r="Z5" s="8"/>
    </row>
    <row r="6" spans="1:36">
      <c r="A6" s="31"/>
      <c r="B6" s="164" t="s">
        <v>3</v>
      </c>
      <c r="C6" s="165" t="s">
        <v>109</v>
      </c>
      <c r="D6" s="33"/>
      <c r="E6" s="164" t="s">
        <v>3</v>
      </c>
      <c r="F6" s="165" t="s">
        <v>143</v>
      </c>
      <c r="G6" s="33"/>
      <c r="H6" s="164" t="s">
        <v>3</v>
      </c>
      <c r="I6" s="165" t="s">
        <v>112</v>
      </c>
      <c r="K6" s="155" t="s">
        <v>3</v>
      </c>
      <c r="L6" s="156" t="s">
        <v>109</v>
      </c>
      <c r="N6" s="164" t="s">
        <v>3</v>
      </c>
      <c r="O6" s="165" t="s">
        <v>13</v>
      </c>
      <c r="Q6" s="8"/>
      <c r="R6" s="164" t="s">
        <v>3</v>
      </c>
      <c r="S6" s="165" t="s">
        <v>14</v>
      </c>
      <c r="T6"/>
      <c r="V6" s="164" t="s">
        <v>3</v>
      </c>
      <c r="W6" s="165" t="s">
        <v>8</v>
      </c>
      <c r="Z6" s="8"/>
    </row>
    <row r="7" spans="1:36">
      <c r="A7" s="31"/>
      <c r="Q7" s="8"/>
      <c r="T7"/>
      <c r="Z7" s="8"/>
    </row>
    <row r="8" spans="1:36" ht="28.8">
      <c r="A8" s="24" t="s">
        <v>699</v>
      </c>
      <c r="B8" s="164" t="s">
        <v>2</v>
      </c>
      <c r="C8" t="s">
        <v>385</v>
      </c>
      <c r="E8" s="164" t="s">
        <v>2</v>
      </c>
      <c r="F8" s="32" t="s">
        <v>388</v>
      </c>
      <c r="H8" s="164" t="s">
        <v>2</v>
      </c>
      <c r="I8" s="32" t="s">
        <v>386</v>
      </c>
      <c r="J8" s="32"/>
      <c r="K8" s="155" t="s">
        <v>2</v>
      </c>
      <c r="L8" t="s">
        <v>385</v>
      </c>
      <c r="N8" s="164" t="s">
        <v>2</v>
      </c>
      <c r="O8" s="32" t="s">
        <v>385</v>
      </c>
      <c r="P8" s="32" t="s">
        <v>386</v>
      </c>
      <c r="Q8" s="8"/>
      <c r="R8" s="164" t="s">
        <v>2</v>
      </c>
      <c r="S8" s="32" t="s">
        <v>386</v>
      </c>
      <c r="T8" s="32" t="s">
        <v>419</v>
      </c>
      <c r="V8" s="164" t="s">
        <v>2</v>
      </c>
      <c r="W8" s="165" t="s">
        <v>389</v>
      </c>
      <c r="X8" s="32" t="s">
        <v>390</v>
      </c>
      <c r="Y8" s="32" t="s">
        <v>420</v>
      </c>
      <c r="Z8" s="8"/>
    </row>
    <row r="9" spans="1:36">
      <c r="A9" s="29" t="str">
        <f>INDEX('OS-Machine Info'!$B:$B,MATCH(B9,'OS-Machine Info'!$A:$A,0))</f>
        <v>TestDC</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C10"/>
  <sheetViews>
    <sheetView workbookViewId="0"/>
  </sheetViews>
  <sheetFormatPr defaultRowHeight="14.4"/>
  <cols>
    <col min="1" max="1" width="14.109375" style="154" customWidth="1"/>
    <col min="2" max="2" width="15.88671875" customWidth="1"/>
    <col min="3" max="3" width="11.44140625" customWidth="1"/>
    <col min="4" max="4" width="37.5546875" customWidth="1"/>
    <col min="6" max="6" width="11.44140625" customWidth="1"/>
    <col min="7" max="7" width="18.6640625" customWidth="1"/>
    <col min="8" max="8" width="9.88671875" customWidth="1"/>
    <col min="9" max="9" width="11.44140625" customWidth="1"/>
    <col min="10" max="10" width="20.109375" customWidth="1"/>
    <col min="12" max="12" width="11.44140625" customWidth="1"/>
    <col min="13" max="13" width="27.109375" customWidth="1"/>
    <col min="14" max="14" width="18.88671875" customWidth="1"/>
    <col min="15" max="15" width="24.44140625" customWidth="1"/>
    <col min="16" max="16" width="4.5546875" customWidth="1"/>
    <col min="17" max="17" width="8.33203125" customWidth="1"/>
    <col min="18" max="18" width="7.33203125" customWidth="1"/>
    <col min="20" max="20" width="11.44140625" customWidth="1"/>
    <col min="21" max="21" width="23.109375" customWidth="1"/>
    <col min="22" max="23" width="18.88671875" customWidth="1"/>
    <col min="24" max="24" width="24.44140625" customWidth="1"/>
    <col min="25" max="25" width="5.5546875" customWidth="1"/>
    <col min="26" max="26" width="8.33203125" customWidth="1"/>
    <col min="27" max="27" width="7.33203125" customWidth="1"/>
  </cols>
  <sheetData>
    <row r="1" spans="1:29" s="45" customFormat="1">
      <c r="A1" s="31"/>
    </row>
    <row r="2" spans="1:29" s="45" customFormat="1">
      <c r="A2" s="31"/>
    </row>
    <row r="3" spans="1:29" s="45" customFormat="1">
      <c r="A3" s="31"/>
    </row>
    <row r="4" spans="1:29">
      <c r="A4" s="31"/>
      <c r="B4" s="45"/>
      <c r="C4" s="193" t="s">
        <v>490</v>
      </c>
      <c r="D4" s="188"/>
      <c r="E4" s="188"/>
      <c r="F4" s="188"/>
      <c r="G4" s="188"/>
      <c r="H4" s="188"/>
      <c r="I4" s="188"/>
      <c r="J4" s="188"/>
      <c r="K4" s="188"/>
      <c r="L4" s="188"/>
      <c r="M4" s="188"/>
      <c r="N4" s="188"/>
      <c r="O4" s="188"/>
      <c r="P4" s="188"/>
      <c r="Q4" s="188"/>
      <c r="R4" s="188"/>
      <c r="S4" s="188"/>
      <c r="T4" s="188"/>
      <c r="U4" s="188"/>
      <c r="V4" s="188"/>
      <c r="W4" s="188"/>
      <c r="X4" s="188"/>
      <c r="Y4" s="188"/>
      <c r="Z4" s="188"/>
      <c r="AA4" s="188"/>
      <c r="AB4" s="37"/>
      <c r="AC4" s="37"/>
    </row>
    <row r="5" spans="1:29">
      <c r="A5" s="31"/>
      <c r="B5" s="45"/>
      <c r="C5" s="158" t="s">
        <v>0</v>
      </c>
      <c r="D5" s="159" t="s">
        <v>16</v>
      </c>
      <c r="E5" s="33"/>
      <c r="F5" s="158" t="s">
        <v>0</v>
      </c>
      <c r="G5" s="159" t="s">
        <v>16</v>
      </c>
      <c r="H5" s="33"/>
      <c r="I5" s="158" t="s">
        <v>0</v>
      </c>
      <c r="J5" s="159" t="s">
        <v>16</v>
      </c>
      <c r="L5" s="158" t="s">
        <v>0</v>
      </c>
      <c r="M5" s="159" t="s">
        <v>16</v>
      </c>
      <c r="N5" s="200" t="s">
        <v>552</v>
      </c>
      <c r="O5" s="171"/>
      <c r="T5" s="158" t="s">
        <v>0</v>
      </c>
      <c r="U5" s="159" t="s">
        <v>16</v>
      </c>
      <c r="V5" s="200" t="s">
        <v>553</v>
      </c>
      <c r="W5" s="171"/>
      <c r="X5" s="171"/>
      <c r="Y5" s="109"/>
      <c r="Z5" s="109"/>
    </row>
    <row r="6" spans="1:29">
      <c r="A6" s="31"/>
      <c r="B6" s="45"/>
      <c r="C6" s="158" t="s">
        <v>3</v>
      </c>
      <c r="D6" s="159" t="s">
        <v>411</v>
      </c>
      <c r="E6" s="33"/>
      <c r="F6" s="158" t="s">
        <v>3</v>
      </c>
      <c r="G6" s="159" t="s">
        <v>145</v>
      </c>
      <c r="H6" s="33"/>
      <c r="I6" s="158" t="s">
        <v>3</v>
      </c>
      <c r="J6" s="159" t="s">
        <v>412</v>
      </c>
      <c r="L6" s="158" t="s">
        <v>3</v>
      </c>
      <c r="M6" s="159" t="s">
        <v>310</v>
      </c>
      <c r="T6" s="158" t="s">
        <v>3</v>
      </c>
      <c r="U6" s="159" t="s">
        <v>310</v>
      </c>
      <c r="V6" s="109"/>
      <c r="W6" s="109"/>
      <c r="X6" s="109"/>
      <c r="Y6" s="109"/>
      <c r="Z6" s="109"/>
    </row>
    <row r="7" spans="1:29">
      <c r="A7" s="31"/>
      <c r="B7" s="45"/>
      <c r="L7" s="107"/>
      <c r="M7" s="107"/>
      <c r="T7" s="109"/>
      <c r="U7" s="109"/>
      <c r="V7" s="109"/>
      <c r="W7" s="109"/>
      <c r="X7" s="109"/>
      <c r="Y7" s="109"/>
      <c r="Z7" s="109"/>
    </row>
    <row r="8" spans="1:29">
      <c r="A8" s="24" t="s">
        <v>699</v>
      </c>
      <c r="B8" s="46" t="s">
        <v>304</v>
      </c>
      <c r="C8" s="158" t="s">
        <v>296</v>
      </c>
      <c r="D8" t="s">
        <v>338</v>
      </c>
      <c r="F8" s="158" t="s">
        <v>296</v>
      </c>
      <c r="G8" t="s">
        <v>345</v>
      </c>
      <c r="I8" s="158" t="s">
        <v>296</v>
      </c>
      <c r="J8" t="s">
        <v>303</v>
      </c>
      <c r="L8" s="158" t="s">
        <v>296</v>
      </c>
      <c r="M8" s="159" t="s">
        <v>549</v>
      </c>
      <c r="N8" s="159" t="s">
        <v>550</v>
      </c>
      <c r="O8" s="159" t="s">
        <v>551</v>
      </c>
      <c r="P8" s="159" t="s">
        <v>357</v>
      </c>
      <c r="Q8" s="159" t="s">
        <v>249</v>
      </c>
      <c r="R8" s="159" t="s">
        <v>537</v>
      </c>
      <c r="T8" s="158" t="s">
        <v>296</v>
      </c>
      <c r="U8" s="159" t="s">
        <v>554</v>
      </c>
      <c r="V8" s="159" t="s">
        <v>550</v>
      </c>
      <c r="W8" s="159" t="s">
        <v>555</v>
      </c>
      <c r="X8" s="159" t="s">
        <v>551</v>
      </c>
      <c r="Y8" s="159" t="s">
        <v>357</v>
      </c>
      <c r="Z8" s="159" t="s">
        <v>249</v>
      </c>
      <c r="AA8" s="159" t="s">
        <v>537</v>
      </c>
    </row>
    <row r="9" spans="1:29">
      <c r="A9" s="29" t="str">
        <f>INDEX('OS-Machine Info'!$B:$B,MATCH(C9,'OS-Machine Info'!$A:$A,0))</f>
        <v>TestDC</v>
      </c>
      <c r="B9" s="47" t="str">
        <f>INDEX('OS-Machine Info'!$X:X,MATCH(C9,'OS-Machine Info'!$A:$A,0))</f>
        <v>GC-CMS</v>
      </c>
      <c r="C9" s="4" t="s">
        <v>49</v>
      </c>
      <c r="D9" s="5">
        <v>396</v>
      </c>
      <c r="E9" s="5"/>
      <c r="F9" s="4" t="s">
        <v>49</v>
      </c>
      <c r="G9" s="159">
        <v>368</v>
      </c>
      <c r="I9" s="4" t="s">
        <v>49</v>
      </c>
      <c r="J9" s="5">
        <v>240</v>
      </c>
      <c r="L9" s="4" t="s">
        <v>49</v>
      </c>
      <c r="M9" s="5">
        <v>1</v>
      </c>
      <c r="N9" s="5">
        <v>5</v>
      </c>
      <c r="O9" s="5">
        <v>357</v>
      </c>
      <c r="P9" s="5">
        <v>357</v>
      </c>
      <c r="Q9" s="5">
        <v>357</v>
      </c>
      <c r="R9" s="6">
        <v>0</v>
      </c>
      <c r="T9" s="4" t="s">
        <v>49</v>
      </c>
      <c r="U9" s="5">
        <v>1</v>
      </c>
      <c r="V9" s="5">
        <v>10</v>
      </c>
      <c r="W9" s="8">
        <v>26.34</v>
      </c>
      <c r="X9" s="5">
        <v>4500</v>
      </c>
      <c r="Y9" s="5">
        <v>4500</v>
      </c>
      <c r="Z9" s="5">
        <v>4500</v>
      </c>
      <c r="AA9" s="6">
        <v>0</v>
      </c>
    </row>
    <row r="10" spans="1:29">
      <c r="C10" s="4" t="s">
        <v>18</v>
      </c>
      <c r="D10" s="5">
        <v>396</v>
      </c>
      <c r="E10" s="5"/>
      <c r="F10" s="4" t="s">
        <v>18</v>
      </c>
      <c r="G10" s="159">
        <v>368</v>
      </c>
      <c r="I10" s="4" t="s">
        <v>18</v>
      </c>
      <c r="J10" s="5">
        <v>240</v>
      </c>
      <c r="L10" s="4" t="s">
        <v>18</v>
      </c>
      <c r="M10" s="5">
        <v>1</v>
      </c>
      <c r="N10" s="5">
        <v>5</v>
      </c>
      <c r="O10" s="5">
        <v>357</v>
      </c>
      <c r="P10" s="5">
        <v>357</v>
      </c>
      <c r="Q10" s="5">
        <v>357</v>
      </c>
      <c r="R10" s="6">
        <v>0</v>
      </c>
      <c r="T10" s="4" t="s">
        <v>18</v>
      </c>
      <c r="U10" s="5">
        <v>1</v>
      </c>
      <c r="V10" s="5">
        <v>10</v>
      </c>
      <c r="W10" s="8">
        <v>26.34</v>
      </c>
      <c r="X10" s="5">
        <v>4500</v>
      </c>
      <c r="Y10" s="5">
        <v>4500</v>
      </c>
      <c r="Z10" s="5">
        <v>4500</v>
      </c>
      <c r="AA10" s="6">
        <v>0</v>
      </c>
    </row>
  </sheetData>
  <mergeCells count="3">
    <mergeCell ref="N5:O5"/>
    <mergeCell ref="C4:AA4"/>
    <mergeCell ref="V5:X5"/>
  </mergeCells>
  <pageMargins left="0.7" right="0.7" top="0.75" bottom="0.75" header="0.3" footer="0.3"/>
  <pageSetup orientation="portrait"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54" customWidth="1"/>
    <col min="2" max="2" width="15.88671875" style="51" customWidth="1"/>
    <col min="3" max="3" width="11.44140625" style="51" customWidth="1"/>
    <col min="4" max="4" width="26.109375" style="51" customWidth="1"/>
    <col min="5" max="5" width="9.109375" style="51"/>
    <col min="6" max="6" width="11.44140625" style="51" customWidth="1"/>
    <col min="7" max="7" width="32.109375" style="51" customWidth="1"/>
    <col min="8" max="8" width="9.109375" style="51"/>
    <col min="9" max="9" width="11.44140625" style="51" customWidth="1"/>
    <col min="10" max="10" width="55.6640625" style="51" customWidth="1"/>
    <col min="11" max="11" width="9.109375" style="51"/>
    <col min="12" max="12" width="11.44140625" style="51" customWidth="1"/>
    <col min="13" max="13" width="35.88671875" style="51" customWidth="1"/>
    <col min="14" max="16384" width="9.109375" style="51"/>
  </cols>
  <sheetData>
    <row r="1" spans="1:13" s="45" customFormat="1">
      <c r="A1" s="31"/>
    </row>
    <row r="2" spans="1:13" s="45" customFormat="1">
      <c r="A2" s="31"/>
    </row>
    <row r="3" spans="1:13" s="45" customFormat="1">
      <c r="A3" s="31"/>
    </row>
    <row r="4" spans="1:13" s="45" customFormat="1">
      <c r="A4" s="31"/>
      <c r="C4" s="193" t="s">
        <v>301</v>
      </c>
      <c r="D4" s="188"/>
      <c r="E4" s="188"/>
      <c r="F4" s="188"/>
      <c r="G4" s="188"/>
      <c r="H4" s="188"/>
      <c r="I4" s="188"/>
      <c r="J4" s="188"/>
      <c r="K4" s="188"/>
      <c r="L4" s="188"/>
      <c r="M4" s="188"/>
    </row>
    <row r="5" spans="1:13">
      <c r="A5" s="31"/>
      <c r="B5" s="45"/>
      <c r="C5" s="158" t="s">
        <v>0</v>
      </c>
      <c r="D5" s="159" t="s">
        <v>16</v>
      </c>
      <c r="E5" s="33"/>
      <c r="F5" s="158" t="s">
        <v>0</v>
      </c>
      <c r="G5" s="159" t="s">
        <v>16</v>
      </c>
      <c r="H5" s="33"/>
      <c r="I5" s="158" t="s">
        <v>0</v>
      </c>
      <c r="J5" s="159" t="s">
        <v>16</v>
      </c>
      <c r="L5" s="158" t="s">
        <v>0</v>
      </c>
      <c r="M5" s="159" t="s">
        <v>16</v>
      </c>
    </row>
    <row r="6" spans="1:13">
      <c r="A6" s="31"/>
      <c r="B6" s="45"/>
      <c r="C6" s="158" t="s">
        <v>3</v>
      </c>
      <c r="D6" s="159" t="s">
        <v>351</v>
      </c>
      <c r="E6" s="33"/>
      <c r="F6" s="158" t="s">
        <v>3</v>
      </c>
      <c r="G6" s="159" t="s">
        <v>435</v>
      </c>
      <c r="H6" s="33"/>
      <c r="I6" s="158" t="s">
        <v>3</v>
      </c>
      <c r="J6" s="159" t="s">
        <v>464</v>
      </c>
      <c r="L6" s="158" t="s">
        <v>3</v>
      </c>
      <c r="M6" s="159" t="s">
        <v>438</v>
      </c>
    </row>
    <row r="7" spans="1:13">
      <c r="A7" s="31"/>
      <c r="B7" s="45"/>
      <c r="C7" s="57"/>
      <c r="D7" s="57"/>
      <c r="F7" s="82"/>
      <c r="G7" s="82"/>
      <c r="I7" s="85"/>
      <c r="J7" s="85"/>
      <c r="L7" s="90"/>
      <c r="M7" s="90"/>
    </row>
    <row r="8" spans="1:13">
      <c r="A8" s="24" t="s">
        <v>699</v>
      </c>
      <c r="B8" s="46" t="s">
        <v>304</v>
      </c>
      <c r="C8" s="158" t="s">
        <v>296</v>
      </c>
      <c r="D8" t="s">
        <v>481</v>
      </c>
      <c r="F8" s="158" t="s">
        <v>296</v>
      </c>
      <c r="G8" t="s">
        <v>482</v>
      </c>
      <c r="I8" s="158" t="s">
        <v>296</v>
      </c>
      <c r="J8" t="s">
        <v>484</v>
      </c>
      <c r="L8" s="158" t="s">
        <v>296</v>
      </c>
      <c r="M8" t="s">
        <v>483</v>
      </c>
    </row>
    <row r="9" spans="1:13">
      <c r="A9" s="29" t="str">
        <f>INDEX('OS-Machine Info'!$B:$B,MATCH(C9,'OS-Machine Info'!$A:$A,0))</f>
        <v>TestDC</v>
      </c>
      <c r="B9" s="47" t="str">
        <f>INDEX('OS-Machine Info'!$X:X,MATCH(C9,'OS-Machine Info'!$A:$A,0))</f>
        <v>GC-CMS</v>
      </c>
      <c r="C9" s="4" t="s">
        <v>49</v>
      </c>
      <c r="D9" s="159">
        <v>2</v>
      </c>
      <c r="E9" s="5"/>
      <c r="F9" s="4" t="s">
        <v>49</v>
      </c>
      <c r="G9" s="159">
        <v>1</v>
      </c>
      <c r="H9" s="5"/>
      <c r="I9" s="4" t="s">
        <v>49</v>
      </c>
      <c r="J9" s="159">
        <v>3</v>
      </c>
      <c r="L9" s="4" t="s">
        <v>49</v>
      </c>
      <c r="M9" s="159">
        <v>1</v>
      </c>
    </row>
    <row r="10" spans="1:13">
      <c r="C10" s="4" t="s">
        <v>18</v>
      </c>
      <c r="D10" s="159">
        <v>2</v>
      </c>
      <c r="E10" s="5"/>
      <c r="F10" s="4" t="s">
        <v>18</v>
      </c>
      <c r="G10" s="159">
        <v>1</v>
      </c>
      <c r="H10" s="5"/>
      <c r="I10" s="4" t="s">
        <v>18</v>
      </c>
      <c r="J10" s="159">
        <v>3</v>
      </c>
      <c r="L10" s="4" t="s">
        <v>18</v>
      </c>
      <c r="M10" s="159">
        <v>1</v>
      </c>
    </row>
    <row r="11" spans="1:13">
      <c r="F11"/>
      <c r="G11"/>
    </row>
  </sheetData>
  <mergeCells count="1">
    <mergeCell ref="C4:M4"/>
  </mergeCells>
  <pageMargins left="0.7" right="0.7" top="0.75" bottom="0.75" header="0.3" footer="0.3"/>
  <pageSetup orientation="portrait" r:id="rId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9"/>
  <sheetViews>
    <sheetView workbookViewId="0">
      <selection activeCell="B4" sqref="B4"/>
    </sheetView>
  </sheetViews>
  <sheetFormatPr defaultColWidth="9.109375" defaultRowHeight="14.4"/>
  <cols>
    <col min="1" max="1" width="10.6640625" style="146" customWidth="1"/>
    <col min="2" max="2" width="32.88671875" style="146" customWidth="1"/>
    <col min="3" max="3" width="10.77734375" style="146" customWidth="1"/>
    <col min="4" max="4" width="26.77734375" style="146" customWidth="1"/>
    <col min="5" max="5" width="9.109375" style="146"/>
    <col min="6" max="6" width="10.77734375" style="146" customWidth="1"/>
    <col min="7" max="7" width="35.6640625" style="146" customWidth="1"/>
    <col min="8" max="8" width="9.109375" style="146"/>
    <col min="9" max="9" width="10.77734375" style="146" customWidth="1"/>
    <col min="10" max="10" width="35.33203125" style="146" customWidth="1"/>
    <col min="11" max="11" width="9.109375" style="146"/>
    <col min="12" max="12" width="10.77734375" style="146" customWidth="1"/>
    <col min="13" max="13" width="27.6640625" style="146" customWidth="1"/>
    <col min="14" max="14" width="9.109375" style="146"/>
    <col min="15" max="15" width="10.77734375" style="146" customWidth="1"/>
    <col min="16" max="16" width="31.33203125" style="146" customWidth="1"/>
    <col min="17" max="17" width="23.109375" style="146" customWidth="1"/>
    <col min="18" max="18" width="9.109375" style="146"/>
    <col min="19" max="19" width="12.5546875" style="146" customWidth="1"/>
    <col min="20" max="20" width="27.88671875" style="146" customWidth="1"/>
    <col min="21" max="21" width="9.109375" style="146"/>
    <col min="22" max="22" width="12.5546875" style="146" customWidth="1"/>
    <col min="23" max="23" width="27.44140625" style="146" customWidth="1"/>
    <col min="24" max="24" width="9.109375" style="146"/>
    <col min="25" max="25" width="12.5546875" style="146" customWidth="1"/>
    <col min="26" max="26" width="31.77734375" style="146" customWidth="1"/>
    <col min="27" max="27" width="9.109375" style="146"/>
    <col min="28" max="28" width="12.5546875" style="146" customWidth="1"/>
    <col min="29" max="29" width="31.21875" style="146" customWidth="1"/>
    <col min="30" max="16384" width="9.109375" style="146"/>
  </cols>
  <sheetData>
    <row r="1" spans="1:29" s="31" customFormat="1"/>
    <row r="2" spans="1:29" s="31" customFormat="1">
      <c r="C2" s="193" t="s">
        <v>301</v>
      </c>
      <c r="D2" s="188"/>
      <c r="E2" s="188"/>
      <c r="F2" s="188"/>
      <c r="G2" s="188"/>
      <c r="H2" s="188"/>
      <c r="I2" s="188"/>
      <c r="J2" s="188"/>
      <c r="K2" s="188"/>
      <c r="L2" s="188"/>
      <c r="M2" s="188"/>
      <c r="N2" s="188"/>
      <c r="O2" s="188"/>
      <c r="P2" s="188"/>
      <c r="Q2" s="188"/>
      <c r="R2" s="188"/>
      <c r="S2" s="188"/>
      <c r="T2" s="188"/>
      <c r="U2" s="188"/>
      <c r="V2" s="188"/>
      <c r="W2" s="188"/>
      <c r="X2" s="188"/>
      <c r="Y2" s="188"/>
      <c r="Z2" s="188"/>
      <c r="AA2" s="188"/>
      <c r="AB2" s="188"/>
      <c r="AC2" s="188"/>
    </row>
    <row r="3" spans="1:29">
      <c r="A3" s="30"/>
      <c r="B3" s="30"/>
      <c r="C3" s="164" t="s">
        <v>0</v>
      </c>
      <c r="D3" s="165" t="s">
        <v>16</v>
      </c>
      <c r="F3" s="164" t="s">
        <v>0</v>
      </c>
      <c r="G3" s="165" t="s">
        <v>16</v>
      </c>
      <c r="I3" s="164" t="s">
        <v>0</v>
      </c>
      <c r="J3" s="165" t="s">
        <v>16</v>
      </c>
      <c r="L3" s="164" t="s">
        <v>0</v>
      </c>
      <c r="M3" s="165" t="s">
        <v>16</v>
      </c>
      <c r="O3" s="164" t="s">
        <v>0</v>
      </c>
      <c r="P3" s="165" t="s">
        <v>16</v>
      </c>
      <c r="Q3" s="33"/>
      <c r="R3" s="33"/>
      <c r="S3" s="164" t="s">
        <v>0</v>
      </c>
      <c r="T3" s="165" t="s">
        <v>16</v>
      </c>
      <c r="U3" s="33"/>
      <c r="V3" s="164" t="s">
        <v>0</v>
      </c>
      <c r="W3" s="165" t="s">
        <v>16</v>
      </c>
      <c r="Y3" s="164" t="s">
        <v>0</v>
      </c>
      <c r="Z3" s="165" t="s">
        <v>16</v>
      </c>
      <c r="AB3" s="164" t="s">
        <v>0</v>
      </c>
      <c r="AC3" s="165" t="s">
        <v>16</v>
      </c>
    </row>
    <row r="4" spans="1:29">
      <c r="A4" s="30"/>
      <c r="B4" s="30"/>
      <c r="C4" s="164" t="s">
        <v>1</v>
      </c>
      <c r="D4" s="165" t="s">
        <v>16</v>
      </c>
      <c r="F4" s="164" t="s">
        <v>1</v>
      </c>
      <c r="G4" s="165" t="s">
        <v>16</v>
      </c>
      <c r="I4" s="164" t="s">
        <v>1</v>
      </c>
      <c r="J4" s="165" t="s">
        <v>16</v>
      </c>
      <c r="L4" s="164" t="s">
        <v>1</v>
      </c>
      <c r="M4" s="165" t="s">
        <v>16</v>
      </c>
      <c r="O4" s="164" t="s">
        <v>1</v>
      </c>
      <c r="P4" s="165" t="s">
        <v>16</v>
      </c>
      <c r="Q4" s="33"/>
      <c r="R4" s="33"/>
      <c r="S4" s="164" t="s">
        <v>1</v>
      </c>
      <c r="T4" s="165" t="s">
        <v>16</v>
      </c>
      <c r="U4" s="33"/>
      <c r="V4" s="164" t="s">
        <v>1</v>
      </c>
      <c r="W4" s="165" t="s">
        <v>16</v>
      </c>
      <c r="Y4" s="164" t="s">
        <v>1</v>
      </c>
      <c r="Z4" s="165" t="s">
        <v>16</v>
      </c>
      <c r="AB4" s="164" t="s">
        <v>1</v>
      </c>
      <c r="AC4" s="165" t="s">
        <v>16</v>
      </c>
    </row>
    <row r="5" spans="1:29">
      <c r="A5" s="30"/>
      <c r="B5" s="30"/>
      <c r="C5" s="164" t="s">
        <v>3</v>
      </c>
      <c r="D5" s="165" t="s">
        <v>654</v>
      </c>
      <c r="F5" s="164" t="s">
        <v>3</v>
      </c>
      <c r="G5" s="165" t="s">
        <v>655</v>
      </c>
      <c r="I5" s="164" t="s">
        <v>3</v>
      </c>
      <c r="J5" s="165" t="s">
        <v>657</v>
      </c>
      <c r="L5" s="164" t="s">
        <v>3</v>
      </c>
      <c r="M5" s="165" t="s">
        <v>656</v>
      </c>
      <c r="O5" s="164" t="s">
        <v>3</v>
      </c>
      <c r="P5" s="165" t="s">
        <v>651</v>
      </c>
      <c r="S5" s="164" t="s">
        <v>3</v>
      </c>
      <c r="T5" s="165" t="s">
        <v>652</v>
      </c>
      <c r="V5" s="164" t="s">
        <v>3</v>
      </c>
      <c r="W5" s="165" t="s">
        <v>662</v>
      </c>
      <c r="Y5" s="164" t="s">
        <v>3</v>
      </c>
      <c r="Z5" s="165" t="s">
        <v>659</v>
      </c>
      <c r="AB5" s="164" t="s">
        <v>3</v>
      </c>
      <c r="AC5" s="165" t="s">
        <v>661</v>
      </c>
    </row>
    <row r="6" spans="1:29">
      <c r="A6" s="30"/>
      <c r="B6" s="30"/>
    </row>
    <row r="7" spans="1:29">
      <c r="A7" s="24" t="s">
        <v>330</v>
      </c>
      <c r="B7" s="24" t="s">
        <v>94</v>
      </c>
      <c r="C7" s="164" t="s">
        <v>2</v>
      </c>
      <c r="D7" t="s">
        <v>295</v>
      </c>
      <c r="F7" s="164" t="s">
        <v>2</v>
      </c>
      <c r="G7" s="104" t="s">
        <v>664</v>
      </c>
      <c r="I7" s="164" t="s">
        <v>2</v>
      </c>
      <c r="J7" s="104" t="s">
        <v>665</v>
      </c>
      <c r="L7" s="164" t="s">
        <v>2</v>
      </c>
      <c r="M7" t="s">
        <v>307</v>
      </c>
      <c r="O7" s="164" t="s">
        <v>2</v>
      </c>
      <c r="P7" s="165" t="s">
        <v>341</v>
      </c>
      <c r="Q7" s="165" t="s">
        <v>415</v>
      </c>
      <c r="S7" s="164" t="s">
        <v>17</v>
      </c>
      <c r="T7" t="s">
        <v>303</v>
      </c>
      <c r="V7" s="164" t="s">
        <v>17</v>
      </c>
      <c r="W7" t="s">
        <v>666</v>
      </c>
      <c r="Y7" s="164" t="s">
        <v>17</v>
      </c>
      <c r="Z7" t="s">
        <v>667</v>
      </c>
      <c r="AB7" s="164" t="s">
        <v>17</v>
      </c>
      <c r="AC7" t="s">
        <v>668</v>
      </c>
    </row>
    <row r="8" spans="1:29">
      <c r="A8" s="23" t="str">
        <f>INDEX('DDL Tables'!$B:$B,MATCH(SUBSTITUTE(C8, " (index)",""),'DDL Tables'!$C:$C,0))</f>
        <v>TestKS</v>
      </c>
      <c r="B8" s="23" t="str">
        <f>INDEX('DDL Tables'!$F:$F,MATCH(SUBSTITUTE(C8," (index)", ""),'DDL Tables'!$C:$C,0))</f>
        <v>SizeTieredCompactionStrategy</v>
      </c>
      <c r="C8" s="4" t="s">
        <v>50</v>
      </c>
      <c r="D8" s="5">
        <v>12</v>
      </c>
      <c r="F8" s="4" t="s">
        <v>50</v>
      </c>
      <c r="G8" s="104">
        <v>7.89</v>
      </c>
      <c r="I8" s="4" t="s">
        <v>50</v>
      </c>
      <c r="J8" s="104">
        <v>1.23</v>
      </c>
      <c r="L8" s="4" t="s">
        <v>50</v>
      </c>
      <c r="M8" s="104">
        <v>3.45</v>
      </c>
      <c r="O8" s="4" t="s">
        <v>50</v>
      </c>
      <c r="P8" s="5">
        <v>123</v>
      </c>
      <c r="Q8" s="5">
        <v>0</v>
      </c>
      <c r="S8" s="4" t="s">
        <v>50</v>
      </c>
      <c r="T8" s="5">
        <v>54</v>
      </c>
      <c r="V8" s="4" t="s">
        <v>50</v>
      </c>
      <c r="W8" s="104">
        <v>23.45</v>
      </c>
      <c r="Y8" s="4" t="s">
        <v>50</v>
      </c>
      <c r="Z8" s="104">
        <v>12.43</v>
      </c>
      <c r="AB8" s="4" t="s">
        <v>50</v>
      </c>
      <c r="AC8" s="104">
        <v>2.34</v>
      </c>
    </row>
    <row r="9" spans="1:29">
      <c r="C9" s="4" t="s">
        <v>18</v>
      </c>
      <c r="D9" s="5">
        <v>12</v>
      </c>
      <c r="F9" s="4" t="s">
        <v>18</v>
      </c>
      <c r="G9" s="104">
        <v>7.89</v>
      </c>
      <c r="I9" s="4" t="s">
        <v>18</v>
      </c>
      <c r="J9" s="104">
        <v>1.23</v>
      </c>
      <c r="L9" s="4" t="s">
        <v>18</v>
      </c>
      <c r="M9" s="104">
        <v>3.45</v>
      </c>
      <c r="O9" s="4" t="s">
        <v>18</v>
      </c>
      <c r="P9" s="5">
        <v>123</v>
      </c>
      <c r="Q9" s="5">
        <v>0</v>
      </c>
      <c r="S9" s="4" t="s">
        <v>18</v>
      </c>
      <c r="T9" s="5">
        <v>54</v>
      </c>
      <c r="V9" s="4" t="s">
        <v>18</v>
      </c>
      <c r="W9" s="104">
        <v>23.45</v>
      </c>
      <c r="Y9" s="4" t="s">
        <v>18</v>
      </c>
      <c r="Z9" s="104">
        <v>12.43</v>
      </c>
      <c r="AB9" s="4" t="s">
        <v>18</v>
      </c>
      <c r="AC9" s="104">
        <v>2.34</v>
      </c>
    </row>
  </sheetData>
  <mergeCells count="1">
    <mergeCell ref="C2:AC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11"/>
  <sheetViews>
    <sheetView workbookViewId="0"/>
  </sheetViews>
  <sheetFormatPr defaultColWidth="9.109375" defaultRowHeight="14.4"/>
  <cols>
    <col min="1" max="1" width="14.109375" style="154" customWidth="1"/>
    <col min="2" max="2" width="10.6640625" style="154" customWidth="1"/>
    <col min="3" max="3" width="10.77734375" style="146" customWidth="1"/>
    <col min="4" max="4" width="26.77734375" style="146" customWidth="1"/>
    <col min="5" max="5" width="9.109375" style="146"/>
    <col min="6" max="6" width="10.77734375" style="146" customWidth="1"/>
    <col min="7" max="7" width="35.6640625" style="146" customWidth="1"/>
    <col min="8" max="8" width="9.109375" style="146"/>
    <col min="9" max="9" width="10.77734375" style="146" customWidth="1"/>
    <col min="10" max="10" width="35.33203125" style="146" customWidth="1"/>
    <col min="11" max="11" width="9.109375" style="146"/>
    <col min="12" max="12" width="10.77734375" style="146" customWidth="1"/>
    <col min="13" max="13" width="27.6640625" style="146" customWidth="1"/>
    <col min="14" max="14" width="7" style="147" customWidth="1"/>
    <col min="15" max="15" width="9.109375" style="146"/>
    <col min="16" max="16" width="10.77734375" style="146" customWidth="1"/>
    <col min="17" max="17" width="31.33203125" style="146" customWidth="1"/>
    <col min="18" max="18" width="23.109375" style="146" customWidth="1"/>
    <col min="19" max="19" width="9.109375" style="146"/>
    <col min="20" max="20" width="12.5546875" style="146" customWidth="1"/>
    <col min="21" max="21" width="27.88671875" style="146" customWidth="1"/>
    <col min="22" max="22" width="9.109375" style="146"/>
    <col min="23" max="23" width="12.5546875" style="146" customWidth="1"/>
    <col min="24" max="24" width="27.44140625" style="146" customWidth="1"/>
    <col min="25" max="25" width="9.109375" style="146"/>
    <col min="26" max="26" width="12.5546875" style="146" customWidth="1"/>
    <col min="27" max="27" width="31.77734375" style="146" customWidth="1"/>
    <col min="28" max="28" width="9.109375" style="146"/>
    <col min="29" max="29" width="12.5546875" style="146" customWidth="1"/>
    <col min="30" max="30" width="28.21875" style="146" customWidth="1"/>
    <col min="31" max="31" width="23.77734375" style="146" customWidth="1"/>
    <col min="32" max="16384" width="9.109375" style="146"/>
  </cols>
  <sheetData>
    <row r="1" spans="1:31" s="31" customFormat="1"/>
    <row r="2" spans="1:31" s="31" customFormat="1">
      <c r="C2" s="193" t="s">
        <v>301</v>
      </c>
      <c r="D2" s="188"/>
      <c r="E2" s="188"/>
      <c r="F2" s="188"/>
      <c r="G2" s="188"/>
      <c r="H2" s="188"/>
      <c r="I2" s="188"/>
      <c r="J2" s="188"/>
      <c r="K2" s="188"/>
      <c r="L2" s="188"/>
      <c r="M2" s="188"/>
      <c r="N2" s="188"/>
      <c r="O2" s="188"/>
      <c r="P2" s="188"/>
      <c r="Q2" s="188"/>
      <c r="R2" s="188"/>
      <c r="S2" s="188"/>
      <c r="T2" s="188"/>
      <c r="U2" s="188"/>
      <c r="V2" s="188"/>
      <c r="W2" s="188"/>
      <c r="X2" s="188"/>
      <c r="Y2" s="188"/>
      <c r="Z2" s="188"/>
      <c r="AA2" s="188"/>
      <c r="AB2" s="188"/>
      <c r="AC2" s="188"/>
      <c r="AD2" s="188"/>
    </row>
    <row r="3" spans="1:31" s="31" customFormat="1">
      <c r="C3" s="164" t="s">
        <v>0</v>
      </c>
      <c r="D3" s="165" t="s">
        <v>16</v>
      </c>
      <c r="E3" s="145"/>
      <c r="F3" s="164" t="s">
        <v>0</v>
      </c>
      <c r="G3" s="165" t="s">
        <v>16</v>
      </c>
      <c r="H3" s="145"/>
      <c r="I3" s="164" t="s">
        <v>0</v>
      </c>
      <c r="J3" s="165" t="s">
        <v>16</v>
      </c>
      <c r="K3" s="145"/>
      <c r="L3" s="164" t="s">
        <v>0</v>
      </c>
      <c r="M3" s="165" t="s">
        <v>16</v>
      </c>
      <c r="N3" s="147"/>
      <c r="O3" s="145"/>
      <c r="P3" s="164" t="s">
        <v>0</v>
      </c>
      <c r="Q3" s="165" t="s">
        <v>16</v>
      </c>
      <c r="R3" s="145"/>
      <c r="S3" s="145"/>
      <c r="T3" s="164" t="s">
        <v>0</v>
      </c>
      <c r="U3" s="165" t="s">
        <v>16</v>
      </c>
      <c r="V3" s="145"/>
      <c r="W3" s="164" t="s">
        <v>0</v>
      </c>
      <c r="X3" s="165" t="s">
        <v>16</v>
      </c>
      <c r="Y3" s="145"/>
      <c r="Z3" s="164" t="s">
        <v>0</v>
      </c>
      <c r="AA3" s="165" t="s">
        <v>16</v>
      </c>
      <c r="AB3" s="145"/>
      <c r="AC3" s="164" t="s">
        <v>0</v>
      </c>
      <c r="AD3" s="165" t="s">
        <v>16</v>
      </c>
    </row>
    <row r="4" spans="1:31">
      <c r="A4" s="31"/>
      <c r="B4" s="30"/>
      <c r="C4" s="164" t="s">
        <v>1</v>
      </c>
      <c r="D4" s="165" t="s">
        <v>16</v>
      </c>
      <c r="F4" s="164" t="s">
        <v>1</v>
      </c>
      <c r="G4" s="165" t="s">
        <v>16</v>
      </c>
      <c r="I4" s="164" t="s">
        <v>1</v>
      </c>
      <c r="J4" s="165" t="s">
        <v>16</v>
      </c>
      <c r="L4" s="164" t="s">
        <v>1</v>
      </c>
      <c r="M4" s="165" t="s">
        <v>16</v>
      </c>
      <c r="P4" s="164" t="s">
        <v>1</v>
      </c>
      <c r="Q4" s="165" t="s">
        <v>16</v>
      </c>
      <c r="R4" s="33"/>
      <c r="S4" s="33"/>
      <c r="T4" s="164" t="s">
        <v>1</v>
      </c>
      <c r="U4" s="165" t="s">
        <v>16</v>
      </c>
      <c r="V4" s="33"/>
      <c r="W4" s="164" t="s">
        <v>1</v>
      </c>
      <c r="X4" s="165" t="s">
        <v>16</v>
      </c>
      <c r="Z4" s="164" t="s">
        <v>1</v>
      </c>
      <c r="AA4" s="165" t="s">
        <v>16</v>
      </c>
      <c r="AC4" s="164" t="s">
        <v>1</v>
      </c>
      <c r="AD4" s="165" t="s">
        <v>16</v>
      </c>
    </row>
    <row r="5" spans="1:31">
      <c r="A5" s="31"/>
      <c r="B5" s="30"/>
      <c r="C5" s="164" t="s">
        <v>2</v>
      </c>
      <c r="D5" s="165" t="s">
        <v>16</v>
      </c>
      <c r="F5" s="164" t="s">
        <v>2</v>
      </c>
      <c r="G5" s="165" t="s">
        <v>16</v>
      </c>
      <c r="I5" s="164" t="s">
        <v>2</v>
      </c>
      <c r="J5" s="165" t="s">
        <v>16</v>
      </c>
      <c r="L5" s="164" t="s">
        <v>2</v>
      </c>
      <c r="M5" s="165" t="s">
        <v>16</v>
      </c>
      <c r="P5" s="164" t="s">
        <v>2</v>
      </c>
      <c r="Q5" s="165" t="s">
        <v>16</v>
      </c>
      <c r="R5" s="33"/>
      <c r="S5" s="33"/>
      <c r="T5" s="164" t="s">
        <v>2</v>
      </c>
      <c r="U5" s="165" t="s">
        <v>16</v>
      </c>
      <c r="V5" s="33"/>
      <c r="W5" s="164" t="s">
        <v>2</v>
      </c>
      <c r="X5" s="165" t="s">
        <v>16</v>
      </c>
      <c r="Z5" s="164" t="s">
        <v>2</v>
      </c>
      <c r="AA5" s="165" t="s">
        <v>16</v>
      </c>
      <c r="AC5" s="164" t="s">
        <v>2</v>
      </c>
      <c r="AD5" s="165" t="s">
        <v>16</v>
      </c>
    </row>
    <row r="6" spans="1:31">
      <c r="A6" s="31"/>
      <c r="B6" s="30"/>
      <c r="C6" s="164" t="s">
        <v>3</v>
      </c>
      <c r="D6" s="165" t="s">
        <v>654</v>
      </c>
      <c r="F6" s="164" t="s">
        <v>3</v>
      </c>
      <c r="G6" s="165" t="s">
        <v>655</v>
      </c>
      <c r="I6" s="164" t="s">
        <v>3</v>
      </c>
      <c r="J6" s="165" t="s">
        <v>153</v>
      </c>
      <c r="L6" s="164" t="s">
        <v>3</v>
      </c>
      <c r="M6" s="165" t="s">
        <v>656</v>
      </c>
      <c r="P6" s="164" t="s">
        <v>3</v>
      </c>
      <c r="Q6" s="165" t="s">
        <v>651</v>
      </c>
      <c r="T6" s="164" t="s">
        <v>3</v>
      </c>
      <c r="U6" s="165" t="s">
        <v>652</v>
      </c>
      <c r="W6" s="164" t="s">
        <v>3</v>
      </c>
      <c r="X6" s="165" t="s">
        <v>662</v>
      </c>
      <c r="Z6" s="164" t="s">
        <v>3</v>
      </c>
      <c r="AA6" s="165" t="s">
        <v>659</v>
      </c>
      <c r="AC6" s="164" t="s">
        <v>3</v>
      </c>
      <c r="AD6" s="165" t="s">
        <v>660</v>
      </c>
    </row>
    <row r="7" spans="1:31">
      <c r="A7" s="31"/>
      <c r="B7" s="30"/>
    </row>
    <row r="8" spans="1:31">
      <c r="A8" s="24" t="s">
        <v>699</v>
      </c>
      <c r="B8" s="24" t="s">
        <v>122</v>
      </c>
      <c r="C8" s="164" t="s">
        <v>2</v>
      </c>
      <c r="D8" t="s">
        <v>295</v>
      </c>
      <c r="F8" s="164" t="s">
        <v>2</v>
      </c>
      <c r="G8" t="s">
        <v>664</v>
      </c>
      <c r="I8" s="164" t="s">
        <v>2</v>
      </c>
      <c r="J8" t="s">
        <v>665</v>
      </c>
      <c r="L8" s="164" t="s">
        <v>2</v>
      </c>
      <c r="M8" s="165" t="s">
        <v>307</v>
      </c>
      <c r="N8" s="165" t="s">
        <v>537</v>
      </c>
      <c r="P8" s="164" t="s">
        <v>2</v>
      </c>
      <c r="Q8" s="165" t="s">
        <v>341</v>
      </c>
      <c r="R8" s="165" t="s">
        <v>415</v>
      </c>
      <c r="T8" s="164" t="s">
        <v>17</v>
      </c>
      <c r="U8" t="s">
        <v>303</v>
      </c>
      <c r="W8" s="164" t="s">
        <v>17</v>
      </c>
      <c r="X8" t="s">
        <v>666</v>
      </c>
      <c r="Z8" s="164" t="s">
        <v>17</v>
      </c>
      <c r="AA8" t="s">
        <v>667</v>
      </c>
      <c r="AC8" s="164" t="s">
        <v>17</v>
      </c>
      <c r="AD8" s="165" t="s">
        <v>669</v>
      </c>
      <c r="AE8" s="165" t="s">
        <v>670</v>
      </c>
    </row>
    <row r="9" spans="1:31">
      <c r="A9" s="29" t="str">
        <f>INDEX('OS-Machine Info'!$B:$B,MATCH(C9,'OS-Machine Info'!$A:$A,0))</f>
        <v>TestDC</v>
      </c>
      <c r="B9" s="50">
        <f>INDEX('Node Information'!$J:$J,MATCH(C9,'Node Information'!$A:$A,0))</f>
        <v>6.5428240740740704E-2</v>
      </c>
      <c r="C9" s="4" t="s">
        <v>49</v>
      </c>
      <c r="D9" s="5">
        <v>12</v>
      </c>
      <c r="F9" s="4" t="s">
        <v>49</v>
      </c>
      <c r="G9" s="104">
        <v>7.89</v>
      </c>
      <c r="I9" s="4" t="s">
        <v>49</v>
      </c>
      <c r="J9" s="104">
        <v>0.191833</v>
      </c>
      <c r="L9" s="4" t="s">
        <v>49</v>
      </c>
      <c r="M9" s="104">
        <v>3.45</v>
      </c>
      <c r="N9" s="104">
        <v>0</v>
      </c>
      <c r="P9" s="4" t="s">
        <v>49</v>
      </c>
      <c r="Q9" s="5">
        <v>123</v>
      </c>
      <c r="R9" s="5">
        <v>0</v>
      </c>
      <c r="T9" s="4" t="s">
        <v>49</v>
      </c>
      <c r="U9" s="5">
        <v>54</v>
      </c>
      <c r="W9" s="4" t="s">
        <v>49</v>
      </c>
      <c r="X9" s="104">
        <v>23.45</v>
      </c>
      <c r="Z9" s="4" t="s">
        <v>49</v>
      </c>
      <c r="AA9" s="104">
        <v>12.43</v>
      </c>
      <c r="AC9" s="4" t="s">
        <v>49</v>
      </c>
      <c r="AD9" s="104">
        <v>5.67</v>
      </c>
      <c r="AE9" s="104">
        <v>0</v>
      </c>
    </row>
    <row r="10" spans="1:31">
      <c r="C10" s="4" t="s">
        <v>18</v>
      </c>
      <c r="D10" s="5">
        <v>12</v>
      </c>
      <c r="F10" s="4" t="s">
        <v>18</v>
      </c>
      <c r="G10" s="104">
        <v>7.89</v>
      </c>
      <c r="I10" s="4" t="s">
        <v>18</v>
      </c>
      <c r="J10" s="104">
        <v>0.191833</v>
      </c>
      <c r="L10" s="4" t="s">
        <v>18</v>
      </c>
      <c r="M10" s="104">
        <v>3.45</v>
      </c>
      <c r="N10" s="104">
        <v>0</v>
      </c>
      <c r="P10" s="4" t="s">
        <v>18</v>
      </c>
      <c r="Q10" s="5">
        <v>123</v>
      </c>
      <c r="R10" s="5">
        <v>0</v>
      </c>
      <c r="T10" s="4" t="s">
        <v>18</v>
      </c>
      <c r="U10" s="5">
        <v>54</v>
      </c>
      <c r="W10" s="4" t="s">
        <v>18</v>
      </c>
      <c r="X10" s="104">
        <v>23.45</v>
      </c>
      <c r="Z10" s="4" t="s">
        <v>18</v>
      </c>
      <c r="AA10" s="104">
        <v>12.43</v>
      </c>
      <c r="AC10" s="4" t="s">
        <v>18</v>
      </c>
      <c r="AD10" s="104">
        <v>5.67</v>
      </c>
      <c r="AE10" s="104">
        <v>0</v>
      </c>
    </row>
    <row r="11" spans="1:31">
      <c r="C11"/>
      <c r="D11"/>
      <c r="F11"/>
      <c r="G11"/>
      <c r="I11"/>
      <c r="J11"/>
      <c r="L11"/>
      <c r="M11"/>
      <c r="P11"/>
      <c r="Q11"/>
      <c r="R11"/>
      <c r="T11"/>
      <c r="U11"/>
      <c r="AC11"/>
      <c r="AD11"/>
    </row>
  </sheetData>
  <mergeCells count="1">
    <mergeCell ref="C2:AD2"/>
  </mergeCells>
  <pageMargins left="0.7" right="0.7" top="0.75" bottom="0.75" header="0.3" footer="0.3"/>
  <pageSetup orientation="portrait" r:id="rId1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4.4"/>
  <cols>
    <col min="1" max="1" width="10.6640625" customWidth="1"/>
    <col min="2" max="2" width="32.88671875" customWidth="1"/>
    <col min="3" max="3" width="10.77734375" customWidth="1"/>
    <col min="4" max="4" width="23.77734375" customWidth="1"/>
    <col min="6" max="6" width="10.77734375" customWidth="1"/>
    <col min="7" max="7" width="41.6640625" customWidth="1"/>
    <col min="9" max="9" width="10.77734375" customWidth="1"/>
    <col min="10" max="10" width="41.33203125" customWidth="1"/>
    <col min="12" max="12" width="10.77734375" customWidth="1"/>
    <col min="13" max="13" width="22.109375" customWidth="1"/>
    <col min="15" max="15" width="10.77734375" customWidth="1"/>
    <col min="16" max="16" width="29.33203125" customWidth="1"/>
    <col min="17" max="17" width="23.109375" customWidth="1"/>
    <col min="19" max="19" width="12.5546875" customWidth="1"/>
    <col min="20" max="20" width="25.77734375" customWidth="1"/>
  </cols>
  <sheetData>
    <row r="1" spans="1:21" s="31" customFormat="1"/>
    <row r="2" spans="1:21" s="31" customFormat="1">
      <c r="C2" s="193" t="s">
        <v>301</v>
      </c>
      <c r="D2" s="188"/>
      <c r="E2" s="188"/>
      <c r="F2" s="188"/>
      <c r="G2" s="188"/>
      <c r="H2" s="188"/>
      <c r="I2" s="188"/>
      <c r="J2" s="188"/>
      <c r="K2" s="188"/>
      <c r="L2" s="188"/>
      <c r="M2" s="188"/>
      <c r="N2" s="188"/>
      <c r="O2" s="188"/>
      <c r="P2" s="188"/>
      <c r="Q2" s="188"/>
      <c r="R2" s="188"/>
      <c r="S2" s="188"/>
      <c r="T2" s="188"/>
      <c r="U2" s="188"/>
    </row>
    <row r="3" spans="1:21">
      <c r="A3" s="30"/>
      <c r="B3" s="30"/>
      <c r="C3" s="164" t="s">
        <v>0</v>
      </c>
      <c r="D3" s="165" t="s">
        <v>16</v>
      </c>
      <c r="F3" s="164" t="s">
        <v>0</v>
      </c>
      <c r="G3" s="165" t="s">
        <v>16</v>
      </c>
      <c r="I3" s="164" t="s">
        <v>0</v>
      </c>
      <c r="J3" s="165" t="s">
        <v>16</v>
      </c>
      <c r="L3" s="164" t="s">
        <v>0</v>
      </c>
      <c r="M3" s="165" t="s">
        <v>16</v>
      </c>
      <c r="O3" s="164" t="s">
        <v>0</v>
      </c>
      <c r="P3" s="165" t="s">
        <v>16</v>
      </c>
      <c r="Q3" s="33"/>
      <c r="R3" s="33"/>
      <c r="S3" s="164" t="s">
        <v>0</v>
      </c>
      <c r="T3" s="165" t="s">
        <v>16</v>
      </c>
      <c r="U3" s="33"/>
    </row>
    <row r="4" spans="1:21">
      <c r="A4" s="30"/>
      <c r="B4" s="30"/>
      <c r="C4" s="164" t="s">
        <v>1</v>
      </c>
      <c r="D4" s="165" t="s">
        <v>16</v>
      </c>
      <c r="F4" s="164" t="s">
        <v>1</v>
      </c>
      <c r="G4" s="165" t="s">
        <v>16</v>
      </c>
      <c r="I4" s="164" t="s">
        <v>1</v>
      </c>
      <c r="J4" s="165" t="s">
        <v>16</v>
      </c>
      <c r="L4" s="164" t="s">
        <v>1</v>
      </c>
      <c r="M4" s="165" t="s">
        <v>16</v>
      </c>
      <c r="O4" s="164" t="s">
        <v>1</v>
      </c>
      <c r="P4" s="165" t="s">
        <v>16</v>
      </c>
      <c r="Q4" s="33"/>
      <c r="R4" s="33"/>
      <c r="S4" s="164" t="s">
        <v>1</v>
      </c>
      <c r="T4" s="165" t="s">
        <v>16</v>
      </c>
      <c r="U4" s="33"/>
    </row>
    <row r="5" spans="1:21">
      <c r="A5" s="30"/>
      <c r="B5" s="30"/>
      <c r="C5" s="164" t="s">
        <v>3</v>
      </c>
      <c r="D5" s="165" t="s">
        <v>142</v>
      </c>
      <c r="F5" s="164" t="s">
        <v>3</v>
      </c>
      <c r="G5" s="165" t="s">
        <v>151</v>
      </c>
      <c r="I5" s="164" t="s">
        <v>3</v>
      </c>
      <c r="J5" s="165" t="s">
        <v>153</v>
      </c>
      <c r="L5" s="164" t="s">
        <v>3</v>
      </c>
      <c r="M5" s="165" t="s">
        <v>154</v>
      </c>
      <c r="O5" s="164" t="s">
        <v>3</v>
      </c>
      <c r="P5" s="165" t="s">
        <v>413</v>
      </c>
      <c r="S5" s="164" t="s">
        <v>3</v>
      </c>
      <c r="T5" s="165" t="s">
        <v>414</v>
      </c>
    </row>
    <row r="6" spans="1:21">
      <c r="A6" s="30"/>
      <c r="B6" s="30"/>
    </row>
    <row r="7" spans="1:21">
      <c r="A7" s="24" t="s">
        <v>330</v>
      </c>
      <c r="B7" s="24" t="s">
        <v>94</v>
      </c>
      <c r="C7" s="164" t="s">
        <v>2</v>
      </c>
      <c r="D7" t="s">
        <v>295</v>
      </c>
      <c r="F7" s="164" t="s">
        <v>2</v>
      </c>
      <c r="G7" t="s">
        <v>305</v>
      </c>
      <c r="I7" s="164" t="s">
        <v>2</v>
      </c>
      <c r="J7" t="s">
        <v>306</v>
      </c>
      <c r="L7" s="164" t="s">
        <v>2</v>
      </c>
      <c r="M7" t="s">
        <v>307</v>
      </c>
      <c r="O7" s="164" t="s">
        <v>2</v>
      </c>
      <c r="P7" s="165" t="s">
        <v>341</v>
      </c>
      <c r="Q7" s="165" t="s">
        <v>415</v>
      </c>
      <c r="S7" s="164"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10"/>
  <sheetViews>
    <sheetView workbookViewId="0"/>
  </sheetViews>
  <sheetFormatPr defaultRowHeight="14.4"/>
  <cols>
    <col min="1" max="1" width="14.109375" style="154" customWidth="1"/>
    <col min="2" max="2" width="10.6640625" customWidth="1"/>
    <col min="3" max="3" width="10.77734375" customWidth="1"/>
    <col min="4" max="4" width="23.77734375" customWidth="1"/>
    <col min="6" max="6" width="10.77734375" customWidth="1"/>
    <col min="7" max="7" width="41.6640625" customWidth="1"/>
    <col min="9" max="9" width="10.77734375" customWidth="1"/>
    <col min="10" max="10" width="41.33203125" customWidth="1"/>
    <col min="12" max="12" width="10.77734375" customWidth="1"/>
    <col min="13" max="13" width="22.109375" customWidth="1"/>
    <col min="15" max="15" width="10.77734375" customWidth="1"/>
    <col min="16" max="16" width="29.33203125" customWidth="1"/>
    <col min="17" max="17" width="23.5546875" customWidth="1"/>
    <col min="19" max="19" width="12.5546875" customWidth="1"/>
    <col min="20" max="20" width="25.77734375" customWidth="1"/>
  </cols>
  <sheetData>
    <row r="1" spans="1:21" s="31" customFormat="1"/>
    <row r="2" spans="1:21">
      <c r="A2" s="31"/>
      <c r="B2" s="31"/>
      <c r="C2" s="193" t="s">
        <v>301</v>
      </c>
      <c r="D2" s="188"/>
      <c r="E2" s="188"/>
      <c r="F2" s="188"/>
      <c r="G2" s="188"/>
      <c r="H2" s="188"/>
      <c r="I2" s="188"/>
      <c r="J2" s="188"/>
      <c r="K2" s="188"/>
      <c r="L2" s="188"/>
      <c r="M2" s="188"/>
      <c r="N2" s="188"/>
      <c r="O2" s="188"/>
      <c r="P2" s="188"/>
      <c r="Q2" s="188"/>
      <c r="R2" s="188"/>
      <c r="S2" s="188"/>
      <c r="T2" s="188"/>
      <c r="U2" s="188"/>
    </row>
    <row r="3" spans="1:21" s="31" customFormat="1">
      <c r="C3" s="164" t="s">
        <v>0</v>
      </c>
      <c r="D3" s="165" t="s">
        <v>16</v>
      </c>
      <c r="F3" s="164" t="s">
        <v>0</v>
      </c>
      <c r="G3" s="165" t="s">
        <v>16</v>
      </c>
      <c r="I3" s="164" t="s">
        <v>0</v>
      </c>
      <c r="J3" s="165" t="s">
        <v>16</v>
      </c>
      <c r="L3" s="164" t="s">
        <v>0</v>
      </c>
      <c r="M3" s="165" t="s">
        <v>16</v>
      </c>
      <c r="O3" s="164" t="s">
        <v>0</v>
      </c>
      <c r="P3" s="165" t="s">
        <v>16</v>
      </c>
      <c r="S3" s="164" t="s">
        <v>0</v>
      </c>
      <c r="T3" s="165" t="s">
        <v>16</v>
      </c>
    </row>
    <row r="4" spans="1:21">
      <c r="A4" s="31"/>
      <c r="B4" s="30"/>
      <c r="C4" s="164" t="s">
        <v>1</v>
      </c>
      <c r="D4" s="165" t="s">
        <v>16</v>
      </c>
      <c r="F4" s="164" t="s">
        <v>1</v>
      </c>
      <c r="G4" s="165" t="s">
        <v>16</v>
      </c>
      <c r="I4" s="164" t="s">
        <v>1</v>
      </c>
      <c r="J4" s="165" t="s">
        <v>16</v>
      </c>
      <c r="L4" s="164" t="s">
        <v>1</v>
      </c>
      <c r="M4" s="165" t="s">
        <v>16</v>
      </c>
      <c r="O4" s="164" t="s">
        <v>1</v>
      </c>
      <c r="P4" s="165" t="s">
        <v>16</v>
      </c>
      <c r="Q4" s="33"/>
      <c r="R4" s="33"/>
      <c r="S4" s="164" t="s">
        <v>1</v>
      </c>
      <c r="T4" s="165" t="s">
        <v>16</v>
      </c>
      <c r="U4" s="33"/>
    </row>
    <row r="5" spans="1:21">
      <c r="A5" s="31"/>
      <c r="B5" s="30"/>
      <c r="C5" s="164" t="s">
        <v>2</v>
      </c>
      <c r="D5" s="165" t="s">
        <v>16</v>
      </c>
      <c r="F5" s="164" t="s">
        <v>2</v>
      </c>
      <c r="G5" s="165" t="s">
        <v>16</v>
      </c>
      <c r="I5" s="164" t="s">
        <v>2</v>
      </c>
      <c r="J5" s="165" t="s">
        <v>16</v>
      </c>
      <c r="L5" s="164" t="s">
        <v>2</v>
      </c>
      <c r="M5" s="165" t="s">
        <v>16</v>
      </c>
      <c r="O5" s="164" t="s">
        <v>2</v>
      </c>
      <c r="P5" s="165" t="s">
        <v>16</v>
      </c>
      <c r="Q5" s="33"/>
      <c r="R5" s="33"/>
      <c r="S5" s="164" t="s">
        <v>2</v>
      </c>
      <c r="T5" s="165" t="s">
        <v>16</v>
      </c>
      <c r="U5" s="33"/>
    </row>
    <row r="6" spans="1:21">
      <c r="A6" s="31"/>
      <c r="B6" s="30"/>
      <c r="C6" s="164" t="s">
        <v>3</v>
      </c>
      <c r="D6" s="165" t="s">
        <v>142</v>
      </c>
      <c r="F6" s="164" t="s">
        <v>3</v>
      </c>
      <c r="G6" s="165" t="s">
        <v>151</v>
      </c>
      <c r="I6" s="164" t="s">
        <v>3</v>
      </c>
      <c r="J6" s="165" t="s">
        <v>153</v>
      </c>
      <c r="L6" s="164" t="s">
        <v>3</v>
      </c>
      <c r="M6" s="165" t="s">
        <v>154</v>
      </c>
      <c r="O6" s="164" t="s">
        <v>3</v>
      </c>
      <c r="P6" s="165" t="s">
        <v>413</v>
      </c>
      <c r="S6" s="164" t="s">
        <v>3</v>
      </c>
      <c r="T6" s="165" t="s">
        <v>414</v>
      </c>
    </row>
    <row r="7" spans="1:21">
      <c r="A7" s="31"/>
      <c r="B7" s="30"/>
    </row>
    <row r="8" spans="1:21">
      <c r="A8" s="24" t="s">
        <v>699</v>
      </c>
      <c r="B8" s="24" t="s">
        <v>122</v>
      </c>
      <c r="C8" s="164" t="s">
        <v>2</v>
      </c>
      <c r="D8" t="s">
        <v>295</v>
      </c>
      <c r="F8" s="164" t="s">
        <v>2</v>
      </c>
      <c r="G8" t="s">
        <v>305</v>
      </c>
      <c r="I8" s="164" t="s">
        <v>2</v>
      </c>
      <c r="J8" t="s">
        <v>306</v>
      </c>
      <c r="L8" s="164" t="s">
        <v>2</v>
      </c>
      <c r="M8" t="s">
        <v>307</v>
      </c>
      <c r="O8" s="164" t="s">
        <v>2</v>
      </c>
      <c r="P8" s="165" t="s">
        <v>341</v>
      </c>
      <c r="Q8" s="165" t="s">
        <v>421</v>
      </c>
      <c r="S8" s="164" t="s">
        <v>17</v>
      </c>
      <c r="T8" t="s">
        <v>303</v>
      </c>
    </row>
    <row r="9" spans="1:21">
      <c r="A9" s="29" t="str">
        <f>INDEX('OS-Machine Info'!$B:$B,MATCH(C9,'OS-Machine Info'!$A:$A,0))</f>
        <v>TestDC</v>
      </c>
      <c r="B9" s="50">
        <f>INDEX('Node Information'!$J:$J,MATCH(C9,'Node Information'!$A:$A,0))</f>
        <v>6.5428240740740704E-2</v>
      </c>
      <c r="C9" s="4" t="s">
        <v>49</v>
      </c>
      <c r="D9" s="5">
        <v>107</v>
      </c>
      <c r="F9" s="4" t="s">
        <v>49</v>
      </c>
      <c r="G9" s="6">
        <v>4.5546290000000003</v>
      </c>
      <c r="I9" s="4" t="s">
        <v>49</v>
      </c>
      <c r="J9" s="6">
        <v>0.191833</v>
      </c>
      <c r="L9" s="4" t="s">
        <v>49</v>
      </c>
      <c r="M9" s="6">
        <v>2.0372103500000001</v>
      </c>
      <c r="O9" s="4" t="s">
        <v>49</v>
      </c>
      <c r="P9" s="5">
        <v>21671</v>
      </c>
      <c r="Q9" s="5">
        <v>0</v>
      </c>
      <c r="S9" s="4" t="s">
        <v>49</v>
      </c>
      <c r="T9" s="5">
        <v>14414</v>
      </c>
    </row>
    <row r="10" spans="1:21">
      <c r="C10" s="4" t="s">
        <v>18</v>
      </c>
      <c r="D10" s="5">
        <v>107</v>
      </c>
      <c r="F10" s="4" t="s">
        <v>18</v>
      </c>
      <c r="G10" s="6">
        <v>4.5546290000000003</v>
      </c>
      <c r="I10" s="4" t="s">
        <v>18</v>
      </c>
      <c r="J10" s="6">
        <v>0.191833</v>
      </c>
      <c r="L10" s="4" t="s">
        <v>18</v>
      </c>
      <c r="M10" s="6">
        <v>2.0372103500000001</v>
      </c>
      <c r="O10" s="4" t="s">
        <v>18</v>
      </c>
      <c r="P10" s="5">
        <v>21671</v>
      </c>
      <c r="Q10" s="5">
        <v>0</v>
      </c>
      <c r="S10" s="4" t="s">
        <v>18</v>
      </c>
      <c r="T10" s="5">
        <v>14414</v>
      </c>
    </row>
  </sheetData>
  <mergeCells count="1">
    <mergeCell ref="C2:U2"/>
  </mergeCells>
  <pageMargins left="0.7" right="0.7" top="0.75" bottom="0.75" header="0.3" footer="0.3"/>
  <pageSetup orientation="portrait" r:id="rId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ColWidth="9.109375" defaultRowHeight="14.4"/>
  <cols>
    <col min="1" max="1" width="10.6640625" style="137" customWidth="1"/>
    <col min="2" max="2" width="32.88671875" style="137" customWidth="1"/>
    <col min="3" max="3" width="10.77734375" style="137" customWidth="1"/>
    <col min="4" max="4" width="27" style="137" customWidth="1"/>
    <col min="5" max="5" width="9.109375" style="137"/>
    <col min="6" max="6" width="10.77734375" style="137" customWidth="1"/>
    <col min="7" max="7" width="31.5546875" style="137" customWidth="1"/>
    <col min="8" max="8" width="9.109375" style="137"/>
    <col min="9" max="9" width="10.77734375" style="137" customWidth="1"/>
    <col min="10" max="10" width="32.88671875" style="137" customWidth="1"/>
    <col min="11" max="11" width="7" style="137" customWidth="1"/>
    <col min="12" max="12" width="9.109375" style="137"/>
    <col min="13" max="13" width="10.77734375" style="137" customWidth="1"/>
    <col min="14" max="14" width="31.109375" style="137" customWidth="1"/>
    <col min="15" max="15" width="9.109375" style="137"/>
    <col min="16" max="16" width="10.77734375" style="137" customWidth="1"/>
    <col min="17" max="17" width="28.5546875" style="137" customWidth="1"/>
    <col min="18" max="18" width="7.88671875" style="137" customWidth="1"/>
    <col min="19" max="19" width="13.109375" style="137" customWidth="1"/>
    <col min="20" max="20" width="11.44140625" style="137" customWidth="1"/>
    <col min="21" max="21" width="27.5546875" style="137" customWidth="1"/>
    <col min="22" max="16384" width="9.109375" style="137"/>
  </cols>
  <sheetData>
    <row r="1" spans="1:22" s="31" customFormat="1"/>
    <row r="2" spans="1:22" s="31" customFormat="1">
      <c r="C2" s="193" t="s">
        <v>301</v>
      </c>
      <c r="D2" s="188"/>
      <c r="E2" s="188"/>
      <c r="F2" s="188"/>
      <c r="G2" s="188"/>
      <c r="H2" s="188"/>
      <c r="I2" s="188"/>
      <c r="J2" s="188"/>
      <c r="K2" s="188"/>
      <c r="L2" s="188"/>
      <c r="M2" s="188"/>
      <c r="N2" s="188"/>
      <c r="O2" s="188"/>
      <c r="P2" s="188"/>
      <c r="Q2" s="188"/>
      <c r="R2" s="188"/>
      <c r="S2" s="188"/>
      <c r="T2" s="188"/>
      <c r="U2" s="188"/>
      <c r="V2" s="188"/>
    </row>
    <row r="3" spans="1:22">
      <c r="A3" s="30"/>
      <c r="B3" s="30"/>
      <c r="C3" s="164" t="s">
        <v>0</v>
      </c>
      <c r="D3" s="165" t="s">
        <v>16</v>
      </c>
      <c r="F3" s="164" t="s">
        <v>0</v>
      </c>
      <c r="G3" s="165" t="s">
        <v>16</v>
      </c>
      <c r="I3" s="164" t="s">
        <v>0</v>
      </c>
      <c r="J3" s="165" t="s">
        <v>16</v>
      </c>
      <c r="M3" s="164" t="s">
        <v>0</v>
      </c>
      <c r="N3" s="165" t="s">
        <v>16</v>
      </c>
      <c r="P3" s="164" t="s">
        <v>0</v>
      </c>
      <c r="Q3" s="165" t="s">
        <v>16</v>
      </c>
      <c r="R3" s="33"/>
      <c r="S3" s="33"/>
      <c r="V3" s="33"/>
    </row>
    <row r="4" spans="1:22">
      <c r="A4" s="30"/>
      <c r="B4" s="30"/>
      <c r="C4" s="164" t="s">
        <v>1</v>
      </c>
      <c r="D4" s="165" t="s">
        <v>16</v>
      </c>
      <c r="F4" s="164" t="s">
        <v>1</v>
      </c>
      <c r="G4" s="165" t="s">
        <v>16</v>
      </c>
      <c r="I4" s="164" t="s">
        <v>1</v>
      </c>
      <c r="J4" s="165" t="s">
        <v>16</v>
      </c>
      <c r="M4" s="164" t="s">
        <v>1</v>
      </c>
      <c r="N4" s="165" t="s">
        <v>16</v>
      </c>
      <c r="P4" s="164" t="s">
        <v>1</v>
      </c>
      <c r="Q4" s="165" t="s">
        <v>16</v>
      </c>
      <c r="R4" s="33"/>
      <c r="S4" s="33"/>
      <c r="V4" s="33"/>
    </row>
    <row r="5" spans="1:22">
      <c r="A5" s="30"/>
      <c r="B5" s="30"/>
      <c r="C5" s="164" t="s">
        <v>3</v>
      </c>
      <c r="D5" s="165" t="s">
        <v>629</v>
      </c>
      <c r="F5" s="164" t="s">
        <v>3</v>
      </c>
      <c r="G5" s="165" t="s">
        <v>626</v>
      </c>
      <c r="I5" s="164" t="s">
        <v>3</v>
      </c>
      <c r="J5" s="165" t="s">
        <v>627</v>
      </c>
      <c r="M5" s="164" t="s">
        <v>3</v>
      </c>
      <c r="N5" s="165" t="s">
        <v>628</v>
      </c>
      <c r="P5" s="164" t="s">
        <v>3</v>
      </c>
      <c r="Q5" s="165" t="s">
        <v>630</v>
      </c>
    </row>
    <row r="6" spans="1:22">
      <c r="A6" s="30"/>
      <c r="B6" s="30"/>
    </row>
    <row r="7" spans="1:22">
      <c r="A7" s="24" t="s">
        <v>330</v>
      </c>
      <c r="B7" s="24" t="s">
        <v>94</v>
      </c>
      <c r="C7" s="164" t="s">
        <v>2</v>
      </c>
      <c r="D7" t="s">
        <v>295</v>
      </c>
      <c r="F7" s="164" t="s">
        <v>2</v>
      </c>
      <c r="G7" t="s">
        <v>631</v>
      </c>
      <c r="I7" s="164" t="s">
        <v>2</v>
      </c>
      <c r="J7" s="165" t="s">
        <v>632</v>
      </c>
      <c r="K7" s="165" t="s">
        <v>537</v>
      </c>
      <c r="M7" s="164" t="s">
        <v>2</v>
      </c>
      <c r="N7" t="s">
        <v>633</v>
      </c>
      <c r="P7" s="164" t="s">
        <v>2</v>
      </c>
      <c r="Q7" s="165" t="s">
        <v>636</v>
      </c>
      <c r="R7" s="165" t="s">
        <v>634</v>
      </c>
      <c r="S7" s="165" t="s">
        <v>635</v>
      </c>
      <c r="T7" s="165" t="s">
        <v>637</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54" customWidth="1"/>
    <col min="2" max="2" width="10.6640625" style="137" customWidth="1"/>
    <col min="3" max="3" width="10.77734375" style="137" customWidth="1"/>
    <col min="4" max="4" width="27" style="137" customWidth="1"/>
    <col min="5" max="5" width="9.109375" style="137"/>
    <col min="6" max="6" width="10.77734375" style="137" customWidth="1"/>
    <col min="7" max="7" width="44.109375" style="137" customWidth="1"/>
    <col min="8" max="8" width="7" style="137" customWidth="1"/>
    <col min="9" max="9" width="9.109375" style="137"/>
    <col min="10" max="10" width="10.77734375" style="137" customWidth="1"/>
    <col min="11" max="11" width="31.109375" style="137" customWidth="1"/>
    <col min="12" max="12" width="9.109375" style="137"/>
    <col min="13" max="13" width="10.77734375" style="137" customWidth="1"/>
    <col min="14" max="14" width="28.109375" style="137" customWidth="1"/>
    <col min="15" max="15" width="9.109375" style="137"/>
    <col min="16" max="16" width="10.77734375" style="137" customWidth="1"/>
    <col min="17" max="17" width="28.5546875" style="137" customWidth="1"/>
    <col min="18" max="18" width="7.88671875" style="137" customWidth="1"/>
    <col min="19" max="19" width="9.109375" style="137"/>
    <col min="20" max="20" width="13.109375" style="137" customWidth="1"/>
    <col min="21" max="21" width="27.5546875" style="137" customWidth="1"/>
    <col min="22" max="16384" width="9.109375" style="137"/>
  </cols>
  <sheetData>
    <row r="1" spans="1:22" s="31" customFormat="1"/>
    <row r="2" spans="1:22">
      <c r="A2" s="31"/>
      <c r="B2" s="31"/>
      <c r="C2" s="193" t="s">
        <v>301</v>
      </c>
      <c r="D2" s="188"/>
      <c r="E2" s="188"/>
      <c r="F2" s="188"/>
      <c r="G2" s="188"/>
      <c r="H2" s="188"/>
      <c r="I2" s="188"/>
      <c r="J2" s="188"/>
      <c r="K2" s="188"/>
      <c r="L2" s="188"/>
      <c r="M2" s="188"/>
      <c r="N2" s="188"/>
      <c r="O2" s="188"/>
      <c r="P2" s="188"/>
      <c r="Q2" s="188"/>
      <c r="R2" s="188"/>
      <c r="S2" s="188"/>
      <c r="T2" s="188"/>
      <c r="U2" s="188"/>
      <c r="V2" s="188"/>
    </row>
    <row r="3" spans="1:22" s="31" customFormat="1">
      <c r="C3" s="164" t="s">
        <v>0</v>
      </c>
      <c r="D3" s="165" t="s">
        <v>16</v>
      </c>
      <c r="F3" s="164" t="s">
        <v>0</v>
      </c>
      <c r="G3" s="165" t="s">
        <v>16</v>
      </c>
      <c r="H3" s="137"/>
      <c r="J3" s="164" t="s">
        <v>0</v>
      </c>
      <c r="K3" s="165" t="s">
        <v>16</v>
      </c>
      <c r="M3" s="164" t="s">
        <v>0</v>
      </c>
      <c r="N3" s="165" t="s">
        <v>16</v>
      </c>
      <c r="P3" s="164" t="s">
        <v>0</v>
      </c>
      <c r="Q3" s="165" t="s">
        <v>16</v>
      </c>
      <c r="T3" s="137"/>
      <c r="U3" s="137"/>
    </row>
    <row r="4" spans="1:22">
      <c r="A4" s="31"/>
      <c r="B4" s="30"/>
      <c r="C4" s="164" t="s">
        <v>1</v>
      </c>
      <c r="D4" s="165" t="s">
        <v>16</v>
      </c>
      <c r="F4" s="164" t="s">
        <v>1</v>
      </c>
      <c r="G4" s="165" t="s">
        <v>16</v>
      </c>
      <c r="J4" s="164" t="s">
        <v>1</v>
      </c>
      <c r="K4" s="165" t="s">
        <v>16</v>
      </c>
      <c r="M4" s="164" t="s">
        <v>1</v>
      </c>
      <c r="N4" s="165" t="s">
        <v>16</v>
      </c>
      <c r="P4" s="164" t="s">
        <v>1</v>
      </c>
      <c r="Q4" s="165" t="s">
        <v>16</v>
      </c>
      <c r="R4" s="33"/>
      <c r="S4" s="33"/>
      <c r="V4" s="33"/>
    </row>
    <row r="5" spans="1:22">
      <c r="A5" s="31"/>
      <c r="B5" s="30"/>
      <c r="C5" s="164" t="s">
        <v>2</v>
      </c>
      <c r="D5" s="165" t="s">
        <v>16</v>
      </c>
      <c r="F5" s="164" t="s">
        <v>2</v>
      </c>
      <c r="G5" s="165" t="s">
        <v>16</v>
      </c>
      <c r="J5" s="164" t="s">
        <v>2</v>
      </c>
      <c r="K5" s="165" t="s">
        <v>16</v>
      </c>
      <c r="M5" s="164" t="s">
        <v>2</v>
      </c>
      <c r="N5" s="165" t="s">
        <v>16</v>
      </c>
      <c r="P5" s="164" t="s">
        <v>2</v>
      </c>
      <c r="Q5" s="165" t="s">
        <v>16</v>
      </c>
      <c r="R5" s="33"/>
      <c r="S5" s="33"/>
      <c r="V5" s="33"/>
    </row>
    <row r="6" spans="1:22">
      <c r="A6" s="31"/>
      <c r="B6" s="30"/>
      <c r="C6" s="164" t="s">
        <v>3</v>
      </c>
      <c r="D6" s="165" t="s">
        <v>629</v>
      </c>
      <c r="F6" s="164" t="s">
        <v>3</v>
      </c>
      <c r="G6" s="165" t="s">
        <v>626</v>
      </c>
      <c r="J6" s="164" t="s">
        <v>3</v>
      </c>
      <c r="K6" s="165" t="s">
        <v>628</v>
      </c>
      <c r="M6" s="164" t="s">
        <v>3</v>
      </c>
      <c r="N6" s="165" t="s">
        <v>627</v>
      </c>
      <c r="P6" s="164" t="s">
        <v>3</v>
      </c>
      <c r="Q6" s="165" t="s">
        <v>630</v>
      </c>
    </row>
    <row r="7" spans="1:22">
      <c r="A7" s="31"/>
      <c r="B7" s="30"/>
    </row>
    <row r="8" spans="1:22">
      <c r="A8" s="24" t="s">
        <v>699</v>
      </c>
      <c r="B8" s="24" t="s">
        <v>122</v>
      </c>
      <c r="C8" s="164" t="s">
        <v>2</v>
      </c>
      <c r="D8" t="s">
        <v>295</v>
      </c>
      <c r="F8" s="164" t="s">
        <v>2</v>
      </c>
      <c r="G8" s="165" t="s">
        <v>638</v>
      </c>
      <c r="H8" s="165" t="s">
        <v>537</v>
      </c>
      <c r="J8" s="164" t="s">
        <v>2</v>
      </c>
      <c r="K8" t="s">
        <v>633</v>
      </c>
      <c r="M8" s="164" t="s">
        <v>2</v>
      </c>
      <c r="N8" t="s">
        <v>303</v>
      </c>
      <c r="P8" s="164" t="s">
        <v>2</v>
      </c>
      <c r="Q8" s="165" t="s">
        <v>639</v>
      </c>
      <c r="R8" s="165" t="s">
        <v>634</v>
      </c>
    </row>
    <row r="9" spans="1:22">
      <c r="A9" s="29" t="str">
        <f>INDEX('OS-Machine Info'!$B:$B,MATCH(C9,'OS-Machine Info'!$A:$A,0))</f>
        <v>TestDC</v>
      </c>
      <c r="B9" s="50">
        <f>INDEX('Node Information'!J:$J,MATCH(C9,'Node Information'!$A:$A,0))</f>
        <v>6.5428240740740704E-2</v>
      </c>
      <c r="C9" s="4" t="s">
        <v>49</v>
      </c>
      <c r="D9" s="5">
        <v>10</v>
      </c>
      <c r="F9" s="4" t="s">
        <v>49</v>
      </c>
      <c r="G9" s="5">
        <v>230</v>
      </c>
      <c r="H9" s="6">
        <v>0</v>
      </c>
      <c r="J9" s="4" t="s">
        <v>49</v>
      </c>
      <c r="K9" s="5">
        <v>100</v>
      </c>
      <c r="M9" s="4" t="s">
        <v>49</v>
      </c>
      <c r="N9" s="6">
        <v>124</v>
      </c>
      <c r="P9" s="4" t="s">
        <v>49</v>
      </c>
      <c r="Q9" s="5">
        <v>5</v>
      </c>
      <c r="R9" s="5">
        <v>5</v>
      </c>
      <c r="T9" s="4"/>
      <c r="U9" s="5"/>
    </row>
    <row r="10" spans="1:22">
      <c r="C10" s="4" t="s">
        <v>18</v>
      </c>
      <c r="D10" s="5">
        <v>10</v>
      </c>
      <c r="F10" s="4" t="s">
        <v>18</v>
      </c>
      <c r="G10" s="5">
        <v>230</v>
      </c>
      <c r="H10" s="6">
        <v>0</v>
      </c>
      <c r="J10" s="4" t="s">
        <v>18</v>
      </c>
      <c r="K10" s="5">
        <v>100</v>
      </c>
      <c r="M10" s="4" t="s">
        <v>18</v>
      </c>
      <c r="N10" s="6">
        <v>124</v>
      </c>
      <c r="P10" s="4" t="s">
        <v>18</v>
      </c>
      <c r="Q10" s="5">
        <v>5</v>
      </c>
      <c r="R10" s="5">
        <v>5</v>
      </c>
      <c r="T10" s="4"/>
      <c r="U10" s="5"/>
    </row>
  </sheetData>
  <mergeCells count="1">
    <mergeCell ref="C2:V2"/>
  </mergeCells>
  <pageMargins left="0.7" right="0.7" top="0.75" bottom="0.75" header="0.3" footer="0.3"/>
  <pageSetup orientation="portrait" r:id="rId6"/>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54" customWidth="1"/>
    <col min="2" max="2" width="11.44140625" style="149" customWidth="1"/>
    <col min="3" max="3" width="35.33203125" style="149" customWidth="1"/>
    <col min="4" max="4" width="18.6640625" style="149" customWidth="1"/>
    <col min="5" max="5" width="32.88671875" style="149" customWidth="1"/>
    <col min="6" max="6" width="4.5546875" style="149" customWidth="1"/>
    <col min="7" max="7" width="8.33203125" style="149" customWidth="1"/>
    <col min="8" max="8" width="7.33203125" style="149" customWidth="1"/>
    <col min="9" max="9" width="9.109375" style="149"/>
    <col min="10" max="10" width="11.44140625" style="149" bestFit="1" customWidth="1"/>
    <col min="11" max="11" width="39.88671875" style="149" customWidth="1"/>
    <col min="12" max="12" width="4.5546875" style="149" customWidth="1"/>
    <col min="13" max="13" width="8.33203125" style="149" customWidth="1"/>
    <col min="14" max="15" width="7.33203125" style="149" customWidth="1"/>
    <col min="16" max="16" width="11.44140625" style="149" bestFit="1" customWidth="1"/>
    <col min="17" max="17" width="39.5546875" style="149" customWidth="1"/>
    <col min="18" max="18" width="4.5546875" style="149" customWidth="1"/>
    <col min="19" max="19" width="8.33203125" style="149" customWidth="1"/>
    <col min="20" max="20" width="7.33203125" style="149" customWidth="1"/>
    <col min="21" max="21" width="9.109375" style="149"/>
    <col min="22" max="22" width="11.44140625" style="149" bestFit="1" customWidth="1"/>
    <col min="23" max="23" width="35.88671875" style="149" customWidth="1"/>
    <col min="24" max="24" width="4.5546875" style="149" customWidth="1"/>
    <col min="25" max="25" width="8.33203125" style="149" customWidth="1"/>
    <col min="26" max="26" width="7.33203125" style="149" customWidth="1"/>
    <col min="27" max="27" width="9.109375" style="149"/>
    <col min="28" max="28" width="11.44140625" style="149" customWidth="1"/>
    <col min="29" max="29" width="61.33203125" style="149" customWidth="1"/>
    <col min="30" max="30" width="16.33203125" style="149" customWidth="1"/>
    <col min="31" max="31" width="7.33203125" style="149" customWidth="1"/>
    <col min="32" max="32" width="11.44140625" style="149" customWidth="1"/>
    <col min="33" max="33" width="57.33203125" style="149" bestFit="1" customWidth="1"/>
    <col min="34" max="34" width="16.33203125" style="149" bestFit="1" customWidth="1"/>
    <col min="35" max="35" width="11.44140625" style="149" customWidth="1"/>
    <col min="36" max="36" width="42.88671875" style="149" customWidth="1"/>
    <col min="37" max="37" width="17.5546875" style="149" bestFit="1" customWidth="1"/>
    <col min="38" max="38" width="9.109375" style="149"/>
    <col min="39" max="39" width="11.44140625" style="149" customWidth="1"/>
    <col min="40" max="40" width="38.88671875" style="149" customWidth="1"/>
    <col min="41" max="16384" width="9.109375" style="149"/>
  </cols>
  <sheetData>
    <row r="1" spans="1:40" s="45" customFormat="1">
      <c r="A1" s="31"/>
    </row>
    <row r="2" spans="1:40" s="45" customFormat="1">
      <c r="A2" s="31"/>
    </row>
    <row r="3" spans="1:40" s="45" customFormat="1">
      <c r="A3" s="31"/>
    </row>
    <row r="4" spans="1:40">
      <c r="A4" s="31"/>
      <c r="B4" s="188"/>
      <c r="C4" s="188"/>
      <c r="D4" s="188"/>
      <c r="E4" s="188"/>
      <c r="F4" s="188"/>
      <c r="G4" s="188"/>
      <c r="H4" s="188"/>
      <c r="I4" s="148"/>
      <c r="J4" s="148"/>
    </row>
    <row r="5" spans="1:40">
      <c r="A5" s="31"/>
      <c r="B5" s="158" t="s">
        <v>0</v>
      </c>
      <c r="C5" s="159" t="s">
        <v>16</v>
      </c>
      <c r="D5" s="200"/>
      <c r="E5" s="171"/>
      <c r="J5" s="158" t="s">
        <v>0</v>
      </c>
      <c r="K5" s="159" t="s">
        <v>16</v>
      </c>
      <c r="L5" s="200"/>
      <c r="M5" s="171"/>
      <c r="P5" s="158" t="s">
        <v>0</v>
      </c>
      <c r="Q5" s="159" t="s">
        <v>16</v>
      </c>
      <c r="R5" s="200"/>
      <c r="S5" s="171"/>
      <c r="V5" s="158" t="s">
        <v>0</v>
      </c>
      <c r="W5" s="159" t="s">
        <v>16</v>
      </c>
      <c r="X5" s="200"/>
      <c r="Y5" s="171"/>
      <c r="AB5" s="158" t="s">
        <v>0</v>
      </c>
      <c r="AC5" s="159" t="s">
        <v>16</v>
      </c>
      <c r="AD5" s="200"/>
      <c r="AE5" s="171"/>
      <c r="AF5" s="158" t="s">
        <v>0</v>
      </c>
      <c r="AG5" s="159" t="s">
        <v>16</v>
      </c>
      <c r="AH5" s="160"/>
      <c r="AI5" s="161" t="s">
        <v>0</v>
      </c>
      <c r="AJ5" s="162" t="s">
        <v>16</v>
      </c>
      <c r="AK5" s="200"/>
      <c r="AL5" s="171"/>
      <c r="AM5" s="158" t="s">
        <v>0</v>
      </c>
      <c r="AN5" s="159" t="s">
        <v>16</v>
      </c>
    </row>
    <row r="6" spans="1:40">
      <c r="A6" s="31"/>
      <c r="B6" s="158" t="s">
        <v>3</v>
      </c>
      <c r="C6" s="159" t="s">
        <v>687</v>
      </c>
      <c r="J6" s="158" t="s">
        <v>3</v>
      </c>
      <c r="K6" s="159" t="s">
        <v>683</v>
      </c>
      <c r="P6" s="158" t="s">
        <v>3</v>
      </c>
      <c r="Q6" s="159" t="s">
        <v>684</v>
      </c>
      <c r="V6" s="158" t="s">
        <v>3</v>
      </c>
      <c r="W6" s="159" t="s">
        <v>685</v>
      </c>
      <c r="AB6" s="158" t="s">
        <v>3</v>
      </c>
      <c r="AC6" s="159" t="s">
        <v>700</v>
      </c>
      <c r="AD6" s="157"/>
      <c r="AE6" s="157"/>
      <c r="AF6" s="158" t="s">
        <v>3</v>
      </c>
      <c r="AG6" s="159" t="s">
        <v>702</v>
      </c>
      <c r="AH6" s="157"/>
      <c r="AI6" s="161" t="s">
        <v>3</v>
      </c>
      <c r="AJ6" s="162" t="s">
        <v>711</v>
      </c>
      <c r="AK6" s="159"/>
      <c r="AL6" s="159"/>
      <c r="AM6" s="158" t="s">
        <v>3</v>
      </c>
      <c r="AN6" s="159" t="s">
        <v>713</v>
      </c>
    </row>
    <row r="7" spans="1:40">
      <c r="A7" s="31"/>
      <c r="AB7" s="157"/>
      <c r="AC7" s="157"/>
      <c r="AD7" s="157"/>
      <c r="AE7" s="157"/>
      <c r="AF7" s="157"/>
      <c r="AG7" s="157"/>
      <c r="AH7" s="157"/>
      <c r="AI7" s="159"/>
      <c r="AJ7" s="159"/>
      <c r="AK7" s="159"/>
      <c r="AL7" s="159"/>
      <c r="AM7" s="159"/>
      <c r="AN7" s="159"/>
    </row>
    <row r="8" spans="1:40">
      <c r="A8" s="24" t="s">
        <v>699</v>
      </c>
      <c r="B8" s="158" t="s">
        <v>296</v>
      </c>
      <c r="C8" s="159" t="s">
        <v>688</v>
      </c>
      <c r="D8" s="159" t="s">
        <v>689</v>
      </c>
      <c r="E8" s="159" t="s">
        <v>692</v>
      </c>
      <c r="F8" s="159" t="s">
        <v>357</v>
      </c>
      <c r="G8" s="159" t="s">
        <v>249</v>
      </c>
      <c r="H8" s="159" t="s">
        <v>537</v>
      </c>
      <c r="J8" s="158" t="s">
        <v>296</v>
      </c>
      <c r="K8" s="159" t="s">
        <v>691</v>
      </c>
      <c r="L8" s="159" t="s">
        <v>357</v>
      </c>
      <c r="M8" s="159" t="s">
        <v>249</v>
      </c>
      <c r="N8" s="159" t="s">
        <v>537</v>
      </c>
      <c r="O8"/>
      <c r="P8" s="158" t="s">
        <v>296</v>
      </c>
      <c r="Q8" s="159" t="s">
        <v>693</v>
      </c>
      <c r="R8" s="159" t="s">
        <v>357</v>
      </c>
      <c r="S8" s="159" t="s">
        <v>249</v>
      </c>
      <c r="T8" s="159" t="s">
        <v>537</v>
      </c>
      <c r="V8" s="158" t="s">
        <v>296</v>
      </c>
      <c r="W8" s="159" t="s">
        <v>694</v>
      </c>
      <c r="X8" s="159" t="s">
        <v>357</v>
      </c>
      <c r="Y8" s="159" t="s">
        <v>249</v>
      </c>
      <c r="Z8" s="159" t="s">
        <v>537</v>
      </c>
      <c r="AB8" s="158" t="s">
        <v>296</v>
      </c>
      <c r="AC8" s="159" t="s">
        <v>707</v>
      </c>
      <c r="AD8" s="159" t="s">
        <v>341</v>
      </c>
      <c r="AE8"/>
      <c r="AF8" s="158" t="s">
        <v>296</v>
      </c>
      <c r="AG8" t="s">
        <v>708</v>
      </c>
      <c r="AH8"/>
      <c r="AI8" s="161" t="s">
        <v>296</v>
      </c>
      <c r="AJ8" s="162" t="s">
        <v>715</v>
      </c>
      <c r="AK8" s="162" t="s">
        <v>716</v>
      </c>
      <c r="AL8" s="159"/>
      <c r="AM8" s="158" t="s">
        <v>296</v>
      </c>
      <c r="AN8" t="s">
        <v>717</v>
      </c>
    </row>
    <row r="9" spans="1:40">
      <c r="A9" s="29" t="str">
        <f>INDEX('OS-Machine Info'!$B:$B,MATCH(B9,'OS-Machine Info'!$A:$A,0))</f>
        <v>TestDC</v>
      </c>
      <c r="B9" s="4" t="s">
        <v>49</v>
      </c>
      <c r="C9" s="5">
        <v>1</v>
      </c>
      <c r="D9" s="5">
        <v>3</v>
      </c>
      <c r="E9" s="6">
        <v>4.4827570000000003</v>
      </c>
      <c r="F9" s="6">
        <v>4.4827570000000003</v>
      </c>
      <c r="G9" s="6">
        <v>4.4827570000000003</v>
      </c>
      <c r="H9" s="6">
        <v>0</v>
      </c>
      <c r="J9" s="4" t="s">
        <v>49</v>
      </c>
      <c r="K9" s="6">
        <v>1.9499880000000001</v>
      </c>
      <c r="L9" s="6">
        <v>1.9499880000000001</v>
      </c>
      <c r="M9" s="6">
        <v>1.9499880000000001</v>
      </c>
      <c r="N9" s="6">
        <v>0</v>
      </c>
      <c r="O9"/>
      <c r="P9" s="4" t="s">
        <v>49</v>
      </c>
      <c r="Q9" s="6">
        <v>1.0016050000000001</v>
      </c>
      <c r="R9" s="6">
        <v>1.0016050000000001</v>
      </c>
      <c r="S9" s="6">
        <v>1.0016050000000001</v>
      </c>
      <c r="T9" s="6">
        <v>0</v>
      </c>
      <c r="V9" s="4" t="s">
        <v>49</v>
      </c>
      <c r="W9" s="6">
        <v>1.4942523333333335</v>
      </c>
      <c r="X9" s="6">
        <v>1.4942523333333335</v>
      </c>
      <c r="Y9" s="6">
        <v>1.4942523333333335</v>
      </c>
      <c r="Z9" s="6">
        <v>0</v>
      </c>
      <c r="AB9" s="4" t="s">
        <v>49</v>
      </c>
      <c r="AC9" s="5">
        <v>3</v>
      </c>
      <c r="AD9" s="5">
        <v>8345</v>
      </c>
      <c r="AE9"/>
      <c r="AF9" s="4" t="s">
        <v>49</v>
      </c>
      <c r="AG9" s="5">
        <v>4567</v>
      </c>
      <c r="AH9"/>
      <c r="AI9" s="4" t="s">
        <v>49</v>
      </c>
      <c r="AJ9" s="5">
        <v>4</v>
      </c>
      <c r="AK9" s="5">
        <v>7890</v>
      </c>
      <c r="AL9" s="159"/>
      <c r="AM9" s="4" t="s">
        <v>49</v>
      </c>
      <c r="AN9" s="5">
        <v>3456</v>
      </c>
    </row>
    <row r="10" spans="1:40">
      <c r="B10" s="4" t="s">
        <v>18</v>
      </c>
      <c r="C10" s="5">
        <v>1</v>
      </c>
      <c r="D10" s="5">
        <v>3</v>
      </c>
      <c r="E10" s="6">
        <v>4.4827570000000003</v>
      </c>
      <c r="F10" s="6">
        <v>4.4827570000000003</v>
      </c>
      <c r="G10" s="6">
        <v>4.4827570000000003</v>
      </c>
      <c r="H10" s="6">
        <v>0</v>
      </c>
      <c r="J10" s="4" t="s">
        <v>18</v>
      </c>
      <c r="K10" s="6">
        <v>1.9499880000000001</v>
      </c>
      <c r="L10" s="6">
        <v>1.9499880000000001</v>
      </c>
      <c r="M10" s="6">
        <v>1.9499880000000001</v>
      </c>
      <c r="N10" s="6">
        <v>0</v>
      </c>
      <c r="O10"/>
      <c r="P10" s="4" t="s">
        <v>18</v>
      </c>
      <c r="Q10" s="6">
        <v>1.0016050000000001</v>
      </c>
      <c r="R10" s="6">
        <v>1.0016050000000001</v>
      </c>
      <c r="S10" s="6">
        <v>1.0016050000000001</v>
      </c>
      <c r="T10" s="6">
        <v>0</v>
      </c>
      <c r="V10" s="4" t="s">
        <v>18</v>
      </c>
      <c r="W10" s="6">
        <v>1.4942523333333335</v>
      </c>
      <c r="X10" s="6">
        <v>1.4942523333333335</v>
      </c>
      <c r="Y10" s="6">
        <v>1.4942523333333335</v>
      </c>
      <c r="Z10" s="6">
        <v>0</v>
      </c>
      <c r="AB10" s="4" t="s">
        <v>18</v>
      </c>
      <c r="AC10" s="5">
        <v>3</v>
      </c>
      <c r="AD10" s="5">
        <v>8345</v>
      </c>
      <c r="AE10"/>
      <c r="AF10" s="4" t="s">
        <v>18</v>
      </c>
      <c r="AG10" s="5">
        <v>4567</v>
      </c>
      <c r="AH10"/>
      <c r="AI10" s="4" t="s">
        <v>18</v>
      </c>
      <c r="AJ10" s="5">
        <v>4</v>
      </c>
      <c r="AK10" s="5">
        <v>7890</v>
      </c>
      <c r="AL10" s="159"/>
      <c r="AM10" s="4" t="s">
        <v>18</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13"/>
  <sheetViews>
    <sheetView workbookViewId="0">
      <selection activeCell="A14" sqref="A14"/>
    </sheetView>
  </sheetViews>
  <sheetFormatPr defaultRowHeight="14.4"/>
  <cols>
    <col min="1" max="1" width="14.109375" style="154" customWidth="1"/>
    <col min="2" max="2" width="13.6640625" customWidth="1"/>
    <col min="3" max="3" width="11.44140625" customWidth="1"/>
    <col min="4" max="4" width="20.109375" customWidth="1"/>
    <col min="5" max="5" width="5" customWidth="1"/>
    <col min="6" max="6" width="11.44140625" customWidth="1"/>
    <col min="7" max="7" width="22.88671875" customWidth="1"/>
    <col min="8" max="8" width="5.33203125" customWidth="1"/>
    <col min="9" max="9" width="11.44140625" customWidth="1"/>
    <col min="10" max="10" width="14.5546875" customWidth="1"/>
    <col min="11" max="11" width="4.109375" customWidth="1"/>
    <col min="12" max="12" width="11.44140625" customWidth="1"/>
    <col min="13" max="13" width="23.33203125" customWidth="1"/>
    <col min="14" max="14" width="6.5546875" customWidth="1"/>
    <col min="15" max="15" width="11.44140625" customWidth="1"/>
    <col min="16" max="16" width="22.109375" customWidth="1"/>
    <col min="17" max="17" width="6.109375" customWidth="1"/>
    <col min="18" max="18" width="11.44140625" customWidth="1"/>
    <col min="19" max="19" width="21.5546875" customWidth="1"/>
    <col min="20" max="20" width="8.33203125" customWidth="1"/>
    <col min="21" max="21" width="11.44140625" customWidth="1"/>
    <col min="22" max="22" width="22.6640625" customWidth="1"/>
    <col min="23" max="23" width="6.44140625" customWidth="1"/>
    <col min="24" max="24" width="11.44140625" bestFit="1" customWidth="1"/>
    <col min="25" max="25" width="27.44140625" customWidth="1"/>
    <col min="26" max="26" width="7.33203125" customWidth="1"/>
    <col min="27" max="27" width="11.44140625" customWidth="1"/>
    <col min="28" max="28" width="24.88671875" customWidth="1"/>
    <col min="29" max="29" width="5.88671875" customWidth="1"/>
    <col min="30" max="30" width="11.44140625" customWidth="1"/>
    <col min="31" max="31" width="31.109375" bestFit="1" customWidth="1"/>
    <col min="32" max="32" width="16.109375" bestFit="1" customWidth="1"/>
    <col min="33" max="33" width="10.33203125" bestFit="1" customWidth="1"/>
    <col min="34" max="34" width="19.44140625" bestFit="1" customWidth="1"/>
    <col min="35" max="35" width="22.109375" bestFit="1" customWidth="1"/>
    <col min="36" max="36" width="8.33203125" customWidth="1"/>
    <col min="37" max="37" width="18.109375" bestFit="1" customWidth="1"/>
    <col min="38" max="38" width="7.33203125" customWidth="1"/>
    <col min="39" max="39" width="14.6640625" bestFit="1" customWidth="1"/>
    <col min="40" max="40" width="31.33203125" bestFit="1" customWidth="1"/>
    <col min="41" max="41" width="31" bestFit="1" customWidth="1"/>
    <col min="42" max="42" width="27.33203125" bestFit="1" customWidth="1"/>
    <col min="43" max="43" width="26.6640625" bestFit="1" customWidth="1"/>
    <col min="44" max="44" width="33" bestFit="1" customWidth="1"/>
    <col min="45" max="45" width="19.88671875" bestFit="1" customWidth="1"/>
    <col min="46" max="46" width="19.5546875" bestFit="1" customWidth="1"/>
    <col min="47" max="47" width="15.88671875" bestFit="1" customWidth="1"/>
    <col min="48" max="48" width="15.33203125" bestFit="1" customWidth="1"/>
    <col min="49" max="49" width="21.6640625" bestFit="1" customWidth="1"/>
    <col min="50" max="50" width="31.6640625" bestFit="1" customWidth="1"/>
    <col min="51" max="51" width="31.44140625" bestFit="1" customWidth="1"/>
    <col min="52" max="52" width="27.6640625" bestFit="1" customWidth="1"/>
    <col min="53" max="53" width="27.109375" bestFit="1" customWidth="1"/>
    <col min="54" max="54" width="33.44140625" bestFit="1" customWidth="1"/>
    <col min="55" max="55" width="25.88671875" bestFit="1" customWidth="1"/>
    <col min="56" max="56" width="25.5546875" bestFit="1" customWidth="1"/>
    <col min="57" max="57" width="21.88671875" bestFit="1" customWidth="1"/>
    <col min="58" max="58" width="21.109375" bestFit="1" customWidth="1"/>
    <col min="59" max="59" width="27.5546875" bestFit="1" customWidth="1"/>
    <col min="60" max="60" width="23.88671875" bestFit="1" customWidth="1"/>
    <col min="61" max="61" width="23.5546875" bestFit="1" customWidth="1"/>
    <col min="62" max="62" width="19.88671875" bestFit="1" customWidth="1"/>
    <col min="63" max="63" width="19.33203125" bestFit="1" customWidth="1"/>
    <col min="64" max="64" width="25.6640625" bestFit="1" customWidth="1"/>
    <col min="65" max="65" width="21.5546875" bestFit="1" customWidth="1"/>
    <col min="66" max="66" width="21.109375" bestFit="1" customWidth="1"/>
    <col min="67" max="67" width="17.5546875" bestFit="1" customWidth="1"/>
    <col min="68" max="68" width="16.88671875" bestFit="1" customWidth="1"/>
    <col min="69" max="69" width="23.33203125" bestFit="1" customWidth="1"/>
    <col min="70" max="70" width="24.33203125" bestFit="1" customWidth="1"/>
    <col min="71" max="71" width="24" bestFit="1" customWidth="1"/>
    <col min="72" max="72" width="20.33203125" bestFit="1" customWidth="1"/>
    <col min="73" max="73" width="19.6640625" bestFit="1" customWidth="1"/>
    <col min="74" max="74" width="26.109375" bestFit="1" customWidth="1"/>
    <col min="75" max="75" width="30.88671875" bestFit="1" customWidth="1"/>
    <col min="76" max="76" width="30.5546875" bestFit="1" customWidth="1"/>
    <col min="77" max="77" width="26.88671875" bestFit="1" customWidth="1"/>
    <col min="78" max="78" width="26.33203125" bestFit="1" customWidth="1"/>
    <col min="79" max="80" width="32.5546875" bestFit="1" customWidth="1"/>
    <col min="81" max="81" width="32.33203125" bestFit="1" customWidth="1"/>
    <col min="82" max="82" width="28.5546875" bestFit="1" customWidth="1"/>
    <col min="83" max="83" width="28" bestFit="1" customWidth="1"/>
    <col min="84" max="84" width="34.44140625" bestFit="1" customWidth="1"/>
    <col min="85" max="85" width="35" bestFit="1" customWidth="1"/>
    <col min="86" max="86" width="34.6640625" bestFit="1" customWidth="1"/>
    <col min="87" max="87" width="31" bestFit="1" customWidth="1"/>
    <col min="88" max="88" width="30.44140625" bestFit="1" customWidth="1"/>
    <col min="89" max="89" width="36.6640625" bestFit="1" customWidth="1"/>
    <col min="90" max="90" width="28.6640625" bestFit="1" customWidth="1"/>
    <col min="91" max="91" width="28.44140625" bestFit="1" customWidth="1"/>
    <col min="92" max="92" width="24.6640625" bestFit="1" customWidth="1"/>
    <col min="93" max="93" width="24.109375" bestFit="1" customWidth="1"/>
    <col min="94" max="94" width="30.5546875" bestFit="1" customWidth="1"/>
    <col min="95" max="95" width="29.109375" bestFit="1" customWidth="1"/>
    <col min="96" max="96" width="28.88671875" bestFit="1" customWidth="1"/>
    <col min="97" max="97" width="25.109375" bestFit="1" customWidth="1"/>
    <col min="98" max="98" width="24.5546875" bestFit="1" customWidth="1"/>
    <col min="99" max="99" width="31" bestFit="1" customWidth="1"/>
    <col min="100" max="100" width="31.44140625" bestFit="1" customWidth="1"/>
    <col min="101" max="101" width="31.109375" bestFit="1" customWidth="1"/>
    <col min="102" max="102" width="27.44140625" bestFit="1" customWidth="1"/>
    <col min="103" max="103" width="26.88671875" bestFit="1" customWidth="1"/>
    <col min="104" max="104" width="33.109375" bestFit="1" customWidth="1"/>
    <col min="105" max="105" width="23.88671875" bestFit="1" customWidth="1"/>
    <col min="106" max="106" width="23.5546875" bestFit="1" customWidth="1"/>
    <col min="107" max="107" width="19.88671875" bestFit="1" customWidth="1"/>
    <col min="108" max="108" width="19.33203125" bestFit="1" customWidth="1"/>
    <col min="109" max="109" width="25.6640625" bestFit="1" customWidth="1"/>
    <col min="110" max="110" width="28.33203125" bestFit="1" customWidth="1"/>
    <col min="111" max="111" width="28.5546875" bestFit="1" customWidth="1"/>
    <col min="112" max="112" width="24.5546875" bestFit="1" customWidth="1"/>
    <col min="113" max="113" width="22.5546875" bestFit="1" customWidth="1"/>
    <col min="114" max="114" width="26.33203125" bestFit="1" customWidth="1"/>
    <col min="115" max="115" width="26" bestFit="1" customWidth="1"/>
    <col min="116" max="116" width="22.33203125" bestFit="1" customWidth="1"/>
    <col min="117" max="117" width="21.6640625" bestFit="1" customWidth="1"/>
    <col min="118" max="118" width="28" bestFit="1" customWidth="1"/>
    <col min="119" max="119" width="11.33203125" bestFit="1" customWidth="1"/>
  </cols>
  <sheetData>
    <row r="1" spans="1:31" s="45" customFormat="1">
      <c r="A1" s="31"/>
    </row>
    <row r="2" spans="1:31" s="45" customFormat="1">
      <c r="A2" s="31"/>
    </row>
    <row r="3" spans="1:31" s="45" customFormat="1">
      <c r="A3" s="31"/>
    </row>
    <row r="4" spans="1:31" s="96" customFormat="1">
      <c r="A4" s="31"/>
      <c r="B4" s="45"/>
      <c r="C4" s="187" t="s">
        <v>449</v>
      </c>
      <c r="D4" s="187"/>
      <c r="E4" s="187"/>
      <c r="F4" s="187"/>
      <c r="G4" s="187"/>
      <c r="H4" s="187"/>
      <c r="I4" s="187"/>
      <c r="J4" s="187"/>
      <c r="K4" s="187"/>
      <c r="L4" s="187"/>
      <c r="M4" s="187"/>
      <c r="N4" s="187"/>
      <c r="O4" s="187"/>
      <c r="P4" s="187"/>
      <c r="Q4" s="187"/>
      <c r="R4" s="187"/>
      <c r="S4" s="187"/>
      <c r="U4" s="193" t="s">
        <v>451</v>
      </c>
      <c r="V4" s="197"/>
      <c r="W4" s="197"/>
      <c r="X4" s="197"/>
      <c r="Y4" s="197"/>
      <c r="Z4" s="197"/>
      <c r="AA4" s="197"/>
      <c r="AB4" s="197"/>
      <c r="AC4" s="197"/>
      <c r="AD4" s="197"/>
      <c r="AE4" s="197"/>
    </row>
    <row r="5" spans="1:31">
      <c r="A5" s="31"/>
      <c r="B5" s="45"/>
      <c r="C5" s="158" t="s">
        <v>0</v>
      </c>
      <c r="D5" s="159" t="s">
        <v>16</v>
      </c>
      <c r="F5" s="158" t="s">
        <v>0</v>
      </c>
      <c r="G5" s="159" t="s">
        <v>16</v>
      </c>
      <c r="I5" s="158" t="s">
        <v>0</v>
      </c>
      <c r="J5" s="159" t="s">
        <v>16</v>
      </c>
      <c r="L5" s="158" t="s">
        <v>0</v>
      </c>
      <c r="M5" s="159" t="s">
        <v>16</v>
      </c>
      <c r="O5" s="158" t="s">
        <v>0</v>
      </c>
      <c r="P5" s="159" t="s">
        <v>16</v>
      </c>
      <c r="R5" s="158" t="s">
        <v>0</v>
      </c>
      <c r="S5" s="159" t="s">
        <v>16</v>
      </c>
      <c r="U5" s="158" t="s">
        <v>0</v>
      </c>
      <c r="V5" s="159" t="s">
        <v>16</v>
      </c>
      <c r="X5" s="158" t="s">
        <v>0</v>
      </c>
      <c r="Y5" s="159" t="s">
        <v>16</v>
      </c>
      <c r="AA5" s="158" t="s">
        <v>0</v>
      </c>
      <c r="AB5" s="159" t="s">
        <v>16</v>
      </c>
      <c r="AC5" s="90"/>
      <c r="AD5" s="158" t="s">
        <v>0</v>
      </c>
      <c r="AE5" s="159" t="s">
        <v>16</v>
      </c>
    </row>
    <row r="6" spans="1:31">
      <c r="A6" s="31"/>
      <c r="B6" s="45"/>
      <c r="C6" s="158" t="s">
        <v>3</v>
      </c>
      <c r="D6" s="159" t="s">
        <v>310</v>
      </c>
      <c r="F6" s="158" t="s">
        <v>3</v>
      </c>
      <c r="G6" s="159" t="s">
        <v>87</v>
      </c>
      <c r="I6" s="158" t="s">
        <v>3</v>
      </c>
      <c r="J6" s="159" t="s">
        <v>79</v>
      </c>
      <c r="L6" s="158" t="s">
        <v>3</v>
      </c>
      <c r="M6" s="159" t="s">
        <v>80</v>
      </c>
      <c r="O6" s="158" t="s">
        <v>3</v>
      </c>
      <c r="P6" s="159" t="s">
        <v>86</v>
      </c>
      <c r="R6" s="158" t="s">
        <v>3</v>
      </c>
      <c r="S6" s="159" t="s">
        <v>85</v>
      </c>
      <c r="U6" s="158" t="s">
        <v>3</v>
      </c>
      <c r="V6" s="159" t="s">
        <v>444</v>
      </c>
      <c r="X6" s="158" t="s">
        <v>3</v>
      </c>
      <c r="Y6" s="159" t="s">
        <v>448</v>
      </c>
      <c r="AA6" s="158" t="s">
        <v>3</v>
      </c>
      <c r="AB6" s="159" t="s">
        <v>476</v>
      </c>
      <c r="AC6" s="90"/>
      <c r="AD6" s="158" t="s">
        <v>3</v>
      </c>
      <c r="AE6" s="159" t="s">
        <v>480</v>
      </c>
    </row>
    <row r="7" spans="1:31">
      <c r="A7" s="31"/>
      <c r="B7" s="45"/>
      <c r="U7" s="90"/>
      <c r="V7" s="90"/>
      <c r="X7" s="90"/>
      <c r="Y7" s="90"/>
      <c r="AA7" s="90"/>
      <c r="AB7" s="90"/>
      <c r="AC7" s="90"/>
      <c r="AD7" s="90"/>
      <c r="AE7" s="90"/>
    </row>
    <row r="8" spans="1:31">
      <c r="A8" s="24" t="s">
        <v>699</v>
      </c>
      <c r="B8" s="24" t="s">
        <v>122</v>
      </c>
      <c r="C8" s="158" t="s">
        <v>296</v>
      </c>
      <c r="D8" t="s">
        <v>324</v>
      </c>
      <c r="F8" s="158" t="s">
        <v>296</v>
      </c>
      <c r="G8" t="s">
        <v>325</v>
      </c>
      <c r="I8" s="158" t="s">
        <v>296</v>
      </c>
      <c r="J8" t="s">
        <v>326</v>
      </c>
      <c r="L8" s="158" t="s">
        <v>296</v>
      </c>
      <c r="M8" t="s">
        <v>327</v>
      </c>
      <c r="O8" s="158" t="s">
        <v>296</v>
      </c>
      <c r="P8" t="s">
        <v>329</v>
      </c>
      <c r="R8" s="158" t="s">
        <v>296</v>
      </c>
      <c r="S8" t="s">
        <v>328</v>
      </c>
      <c r="U8" s="158" t="s">
        <v>296</v>
      </c>
      <c r="V8" t="s">
        <v>450</v>
      </c>
      <c r="X8" s="158" t="s">
        <v>296</v>
      </c>
      <c r="Y8" t="s">
        <v>452</v>
      </c>
      <c r="AA8" s="158" t="s">
        <v>296</v>
      </c>
      <c r="AB8" t="s">
        <v>718</v>
      </c>
      <c r="AC8" s="90"/>
      <c r="AD8" s="158" t="s">
        <v>296</v>
      </c>
      <c r="AE8" t="s">
        <v>719</v>
      </c>
    </row>
    <row r="9" spans="1:31">
      <c r="A9" s="29" t="str">
        <f>INDEX('OS-Machine Info'!$B:$B,MATCH(C9,'OS-Machine Info'!$A:$A,0))</f>
        <v>TestDC</v>
      </c>
      <c r="B9" s="29">
        <f>INDEX('Node Information'!J:$J,MATCH(C9,'Node Information'!$A:$A,0))</f>
        <v>6.5428240740740704E-2</v>
      </c>
      <c r="C9" s="4" t="s">
        <v>49</v>
      </c>
      <c r="D9" s="5">
        <v>4670</v>
      </c>
      <c r="E9" s="5"/>
      <c r="F9" s="4" t="s">
        <v>49</v>
      </c>
      <c r="G9" s="5">
        <v>0</v>
      </c>
      <c r="I9" s="4" t="s">
        <v>49</v>
      </c>
      <c r="J9" s="5">
        <v>0</v>
      </c>
      <c r="L9" s="4" t="s">
        <v>49</v>
      </c>
      <c r="M9" s="5">
        <v>0</v>
      </c>
      <c r="O9" s="4" t="s">
        <v>49</v>
      </c>
      <c r="P9" s="5">
        <v>0</v>
      </c>
      <c r="R9" s="4" t="s">
        <v>49</v>
      </c>
      <c r="S9" s="5">
        <v>0</v>
      </c>
      <c r="U9" s="4" t="s">
        <v>49</v>
      </c>
      <c r="V9" s="5">
        <v>12</v>
      </c>
      <c r="X9" s="4" t="s">
        <v>49</v>
      </c>
      <c r="Y9" s="5">
        <v>3</v>
      </c>
      <c r="AA9" s="4" t="s">
        <v>49</v>
      </c>
      <c r="AB9" s="5">
        <v>12</v>
      </c>
      <c r="AC9" s="90"/>
      <c r="AD9" s="4" t="s">
        <v>49</v>
      </c>
      <c r="AE9" s="5">
        <v>3</v>
      </c>
    </row>
    <row r="10" spans="1:31">
      <c r="C10" s="4" t="s">
        <v>18</v>
      </c>
      <c r="D10" s="5">
        <v>4670</v>
      </c>
      <c r="E10" s="5"/>
      <c r="F10" s="4" t="s">
        <v>18</v>
      </c>
      <c r="G10" s="5">
        <v>0</v>
      </c>
      <c r="I10" s="4" t="s">
        <v>18</v>
      </c>
      <c r="J10" s="5">
        <v>0</v>
      </c>
      <c r="L10" s="4" t="s">
        <v>18</v>
      </c>
      <c r="M10" s="5">
        <v>0</v>
      </c>
      <c r="O10" s="4" t="s">
        <v>18</v>
      </c>
      <c r="P10" s="5">
        <v>0</v>
      </c>
      <c r="R10" s="4" t="s">
        <v>18</v>
      </c>
      <c r="S10" s="5">
        <v>0</v>
      </c>
      <c r="U10" s="4" t="s">
        <v>18</v>
      </c>
      <c r="V10" s="5">
        <v>12</v>
      </c>
      <c r="X10" s="4" t="s">
        <v>18</v>
      </c>
      <c r="Y10" s="5">
        <v>3</v>
      </c>
      <c r="AA10" s="4" t="s">
        <v>18</v>
      </c>
      <c r="AB10" s="5">
        <v>12</v>
      </c>
      <c r="AC10" s="90"/>
      <c r="AD10" s="4" t="s">
        <v>18</v>
      </c>
      <c r="AE10" s="5">
        <v>3</v>
      </c>
    </row>
    <row r="13" spans="1:31">
      <c r="Y13" s="90"/>
      <c r="Z13" s="89"/>
      <c r="AA13" s="89"/>
    </row>
  </sheetData>
  <mergeCells count="2">
    <mergeCell ref="C4:S4"/>
    <mergeCell ref="U4:AE4"/>
  </mergeCells>
  <pageMargins left="0.7" right="0.7" top="0.75" bottom="0.75" header="0.3" footer="0.3"/>
  <pageSetup orientation="portrait" r:id="rId1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N10"/>
  <sheetViews>
    <sheetView workbookViewId="0"/>
  </sheetViews>
  <sheetFormatPr defaultRowHeight="14.4"/>
  <cols>
    <col min="1" max="1" width="11" customWidth="1"/>
    <col min="2" max="2" width="12.5546875" customWidth="1"/>
    <col min="3" max="3" width="17.77734375" customWidth="1"/>
    <col min="4" max="4" width="12.21875" customWidth="1"/>
    <col min="5" max="5" width="9.109375" style="8"/>
    <col min="6" max="6" width="9.88671875" style="6" customWidth="1"/>
    <col min="7" max="8" width="11.33203125" style="6" customWidth="1"/>
    <col min="9" max="9" width="14.109375" style="154" customWidth="1"/>
    <col min="10" max="10" width="12.5546875" customWidth="1"/>
    <col min="11" max="11" width="17.77734375" customWidth="1"/>
    <col min="12" max="12" width="14.109375" customWidth="1"/>
    <col min="13" max="13" width="12.44140625" style="6" customWidth="1"/>
    <col min="14" max="14" width="11.33203125" style="6" customWidth="1"/>
  </cols>
  <sheetData>
    <row r="1" spans="1:14" s="45" customFormat="1">
      <c r="I1" s="31"/>
    </row>
    <row r="2" spans="1:14" s="45" customFormat="1">
      <c r="H2" s="154"/>
      <c r="I2" s="31"/>
    </row>
    <row r="3" spans="1:14">
      <c r="A3" s="45"/>
      <c r="B3" s="164" t="s">
        <v>0</v>
      </c>
      <c r="C3" s="165" t="s">
        <v>16</v>
      </c>
      <c r="D3" s="52"/>
      <c r="E3" s="35"/>
      <c r="F3" s="35"/>
      <c r="G3" s="35"/>
      <c r="H3" s="154"/>
      <c r="I3" s="31"/>
      <c r="J3" s="164" t="s">
        <v>0</v>
      </c>
      <c r="K3" s="165" t="s">
        <v>16</v>
      </c>
      <c r="M3" s="35"/>
      <c r="N3" s="35"/>
    </row>
    <row r="4" spans="1:14">
      <c r="A4" s="45"/>
      <c r="B4" s="164" t="s">
        <v>52</v>
      </c>
      <c r="C4" s="165" t="s">
        <v>16</v>
      </c>
      <c r="E4" s="35"/>
      <c r="F4" s="35"/>
      <c r="G4" s="35"/>
      <c r="H4" s="154"/>
      <c r="I4" s="31"/>
      <c r="J4" s="164" t="s">
        <v>1</v>
      </c>
      <c r="K4" s="165" t="s">
        <v>16</v>
      </c>
      <c r="M4" s="35"/>
      <c r="N4" s="35"/>
    </row>
    <row r="5" spans="1:14">
      <c r="A5" s="45"/>
      <c r="B5" s="164" t="s">
        <v>1</v>
      </c>
      <c r="C5" s="165" t="s">
        <v>16</v>
      </c>
      <c r="E5" s="35"/>
      <c r="F5" s="35"/>
      <c r="G5" s="35"/>
      <c r="H5" s="154"/>
      <c r="I5" s="31"/>
      <c r="J5" s="164" t="s">
        <v>3</v>
      </c>
      <c r="K5" s="165" t="s">
        <v>7</v>
      </c>
      <c r="M5" s="35"/>
      <c r="N5" s="35"/>
    </row>
    <row r="6" spans="1:14">
      <c r="A6" s="45"/>
      <c r="B6" s="164" t="s">
        <v>3</v>
      </c>
      <c r="C6" s="165" t="s">
        <v>7</v>
      </c>
      <c r="E6" s="35"/>
      <c r="F6" s="35"/>
      <c r="G6" s="35"/>
      <c r="H6" s="154"/>
      <c r="I6" s="31"/>
      <c r="J6" s="164" t="s">
        <v>2</v>
      </c>
      <c r="K6" s="165" t="s">
        <v>16</v>
      </c>
      <c r="M6" s="35"/>
      <c r="N6" s="35"/>
    </row>
    <row r="7" spans="1:14">
      <c r="E7" s="35"/>
      <c r="F7" s="35"/>
      <c r="G7" s="35"/>
      <c r="H7" s="154"/>
      <c r="I7" s="31"/>
      <c r="M7" s="35"/>
      <c r="N7" s="35"/>
    </row>
    <row r="8" spans="1:14" ht="57.6">
      <c r="A8" s="24" t="s">
        <v>330</v>
      </c>
      <c r="B8" s="164" t="s">
        <v>17</v>
      </c>
      <c r="C8" s="32" t="s">
        <v>21</v>
      </c>
      <c r="D8" s="32" t="s">
        <v>19</v>
      </c>
      <c r="F8" s="36" t="s">
        <v>148</v>
      </c>
      <c r="G8" s="36" t="s">
        <v>149</v>
      </c>
      <c r="H8" s="154"/>
      <c r="I8" s="24" t="s">
        <v>699</v>
      </c>
      <c r="J8" s="164" t="s">
        <v>17</v>
      </c>
      <c r="K8" s="32" t="s">
        <v>21</v>
      </c>
      <c r="L8" s="32" t="s">
        <v>19</v>
      </c>
      <c r="M8" s="36" t="s">
        <v>148</v>
      </c>
      <c r="N8" s="36" t="s">
        <v>149</v>
      </c>
    </row>
    <row r="9" spans="1:14">
      <c r="A9" s="29" t="str">
        <f>INDEX('DDL Tables'!$B:$B,MATCH(SUBSTITUTE(B9, " (index)",""),'DDL Tables'!$C:$C,0))</f>
        <v>TestKS</v>
      </c>
      <c r="B9" s="4" t="s">
        <v>50</v>
      </c>
      <c r="C9" s="6">
        <v>0</v>
      </c>
      <c r="D9" s="6">
        <v>0</v>
      </c>
      <c r="E9" s="8">
        <f>D9/IF(C9=0,1,C9)</f>
        <v>0</v>
      </c>
      <c r="F9" s="6">
        <f>C9 / 1024</f>
        <v>0</v>
      </c>
      <c r="G9" s="6">
        <f>F9/1024</f>
        <v>0</v>
      </c>
      <c r="I9" s="29" t="str">
        <f>INDEX('OS-Machine Info'!$B:$B,MATCH(J9,'OS-Machine Info'!$A:$A,0))</f>
        <v>TestDC</v>
      </c>
      <c r="J9" s="4" t="s">
        <v>49</v>
      </c>
      <c r="K9" s="6">
        <v>0</v>
      </c>
      <c r="L9" s="6">
        <v>0</v>
      </c>
      <c r="M9" s="6">
        <f>K9 / 1024</f>
        <v>0</v>
      </c>
      <c r="N9" s="6">
        <f>M9/1024</f>
        <v>0</v>
      </c>
    </row>
    <row r="10" spans="1:14">
      <c r="B10" s="4" t="s">
        <v>18</v>
      </c>
      <c r="C10" s="6">
        <v>0</v>
      </c>
      <c r="D10" s="6">
        <v>0</v>
      </c>
      <c r="J10" s="4" t="s">
        <v>18</v>
      </c>
      <c r="K10" s="6">
        <v>0</v>
      </c>
      <c r="L10" s="6">
        <v>0</v>
      </c>
    </row>
  </sheetData>
  <pageMargins left="0.7" right="0.7" top="0.75" bottom="0.75" header="0.3" footer="0.3"/>
  <pageSetup orientation="portrait"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A8" sqref="A8"/>
    </sheetView>
  </sheetViews>
  <sheetFormatPr defaultRowHeight="14.4"/>
  <cols>
    <col min="1" max="1" width="14.109375" style="154" customWidth="1"/>
    <col min="3" max="3" width="11.44140625" bestFit="1" customWidth="1"/>
    <col min="4" max="4" width="28.44140625" customWidth="1"/>
    <col min="6" max="6" width="11.44140625" bestFit="1" customWidth="1"/>
    <col min="7" max="7" width="22" customWidth="1"/>
    <col min="9" max="9" width="11.44140625" bestFit="1" customWidth="1"/>
    <col min="10" max="10" width="27.44140625" customWidth="1"/>
    <col min="12" max="12" width="11.44140625" bestFit="1" customWidth="1"/>
    <col min="13" max="13" width="21.109375" customWidth="1"/>
    <col min="15" max="15" width="11.44140625" bestFit="1" customWidth="1"/>
    <col min="16" max="16" width="16.5546875" customWidth="1"/>
    <col min="17" max="17" width="17.88671875" bestFit="1" customWidth="1"/>
    <col min="18" max="18" width="17.5546875" bestFit="1" customWidth="1"/>
    <col min="19" max="19" width="19.5546875" bestFit="1" customWidth="1"/>
    <col min="21" max="21" width="11.44140625" bestFit="1" customWidth="1"/>
    <col min="22" max="22" width="16.5546875" customWidth="1"/>
    <col min="23" max="23" width="12.6640625" bestFit="1" customWidth="1"/>
    <col min="24" max="24" width="20.44140625" bestFit="1" customWidth="1"/>
  </cols>
  <sheetData>
    <row r="1" spans="1:24" s="30" customFormat="1">
      <c r="A1" s="31"/>
      <c r="I1" s="191"/>
      <c r="J1" s="192"/>
      <c r="K1" s="188"/>
      <c r="L1" s="188"/>
      <c r="M1" s="188"/>
      <c r="N1" s="188"/>
      <c r="O1" s="188"/>
      <c r="P1" s="188"/>
      <c r="Q1" s="188"/>
      <c r="R1" s="188"/>
    </row>
    <row r="2" spans="1:24">
      <c r="A2" s="31"/>
      <c r="B2" s="45"/>
      <c r="C2" s="193" t="s">
        <v>451</v>
      </c>
      <c r="D2" s="188"/>
      <c r="E2" s="188"/>
      <c r="F2" s="188"/>
      <c r="G2" s="188"/>
      <c r="H2" s="132"/>
      <c r="I2" s="193" t="s">
        <v>451</v>
      </c>
      <c r="J2" s="188"/>
      <c r="K2" s="188"/>
      <c r="L2" s="188"/>
      <c r="M2" s="188"/>
      <c r="N2" s="152"/>
      <c r="O2" s="195" t="s">
        <v>696</v>
      </c>
      <c r="P2" s="196"/>
      <c r="Q2" s="196"/>
      <c r="R2" s="196"/>
      <c r="S2" s="196"/>
      <c r="T2" s="196"/>
      <c r="U2" s="196"/>
      <c r="V2" s="196"/>
      <c r="W2" s="196"/>
      <c r="X2" s="196"/>
    </row>
    <row r="3" spans="1:24">
      <c r="A3" s="31"/>
      <c r="B3" s="45"/>
      <c r="C3" s="158" t="s">
        <v>0</v>
      </c>
      <c r="D3" s="159" t="s">
        <v>16</v>
      </c>
      <c r="E3" s="132"/>
      <c r="F3" s="158" t="s">
        <v>0</v>
      </c>
      <c r="G3" s="159" t="s">
        <v>16</v>
      </c>
      <c r="H3" s="132"/>
      <c r="I3" s="158" t="s">
        <v>0</v>
      </c>
      <c r="J3" s="159" t="s">
        <v>16</v>
      </c>
      <c r="K3" s="151"/>
      <c r="L3" s="158" t="s">
        <v>0</v>
      </c>
      <c r="M3" s="159" t="s">
        <v>16</v>
      </c>
      <c r="N3" s="151"/>
      <c r="O3" s="158" t="s">
        <v>0</v>
      </c>
      <c r="P3" s="159" t="s">
        <v>16</v>
      </c>
      <c r="Q3" s="33"/>
      <c r="R3" s="151"/>
      <c r="S3" s="151"/>
      <c r="T3" s="33"/>
      <c r="U3" s="158" t="s">
        <v>0</v>
      </c>
      <c r="V3" s="159" t="s">
        <v>16</v>
      </c>
      <c r="W3" s="151"/>
      <c r="X3" s="151"/>
    </row>
    <row r="4" spans="1:24">
      <c r="A4" s="31"/>
      <c r="B4" s="45"/>
      <c r="C4" s="158" t="s">
        <v>3</v>
      </c>
      <c r="D4" s="159" t="s">
        <v>611</v>
      </c>
      <c r="E4" s="132"/>
      <c r="F4" s="158" t="s">
        <v>3</v>
      </c>
      <c r="G4" s="159" t="s">
        <v>607</v>
      </c>
      <c r="H4" s="132"/>
      <c r="I4" s="158" t="s">
        <v>3</v>
      </c>
      <c r="J4" s="159" t="s">
        <v>448</v>
      </c>
      <c r="K4" s="151"/>
      <c r="L4" s="158" t="s">
        <v>3</v>
      </c>
      <c r="M4" s="159" t="s">
        <v>444</v>
      </c>
      <c r="N4" s="151"/>
      <c r="O4" s="158" t="s">
        <v>3</v>
      </c>
      <c r="P4" s="159" t="s">
        <v>65</v>
      </c>
      <c r="Q4" s="33"/>
      <c r="R4" s="151"/>
      <c r="S4" s="151"/>
      <c r="T4" s="33"/>
      <c r="U4" s="158" t="s">
        <v>3</v>
      </c>
      <c r="V4" s="159" t="s">
        <v>65</v>
      </c>
      <c r="W4" s="151"/>
      <c r="X4" s="151"/>
    </row>
    <row r="5" spans="1:24">
      <c r="A5" s="31"/>
      <c r="B5" s="45"/>
      <c r="C5" s="132"/>
      <c r="D5" s="132"/>
      <c r="E5" s="132"/>
      <c r="F5" s="132"/>
      <c r="G5" s="132"/>
      <c r="H5" s="132"/>
      <c r="I5" s="151"/>
      <c r="J5" s="151"/>
      <c r="K5" s="151"/>
      <c r="L5" s="151"/>
      <c r="M5" s="151"/>
      <c r="N5" s="151"/>
      <c r="O5" s="151"/>
      <c r="P5" s="151"/>
      <c r="Q5" s="151"/>
      <c r="R5" s="151"/>
      <c r="S5" s="151"/>
      <c r="T5" s="151"/>
      <c r="U5" s="151"/>
      <c r="V5" s="151"/>
      <c r="W5" s="151"/>
      <c r="X5" s="151"/>
    </row>
    <row r="6" spans="1:24">
      <c r="A6" s="24" t="s">
        <v>699</v>
      </c>
      <c r="B6" s="24" t="s">
        <v>122</v>
      </c>
      <c r="C6" s="158" t="s">
        <v>296</v>
      </c>
      <c r="D6" t="s">
        <v>612</v>
      </c>
      <c r="E6" s="132"/>
      <c r="F6" s="158" t="s">
        <v>296</v>
      </c>
      <c r="G6" t="s">
        <v>697</v>
      </c>
      <c r="H6" s="132"/>
      <c r="I6" s="158" t="s">
        <v>296</v>
      </c>
      <c r="J6" t="s">
        <v>452</v>
      </c>
      <c r="K6" s="151"/>
      <c r="L6" s="158" t="s">
        <v>296</v>
      </c>
      <c r="M6" t="s">
        <v>698</v>
      </c>
      <c r="N6" s="151"/>
      <c r="O6" s="158" t="s">
        <v>296</v>
      </c>
      <c r="P6" s="159" t="s">
        <v>312</v>
      </c>
      <c r="Q6" s="159" t="s">
        <v>417</v>
      </c>
      <c r="R6" s="159" t="s">
        <v>311</v>
      </c>
      <c r="S6" s="159" t="s">
        <v>416</v>
      </c>
      <c r="T6" s="151"/>
      <c r="U6" s="158" t="s">
        <v>296</v>
      </c>
      <c r="V6" s="159" t="s">
        <v>316</v>
      </c>
      <c r="W6" s="159" t="s">
        <v>317</v>
      </c>
      <c r="X6" s="159" t="s">
        <v>318</v>
      </c>
    </row>
    <row r="7" spans="1:24">
      <c r="A7" s="29" t="str">
        <f>INDEX('OS-Machine Info'!$B:$B,MATCH(C7,'OS-Machine Info'!$A:$A,0))</f>
        <v>TestDC</v>
      </c>
      <c r="B7" s="29">
        <f>INDEX('Node Information'!J:$J,MATCH(C7,'Node Information'!$A:$A,0))</f>
        <v>6.5428240740740704E-2</v>
      </c>
      <c r="C7" s="4" t="s">
        <v>49</v>
      </c>
      <c r="D7" s="5">
        <v>10</v>
      </c>
      <c r="E7" s="132"/>
      <c r="F7" s="4" t="s">
        <v>49</v>
      </c>
      <c r="G7" s="5">
        <v>5</v>
      </c>
      <c r="H7" s="132"/>
      <c r="I7" s="4" t="s">
        <v>49</v>
      </c>
      <c r="J7" s="5">
        <v>3</v>
      </c>
      <c r="K7" s="151"/>
      <c r="L7" s="4" t="s">
        <v>49</v>
      </c>
      <c r="M7" s="5"/>
      <c r="N7" s="5"/>
      <c r="O7" s="4" t="s">
        <v>49</v>
      </c>
      <c r="P7" s="5">
        <v>0</v>
      </c>
      <c r="Q7" s="5">
        <v>0</v>
      </c>
      <c r="R7" s="5">
        <v>1</v>
      </c>
      <c r="S7" s="5">
        <v>0</v>
      </c>
      <c r="T7" s="5"/>
      <c r="U7" s="4" t="s">
        <v>49</v>
      </c>
      <c r="V7" s="5">
        <v>8237</v>
      </c>
      <c r="W7" s="5">
        <v>0</v>
      </c>
      <c r="X7" s="5">
        <v>0</v>
      </c>
    </row>
    <row r="8" spans="1:24">
      <c r="C8" s="4" t="s">
        <v>18</v>
      </c>
      <c r="D8" s="5">
        <v>10</v>
      </c>
      <c r="E8" s="132"/>
      <c r="F8" s="4" t="s">
        <v>18</v>
      </c>
      <c r="G8" s="5">
        <v>5</v>
      </c>
      <c r="H8" s="132"/>
      <c r="I8" s="4" t="s">
        <v>18</v>
      </c>
      <c r="J8" s="5">
        <v>3</v>
      </c>
      <c r="K8" s="151"/>
      <c r="L8" s="4" t="s">
        <v>18</v>
      </c>
      <c r="M8" s="5"/>
      <c r="N8" s="5"/>
      <c r="O8" s="4" t="s">
        <v>18</v>
      </c>
      <c r="P8" s="5">
        <v>0</v>
      </c>
      <c r="Q8" s="5">
        <v>0</v>
      </c>
      <c r="R8" s="5">
        <v>1</v>
      </c>
      <c r="S8" s="5">
        <v>0</v>
      </c>
      <c r="T8" s="5"/>
      <c r="U8" s="4" t="s">
        <v>18</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4.4"/>
  <cols>
    <col min="2" max="2" width="10.77734375" customWidth="1"/>
    <col min="3" max="3" width="21.88671875" customWidth="1"/>
    <col min="5" max="5" width="10.77734375" customWidth="1"/>
    <col min="6" max="6" width="28.88671875" customWidth="1"/>
    <col min="8" max="8" width="10.77734375" customWidth="1"/>
    <col min="9" max="9" width="26.77734375" customWidth="1"/>
    <col min="11" max="11" width="10.77734375" customWidth="1"/>
    <col min="12" max="12" width="40.6640625" customWidth="1"/>
    <col min="14" max="14" width="10.77734375" customWidth="1"/>
    <col min="15" max="15" width="34.77734375" customWidth="1"/>
    <col min="17" max="17" width="10.77734375" customWidth="1"/>
    <col min="18" max="18" width="35.109375" customWidth="1"/>
  </cols>
  <sheetData>
    <row r="1" spans="1:18" s="30" customFormat="1"/>
    <row r="2" spans="1:18">
      <c r="A2" s="30"/>
      <c r="B2" s="197" t="s">
        <v>458</v>
      </c>
      <c r="C2" s="194"/>
      <c r="D2" s="194"/>
      <c r="E2" s="194"/>
      <c r="F2" s="194"/>
      <c r="G2" s="194"/>
      <c r="H2" s="194"/>
      <c r="I2" s="198"/>
      <c r="K2" s="197" t="s">
        <v>459</v>
      </c>
      <c r="L2" s="194"/>
      <c r="M2" s="194"/>
      <c r="N2" s="194"/>
      <c r="O2" s="194"/>
      <c r="P2" s="194"/>
      <c r="Q2" s="194"/>
      <c r="R2" s="198"/>
    </row>
    <row r="3" spans="1:18">
      <c r="A3" s="30"/>
      <c r="B3" s="59"/>
      <c r="C3" s="58"/>
      <c r="D3" s="58"/>
      <c r="E3" s="58"/>
      <c r="F3" s="58"/>
      <c r="G3" s="58"/>
      <c r="H3" s="58"/>
      <c r="I3" s="60"/>
      <c r="K3" s="92"/>
      <c r="L3" s="91"/>
      <c r="M3" s="91"/>
      <c r="N3" s="91"/>
      <c r="O3" s="91"/>
      <c r="P3" s="91"/>
      <c r="Q3" s="91"/>
      <c r="R3" s="93"/>
    </row>
    <row r="4" spans="1:18">
      <c r="A4" s="30"/>
      <c r="B4" s="164" t="s">
        <v>0</v>
      </c>
      <c r="C4" s="165" t="s">
        <v>16</v>
      </c>
      <c r="D4" s="33"/>
      <c r="E4" s="164" t="s">
        <v>0</v>
      </c>
      <c r="F4" s="165" t="s">
        <v>16</v>
      </c>
      <c r="G4" s="33"/>
      <c r="H4" s="164" t="s">
        <v>0</v>
      </c>
      <c r="I4" s="165" t="s">
        <v>16</v>
      </c>
      <c r="K4" s="164" t="s">
        <v>0</v>
      </c>
      <c r="L4" s="165" t="s">
        <v>16</v>
      </c>
      <c r="M4" s="33"/>
      <c r="N4" s="164" t="s">
        <v>0</v>
      </c>
      <c r="O4" s="165" t="s">
        <v>16</v>
      </c>
      <c r="P4" s="33"/>
      <c r="Q4" s="164" t="s">
        <v>0</v>
      </c>
      <c r="R4" s="165" t="s">
        <v>16</v>
      </c>
    </row>
    <row r="5" spans="1:18">
      <c r="A5" s="30"/>
      <c r="B5" s="164" t="s">
        <v>1</v>
      </c>
      <c r="C5" s="165" t="s">
        <v>16</v>
      </c>
      <c r="D5" s="33"/>
      <c r="E5" s="164" t="s">
        <v>1</v>
      </c>
      <c r="F5" s="165" t="s">
        <v>16</v>
      </c>
      <c r="G5" s="33"/>
      <c r="H5" s="164" t="s">
        <v>1</v>
      </c>
      <c r="I5" s="165" t="s">
        <v>16</v>
      </c>
      <c r="K5" s="164" t="s">
        <v>1</v>
      </c>
      <c r="L5" s="165" t="s">
        <v>16</v>
      </c>
      <c r="M5" s="33"/>
      <c r="N5" s="164" t="s">
        <v>1</v>
      </c>
      <c r="O5" s="165" t="s">
        <v>16</v>
      </c>
      <c r="P5" s="33"/>
      <c r="Q5" s="164" t="s">
        <v>1</v>
      </c>
      <c r="R5" s="165" t="s">
        <v>16</v>
      </c>
    </row>
    <row r="6" spans="1:18">
      <c r="A6" s="30"/>
      <c r="B6" s="164" t="s">
        <v>3</v>
      </c>
      <c r="C6" s="165" t="s">
        <v>372</v>
      </c>
      <c r="D6" s="33"/>
      <c r="E6" s="164" t="s">
        <v>3</v>
      </c>
      <c r="F6" s="165" t="s">
        <v>369</v>
      </c>
      <c r="G6" s="33"/>
      <c r="H6" s="164" t="s">
        <v>3</v>
      </c>
      <c r="I6" s="165" t="s">
        <v>371</v>
      </c>
      <c r="K6" s="164" t="s">
        <v>3</v>
      </c>
      <c r="L6" s="165" t="s">
        <v>457</v>
      </c>
      <c r="M6" s="33"/>
      <c r="N6" s="164" t="s">
        <v>3</v>
      </c>
      <c r="O6" s="165" t="s">
        <v>453</v>
      </c>
      <c r="P6" s="33"/>
      <c r="Q6" s="164" t="s">
        <v>3</v>
      </c>
      <c r="R6" s="165" t="s">
        <v>455</v>
      </c>
    </row>
    <row r="7" spans="1:18">
      <c r="A7" s="30"/>
      <c r="B7" s="57"/>
      <c r="C7" s="57"/>
      <c r="D7" s="57"/>
      <c r="E7" s="57"/>
      <c r="F7" s="57"/>
      <c r="G7" s="57"/>
      <c r="H7" s="57"/>
      <c r="I7" s="57"/>
      <c r="K7" s="90"/>
      <c r="L7" s="90"/>
      <c r="M7" s="90"/>
      <c r="N7" s="90"/>
      <c r="O7" s="90"/>
      <c r="P7" s="90"/>
      <c r="Q7" s="90"/>
      <c r="R7" s="90"/>
    </row>
    <row r="8" spans="1:18" ht="28.8">
      <c r="A8" s="24" t="s">
        <v>330</v>
      </c>
      <c r="B8" s="164" t="s">
        <v>2</v>
      </c>
      <c r="C8" t="s">
        <v>295</v>
      </c>
      <c r="D8" s="57"/>
      <c r="E8" s="164" t="s">
        <v>2</v>
      </c>
      <c r="F8" s="32" t="s">
        <v>373</v>
      </c>
      <c r="G8" s="57"/>
      <c r="H8" s="164" t="s">
        <v>2</v>
      </c>
      <c r="I8" s="32" t="s">
        <v>374</v>
      </c>
      <c r="K8" s="164" t="s">
        <v>2</v>
      </c>
      <c r="L8" t="s">
        <v>485</v>
      </c>
      <c r="M8" s="90"/>
      <c r="N8" s="164" t="s">
        <v>2</v>
      </c>
      <c r="O8" s="32" t="s">
        <v>486</v>
      </c>
      <c r="P8" s="90"/>
      <c r="Q8" s="164" t="s">
        <v>2</v>
      </c>
      <c r="R8" s="32" t="s">
        <v>487</v>
      </c>
    </row>
    <row r="9" spans="1:18">
      <c r="A9" s="23" t="str">
        <f>INDEX('DDL Tables'!$B:$B,MATCH(SUBSTITUTE(B9, " (index)",""),'DDL Tables'!$C:$C,0))</f>
        <v>TestKS</v>
      </c>
      <c r="B9" s="4" t="s">
        <v>50</v>
      </c>
      <c r="C9" s="165">
        <v>4</v>
      </c>
      <c r="D9" s="6"/>
      <c r="E9" s="4" t="s">
        <v>50</v>
      </c>
      <c r="F9" s="5">
        <v>2100</v>
      </c>
      <c r="G9" s="6"/>
      <c r="H9" s="4" t="s">
        <v>50</v>
      </c>
      <c r="I9" s="5">
        <v>1200</v>
      </c>
      <c r="K9" s="4" t="s">
        <v>50</v>
      </c>
      <c r="L9" s="165">
        <v>3</v>
      </c>
      <c r="M9" s="6"/>
      <c r="N9" s="4" t="s">
        <v>49</v>
      </c>
      <c r="O9" s="5">
        <v>12</v>
      </c>
      <c r="P9" s="6"/>
      <c r="Q9" s="4" t="s">
        <v>49</v>
      </c>
      <c r="R9" s="5">
        <v>4</v>
      </c>
    </row>
    <row r="10" spans="1:18">
      <c r="A10" s="57"/>
      <c r="B10" s="4" t="s">
        <v>18</v>
      </c>
      <c r="C10" s="165">
        <v>4</v>
      </c>
      <c r="D10" s="6"/>
      <c r="E10" s="4" t="s">
        <v>18</v>
      </c>
      <c r="F10" s="5">
        <v>2100</v>
      </c>
      <c r="G10" s="6"/>
      <c r="H10" s="4" t="s">
        <v>18</v>
      </c>
      <c r="I10" s="5">
        <v>1200</v>
      </c>
      <c r="K10" s="4" t="s">
        <v>18</v>
      </c>
      <c r="L10" s="165">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4.4"/>
  <cols>
    <col min="1" max="1" width="14" style="57" customWidth="1"/>
    <col min="2" max="2" width="32.109375" style="72" customWidth="1"/>
    <col min="3" max="3" width="13.109375" style="73" customWidth="1"/>
    <col min="4" max="4" width="25.88671875" customWidth="1"/>
    <col min="5" max="5" width="8.33203125" customWidth="1"/>
    <col min="6" max="6" width="11.33203125" bestFit="1" customWidth="1"/>
    <col min="7" max="7" width="8.88671875" style="64" customWidth="1"/>
    <col min="8" max="8" width="8.33203125" customWidth="1"/>
    <col min="9" max="9" width="11.33203125" customWidth="1"/>
    <col min="10" max="10" width="8.88671875" style="64" customWidth="1"/>
    <col min="11" max="11" width="8.33203125" customWidth="1"/>
    <col min="12" max="12" width="11.33203125" customWidth="1"/>
    <col min="13" max="13" width="8.88671875" style="64" customWidth="1"/>
    <col min="14" max="14" width="8.33203125" customWidth="1"/>
    <col min="15" max="15" width="11.33203125" customWidth="1"/>
    <col min="16" max="16" width="8.88671875" style="64" customWidth="1"/>
    <col min="17" max="17" width="8.33203125" customWidth="1"/>
    <col min="18" max="18" width="11.33203125" customWidth="1"/>
    <col min="19" max="19" width="17.44140625" style="64" bestFit="1" customWidth="1"/>
    <col min="20" max="20" width="8.5546875" customWidth="1"/>
    <col min="21" max="21" width="11.5546875" customWidth="1"/>
    <col min="22" max="22" width="9.109375" style="30"/>
    <col min="23" max="23" width="13.109375" style="72" customWidth="1"/>
    <col min="24" max="24" width="25.88671875" customWidth="1"/>
    <col min="25" max="25" width="8.33203125" customWidth="1"/>
    <col min="26" max="26" width="11.33203125" bestFit="1" customWidth="1"/>
    <col min="27" max="27" width="8.88671875" style="64" customWidth="1"/>
    <col min="28" max="28" width="8.33203125" customWidth="1"/>
    <col min="29" max="29" width="11.33203125" bestFit="1" customWidth="1"/>
    <col min="30" max="30" width="8.88671875" style="64" customWidth="1"/>
    <col min="31" max="31" width="8.33203125" customWidth="1"/>
    <col min="32" max="32" width="11.33203125" bestFit="1" customWidth="1"/>
    <col min="33" max="33" width="8.88671875" style="64" customWidth="1"/>
    <col min="34" max="34" width="8.33203125" customWidth="1"/>
    <col min="35" max="35" width="11.33203125" bestFit="1" customWidth="1"/>
    <col min="36" max="36" width="8.88671875" style="64" customWidth="1"/>
    <col min="37" max="37" width="8.33203125" customWidth="1"/>
    <col min="38" max="38" width="11.33203125" bestFit="1" customWidth="1"/>
    <col min="39" max="39" width="17.44140625" style="64" bestFit="1" customWidth="1"/>
    <col min="40" max="40" width="8.5546875" customWidth="1"/>
    <col min="41" max="41" width="11.5546875" style="72" bestFit="1" customWidth="1"/>
  </cols>
  <sheetData>
    <row r="1" spans="1:41" s="57" customFormat="1">
      <c r="A1" s="30"/>
      <c r="B1" s="68"/>
      <c r="C1" s="201" t="s">
        <v>409</v>
      </c>
      <c r="D1" s="188"/>
      <c r="E1" s="188"/>
      <c r="F1" s="188"/>
      <c r="G1" s="188"/>
      <c r="H1" s="188"/>
      <c r="I1" s="188"/>
      <c r="J1" s="188"/>
      <c r="K1" s="188"/>
      <c r="L1" s="188"/>
      <c r="M1" s="188"/>
      <c r="N1" s="188"/>
      <c r="O1" s="188"/>
      <c r="P1" s="188"/>
      <c r="Q1" s="188"/>
      <c r="R1" s="188"/>
      <c r="S1" s="188"/>
      <c r="T1" s="188"/>
      <c r="U1" s="188"/>
      <c r="V1" s="30"/>
      <c r="W1" s="201" t="s">
        <v>410</v>
      </c>
      <c r="X1" s="188"/>
      <c r="Y1" s="188"/>
      <c r="Z1" s="188"/>
      <c r="AA1" s="188"/>
      <c r="AB1" s="188"/>
      <c r="AC1" s="188"/>
      <c r="AD1" s="188"/>
      <c r="AE1" s="188"/>
      <c r="AF1" s="188"/>
      <c r="AG1" s="188"/>
      <c r="AH1" s="188"/>
      <c r="AI1" s="188"/>
      <c r="AJ1" s="188"/>
      <c r="AK1" s="188"/>
      <c r="AL1" s="188"/>
      <c r="AM1" s="188"/>
      <c r="AN1" s="188"/>
      <c r="AO1" s="188"/>
    </row>
    <row r="2" spans="1:41" s="57" customFormat="1">
      <c r="A2" s="30"/>
      <c r="B2" s="68"/>
      <c r="C2" s="201"/>
      <c r="D2" s="188"/>
      <c r="E2" s="188"/>
      <c r="F2" s="188"/>
      <c r="G2" s="188"/>
      <c r="H2" s="188"/>
      <c r="I2" s="188"/>
      <c r="J2" s="188"/>
      <c r="K2" s="188"/>
      <c r="L2" s="188"/>
      <c r="M2" s="188"/>
      <c r="N2" s="188"/>
      <c r="O2" s="188"/>
      <c r="P2" s="188"/>
      <c r="Q2" s="188"/>
      <c r="R2" s="188"/>
      <c r="S2" s="188"/>
      <c r="T2" s="188"/>
      <c r="U2" s="188"/>
      <c r="V2" s="30"/>
      <c r="W2" s="155" t="s">
        <v>0</v>
      </c>
      <c r="X2" s="156" t="s">
        <v>16</v>
      </c>
      <c r="Y2" s="30"/>
      <c r="Z2" s="30"/>
      <c r="AA2" s="30"/>
      <c r="AB2" s="30"/>
      <c r="AC2" s="30"/>
      <c r="AD2" s="30"/>
      <c r="AE2" s="30"/>
      <c r="AF2" s="30"/>
      <c r="AG2" s="30"/>
      <c r="AH2" s="30"/>
      <c r="AI2" s="30"/>
      <c r="AJ2" s="30"/>
      <c r="AK2" s="30"/>
      <c r="AL2" s="30"/>
      <c r="AM2" s="30"/>
      <c r="AN2" s="30"/>
      <c r="AO2" s="30"/>
    </row>
    <row r="3" spans="1:41">
      <c r="A3" s="30"/>
      <c r="B3" s="68"/>
      <c r="C3" s="155" t="s">
        <v>0</v>
      </c>
      <c r="D3" s="156" t="s">
        <v>16</v>
      </c>
      <c r="E3" s="30"/>
      <c r="F3" s="30"/>
      <c r="G3" s="30"/>
      <c r="H3" s="30"/>
      <c r="I3" s="30"/>
      <c r="J3" s="30"/>
      <c r="K3" s="30"/>
      <c r="L3" s="30"/>
      <c r="M3" s="30"/>
      <c r="N3" s="30"/>
      <c r="O3" s="30"/>
      <c r="P3" s="30"/>
      <c r="Q3" s="30"/>
      <c r="R3" s="30"/>
      <c r="S3" s="30"/>
      <c r="T3" s="30"/>
      <c r="U3" s="30"/>
      <c r="W3" s="155" t="s">
        <v>1</v>
      </c>
      <c r="X3" s="156" t="s">
        <v>16</v>
      </c>
      <c r="Y3" s="30"/>
      <c r="Z3" s="30"/>
      <c r="AA3" s="30"/>
      <c r="AB3" s="30"/>
      <c r="AC3" s="30"/>
      <c r="AD3" s="30"/>
      <c r="AE3" s="30"/>
      <c r="AF3" s="30"/>
      <c r="AG3" s="30"/>
      <c r="AH3" s="30"/>
      <c r="AI3" s="30"/>
      <c r="AJ3" s="30"/>
      <c r="AK3" s="30"/>
      <c r="AL3" s="30"/>
      <c r="AM3" s="30"/>
      <c r="AN3" s="30"/>
      <c r="AO3" s="30"/>
    </row>
    <row r="4" spans="1:41">
      <c r="A4" s="30"/>
      <c r="B4" s="69"/>
      <c r="C4" s="155" t="s">
        <v>1</v>
      </c>
      <c r="D4" s="156" t="s">
        <v>16</v>
      </c>
      <c r="E4" s="30"/>
      <c r="F4" s="30"/>
      <c r="G4" s="30"/>
      <c r="H4" s="30"/>
      <c r="I4" s="30"/>
      <c r="J4" s="30"/>
      <c r="K4" s="30"/>
      <c r="L4" s="30"/>
      <c r="M4" s="30"/>
      <c r="N4" s="30"/>
      <c r="O4" s="30"/>
      <c r="P4" s="30"/>
      <c r="Q4" s="30"/>
      <c r="R4" s="30"/>
      <c r="S4" s="30"/>
      <c r="T4" s="30"/>
      <c r="U4" s="30"/>
      <c r="W4" s="76" t="s">
        <v>2</v>
      </c>
      <c r="X4" s="156" t="s">
        <v>16</v>
      </c>
      <c r="Y4" s="30"/>
      <c r="Z4" s="30"/>
      <c r="AA4" s="30"/>
      <c r="AB4" s="30"/>
      <c r="AC4" s="30"/>
      <c r="AD4" s="30"/>
      <c r="AE4" s="30"/>
      <c r="AF4" s="30"/>
      <c r="AG4" s="30"/>
      <c r="AH4" s="30"/>
      <c r="AI4" s="30"/>
      <c r="AJ4" s="30"/>
      <c r="AK4" s="30"/>
      <c r="AL4" s="30"/>
      <c r="AM4" s="30"/>
      <c r="AN4" s="30"/>
      <c r="AO4" s="30"/>
    </row>
    <row r="5" spans="1:41">
      <c r="A5" s="30"/>
      <c r="B5" s="69"/>
      <c r="C5" s="155" t="s">
        <v>3</v>
      </c>
      <c r="D5" s="156" t="s">
        <v>362</v>
      </c>
      <c r="E5" s="30"/>
      <c r="F5" s="30"/>
      <c r="G5" s="30"/>
      <c r="H5" s="30"/>
      <c r="I5" s="30"/>
      <c r="J5" s="30"/>
      <c r="K5" s="30"/>
      <c r="L5" s="30"/>
      <c r="M5" s="30"/>
      <c r="N5" s="30"/>
      <c r="O5" s="30"/>
      <c r="P5" s="30"/>
      <c r="Q5" s="30"/>
      <c r="R5" s="30"/>
      <c r="S5" s="30"/>
      <c r="T5" s="30"/>
      <c r="U5" s="30"/>
      <c r="W5" s="155" t="s">
        <v>3</v>
      </c>
      <c r="X5" s="156"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56" t="s">
        <v>393</v>
      </c>
      <c r="F7" s="156" t="s">
        <v>394</v>
      </c>
      <c r="G7" s="66" t="s">
        <v>392</v>
      </c>
      <c r="H7" s="67" t="s">
        <v>395</v>
      </c>
      <c r="I7" s="67" t="s">
        <v>396</v>
      </c>
      <c r="J7" s="64" t="s">
        <v>397</v>
      </c>
      <c r="K7" s="156" t="s">
        <v>398</v>
      </c>
      <c r="L7" s="156" t="s">
        <v>399</v>
      </c>
      <c r="M7" s="66" t="s">
        <v>400</v>
      </c>
      <c r="N7" s="67" t="s">
        <v>401</v>
      </c>
      <c r="O7" s="67" t="s">
        <v>402</v>
      </c>
      <c r="P7" s="64" t="s">
        <v>403</v>
      </c>
      <c r="Q7" s="156" t="s">
        <v>404</v>
      </c>
      <c r="R7" s="156" t="s">
        <v>405</v>
      </c>
      <c r="S7" s="66" t="s">
        <v>406</v>
      </c>
      <c r="T7" s="67" t="s">
        <v>407</v>
      </c>
      <c r="U7" s="67" t="s">
        <v>408</v>
      </c>
      <c r="W7" s="74" t="s">
        <v>17</v>
      </c>
      <c r="X7" s="32" t="s">
        <v>391</v>
      </c>
      <c r="Y7" s="156" t="s">
        <v>393</v>
      </c>
      <c r="Z7" s="156" t="s">
        <v>394</v>
      </c>
      <c r="AA7" s="66" t="s">
        <v>392</v>
      </c>
      <c r="AB7" s="67" t="s">
        <v>395</v>
      </c>
      <c r="AC7" s="67" t="s">
        <v>396</v>
      </c>
      <c r="AD7" s="64" t="s">
        <v>397</v>
      </c>
      <c r="AE7" s="156" t="s">
        <v>398</v>
      </c>
      <c r="AF7" s="156" t="s">
        <v>399</v>
      </c>
      <c r="AG7" s="66" t="s">
        <v>400</v>
      </c>
      <c r="AH7" s="67" t="s">
        <v>401</v>
      </c>
      <c r="AI7" s="67" t="s">
        <v>402</v>
      </c>
      <c r="AJ7" s="64" t="s">
        <v>403</v>
      </c>
      <c r="AK7" s="156" t="s">
        <v>404</v>
      </c>
      <c r="AL7" s="156"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ColWidth="9.109375" defaultRowHeight="14.4"/>
  <cols>
    <col min="1" max="1" width="14" style="86" customWidth="1"/>
    <col min="2" max="2" width="32.109375" style="72" customWidth="1"/>
    <col min="3" max="3" width="13.109375" style="73" customWidth="1"/>
    <col min="4" max="4" width="22.33203125" style="86" customWidth="1"/>
    <col min="5" max="5" width="8.33203125" style="86" customWidth="1"/>
    <col min="6" max="6" width="11.33203125" style="86" bestFit="1" customWidth="1"/>
    <col min="7" max="7" width="8.88671875" style="64" customWidth="1"/>
    <col min="8" max="8" width="8.33203125" style="86" customWidth="1"/>
    <col min="9" max="9" width="11.33203125" style="86" customWidth="1"/>
    <col min="10" max="10" width="8.88671875" style="64" customWidth="1"/>
    <col min="11" max="11" width="8.33203125" style="86" customWidth="1"/>
    <col min="12" max="12" width="11.33203125" style="86" customWidth="1"/>
    <col min="13" max="13" width="8.88671875" style="64" customWidth="1"/>
    <col min="14" max="14" width="8.33203125" style="86" customWidth="1"/>
    <col min="15" max="15" width="11.33203125" style="86" customWidth="1"/>
    <col min="16" max="16" width="8.88671875" style="64" customWidth="1"/>
    <col min="17" max="17" width="8.33203125" style="86" customWidth="1"/>
    <col min="18" max="18" width="11.33203125" style="86" customWidth="1"/>
    <col min="19" max="19" width="17.44140625" style="64" bestFit="1" customWidth="1"/>
    <col min="20" max="20" width="8.5546875" style="86" customWidth="1"/>
    <col min="21" max="21" width="11.5546875" style="86" customWidth="1"/>
    <col min="22" max="22" width="9.109375" style="30"/>
    <col min="23" max="23" width="13.109375" style="72" customWidth="1"/>
    <col min="24" max="24" width="22.33203125" style="86" customWidth="1"/>
    <col min="25" max="25" width="8.33203125" style="86" customWidth="1"/>
    <col min="26" max="26" width="11.33203125" style="86" bestFit="1" customWidth="1"/>
    <col min="27" max="27" width="8.88671875" style="64" customWidth="1"/>
    <col min="28" max="28" width="8.33203125" style="86" customWidth="1"/>
    <col min="29" max="29" width="11.33203125" style="86" bestFit="1" customWidth="1"/>
    <col min="30" max="30" width="8.88671875" style="64" customWidth="1"/>
    <col min="31" max="31" width="8.33203125" style="86" customWidth="1"/>
    <col min="32" max="32" width="11.33203125" style="86" bestFit="1" customWidth="1"/>
    <col min="33" max="33" width="8.88671875" style="64" customWidth="1"/>
    <col min="34" max="34" width="8.33203125" style="86" customWidth="1"/>
    <col min="35" max="35" width="11.33203125" style="86" bestFit="1" customWidth="1"/>
    <col min="36" max="36" width="8.88671875" style="64" customWidth="1"/>
    <col min="37" max="37" width="8.33203125" style="86" customWidth="1"/>
    <col min="38" max="38" width="11.33203125" style="86" bestFit="1" customWidth="1"/>
    <col min="39" max="39" width="17.44140625" style="64" bestFit="1" customWidth="1"/>
    <col min="40" max="40" width="8.5546875" style="86" customWidth="1"/>
    <col min="41" max="41" width="11.5546875" style="72" bestFit="1" customWidth="1"/>
    <col min="42" max="16384" width="9.109375" style="86"/>
  </cols>
  <sheetData>
    <row r="1" spans="1:41">
      <c r="A1" s="30"/>
      <c r="B1" s="68"/>
      <c r="C1" s="201" t="s">
        <v>409</v>
      </c>
      <c r="D1" s="188"/>
      <c r="E1" s="188"/>
      <c r="F1" s="188"/>
      <c r="G1" s="188"/>
      <c r="H1" s="188"/>
      <c r="I1" s="188"/>
      <c r="J1" s="188"/>
      <c r="K1" s="188"/>
      <c r="L1" s="188"/>
      <c r="M1" s="188"/>
      <c r="N1" s="188"/>
      <c r="O1" s="188"/>
      <c r="P1" s="188"/>
      <c r="Q1" s="188"/>
      <c r="R1" s="188"/>
      <c r="S1" s="188"/>
      <c r="T1" s="188"/>
      <c r="U1" s="188"/>
      <c r="W1" s="201" t="s">
        <v>410</v>
      </c>
      <c r="X1" s="188"/>
      <c r="Y1" s="188"/>
      <c r="Z1" s="188"/>
      <c r="AA1" s="188"/>
      <c r="AB1" s="188"/>
      <c r="AC1" s="188"/>
      <c r="AD1" s="188"/>
      <c r="AE1" s="188"/>
      <c r="AF1" s="188"/>
      <c r="AG1" s="188"/>
      <c r="AH1" s="188"/>
      <c r="AI1" s="188"/>
      <c r="AJ1" s="188"/>
      <c r="AK1" s="188"/>
      <c r="AL1" s="188"/>
      <c r="AM1" s="188"/>
      <c r="AN1" s="188"/>
      <c r="AO1" s="188"/>
    </row>
    <row r="2" spans="1:41">
      <c r="A2" s="30"/>
      <c r="B2" s="68"/>
      <c r="C2" s="201"/>
      <c r="D2" s="188"/>
      <c r="E2" s="188"/>
      <c r="F2" s="188"/>
      <c r="G2" s="188"/>
      <c r="H2" s="188"/>
      <c r="I2" s="188"/>
      <c r="J2" s="188"/>
      <c r="K2" s="188"/>
      <c r="L2" s="188"/>
      <c r="M2" s="188"/>
      <c r="N2" s="188"/>
      <c r="O2" s="188"/>
      <c r="P2" s="188"/>
      <c r="Q2" s="188"/>
      <c r="R2" s="188"/>
      <c r="S2" s="188"/>
      <c r="T2" s="188"/>
      <c r="U2" s="188"/>
      <c r="W2" s="155" t="s">
        <v>0</v>
      </c>
      <c r="X2" s="156" t="s">
        <v>16</v>
      </c>
      <c r="Y2" s="30"/>
      <c r="Z2" s="30"/>
      <c r="AA2" s="30"/>
      <c r="AB2" s="30"/>
      <c r="AC2" s="30"/>
      <c r="AD2" s="30"/>
      <c r="AE2" s="30"/>
      <c r="AF2" s="30"/>
      <c r="AG2" s="30"/>
      <c r="AH2" s="30"/>
      <c r="AI2" s="30"/>
      <c r="AJ2" s="30"/>
      <c r="AK2" s="30"/>
      <c r="AL2" s="30"/>
      <c r="AM2" s="30"/>
      <c r="AN2" s="30"/>
      <c r="AO2" s="30"/>
    </row>
    <row r="3" spans="1:41">
      <c r="A3" s="30"/>
      <c r="B3" s="68"/>
      <c r="C3" s="155" t="s">
        <v>0</v>
      </c>
      <c r="D3" s="156" t="s">
        <v>16</v>
      </c>
      <c r="E3" s="30"/>
      <c r="F3" s="30"/>
      <c r="G3" s="30"/>
      <c r="H3" s="30"/>
      <c r="I3" s="30"/>
      <c r="J3" s="30"/>
      <c r="K3" s="30"/>
      <c r="L3" s="30"/>
      <c r="M3" s="30"/>
      <c r="N3" s="30"/>
      <c r="O3" s="30"/>
      <c r="P3" s="30"/>
      <c r="Q3" s="30"/>
      <c r="R3" s="30"/>
      <c r="S3" s="30"/>
      <c r="T3" s="30"/>
      <c r="U3" s="30"/>
      <c r="W3" s="155" t="s">
        <v>1</v>
      </c>
      <c r="X3" s="156" t="s">
        <v>16</v>
      </c>
      <c r="Y3" s="30"/>
      <c r="Z3" s="30"/>
      <c r="AA3" s="30"/>
      <c r="AB3" s="30"/>
      <c r="AC3" s="30"/>
      <c r="AD3" s="30"/>
      <c r="AE3" s="30"/>
      <c r="AF3" s="30"/>
      <c r="AG3" s="30"/>
      <c r="AH3" s="30"/>
      <c r="AI3" s="30"/>
      <c r="AJ3" s="30"/>
      <c r="AK3" s="30"/>
      <c r="AL3" s="30"/>
      <c r="AM3" s="30"/>
      <c r="AN3" s="30"/>
      <c r="AO3" s="30"/>
    </row>
    <row r="4" spans="1:41">
      <c r="A4" s="30"/>
      <c r="B4" s="69"/>
      <c r="C4" s="155" t="s">
        <v>1</v>
      </c>
      <c r="D4" s="156" t="s">
        <v>16</v>
      </c>
      <c r="E4" s="30"/>
      <c r="F4" s="30"/>
      <c r="G4" s="30"/>
      <c r="H4" s="30"/>
      <c r="I4" s="30"/>
      <c r="J4" s="30"/>
      <c r="K4" s="30"/>
      <c r="L4" s="30"/>
      <c r="M4" s="30"/>
      <c r="N4" s="30"/>
      <c r="O4" s="30"/>
      <c r="P4" s="30"/>
      <c r="Q4" s="30"/>
      <c r="R4" s="30"/>
      <c r="S4" s="30"/>
      <c r="T4" s="30"/>
      <c r="U4" s="30"/>
      <c r="W4" s="76" t="s">
        <v>2</v>
      </c>
      <c r="X4" s="156" t="s">
        <v>16</v>
      </c>
      <c r="Y4" s="30"/>
      <c r="Z4" s="30"/>
      <c r="AA4" s="30"/>
      <c r="AB4" s="30"/>
      <c r="AC4" s="30"/>
      <c r="AD4" s="30"/>
      <c r="AE4" s="30"/>
      <c r="AF4" s="30"/>
      <c r="AG4" s="30"/>
      <c r="AH4" s="30"/>
      <c r="AI4" s="30"/>
      <c r="AJ4" s="30"/>
      <c r="AK4" s="30"/>
      <c r="AL4" s="30"/>
      <c r="AM4" s="30"/>
      <c r="AN4" s="30"/>
      <c r="AO4" s="30"/>
    </row>
    <row r="5" spans="1:41">
      <c r="A5" s="30"/>
      <c r="B5" s="69"/>
      <c r="C5" s="155" t="s">
        <v>3</v>
      </c>
      <c r="D5" s="156" t="s">
        <v>360</v>
      </c>
      <c r="E5" s="30"/>
      <c r="F5" s="30"/>
      <c r="G5" s="30"/>
      <c r="H5" s="30"/>
      <c r="I5" s="30"/>
      <c r="J5" s="30"/>
      <c r="K5" s="30"/>
      <c r="L5" s="30"/>
      <c r="M5" s="30"/>
      <c r="N5" s="30"/>
      <c r="O5" s="30"/>
      <c r="P5" s="30"/>
      <c r="Q5" s="30"/>
      <c r="R5" s="30"/>
      <c r="S5" s="30"/>
      <c r="T5" s="30"/>
      <c r="U5" s="30"/>
      <c r="W5" s="155" t="s">
        <v>3</v>
      </c>
      <c r="X5" s="156"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56" t="s">
        <v>393</v>
      </c>
      <c r="F7" s="156" t="s">
        <v>394</v>
      </c>
      <c r="G7" s="66" t="s">
        <v>392</v>
      </c>
      <c r="H7" s="67" t="s">
        <v>395</v>
      </c>
      <c r="I7" s="67" t="s">
        <v>396</v>
      </c>
      <c r="J7" s="64" t="s">
        <v>397</v>
      </c>
      <c r="K7" s="156" t="s">
        <v>398</v>
      </c>
      <c r="L7" s="156" t="s">
        <v>399</v>
      </c>
      <c r="M7" s="66" t="s">
        <v>400</v>
      </c>
      <c r="N7" s="67" t="s">
        <v>401</v>
      </c>
      <c r="O7" s="67" t="s">
        <v>402</v>
      </c>
      <c r="P7" s="64" t="s">
        <v>403</v>
      </c>
      <c r="Q7" s="156" t="s">
        <v>404</v>
      </c>
      <c r="R7" s="156" t="s">
        <v>405</v>
      </c>
      <c r="S7" s="66" t="s">
        <v>406</v>
      </c>
      <c r="T7" s="67" t="s">
        <v>407</v>
      </c>
      <c r="U7" s="67" t="s">
        <v>408</v>
      </c>
      <c r="W7" s="74" t="s">
        <v>17</v>
      </c>
      <c r="X7" s="32" t="s">
        <v>523</v>
      </c>
      <c r="Y7" s="156" t="s">
        <v>393</v>
      </c>
      <c r="Z7" s="156" t="s">
        <v>394</v>
      </c>
      <c r="AA7" s="66" t="s">
        <v>392</v>
      </c>
      <c r="AB7" s="67" t="s">
        <v>395</v>
      </c>
      <c r="AC7" s="67" t="s">
        <v>396</v>
      </c>
      <c r="AD7" s="64" t="s">
        <v>397</v>
      </c>
      <c r="AE7" s="156" t="s">
        <v>398</v>
      </c>
      <c r="AF7" s="156" t="s">
        <v>399</v>
      </c>
      <c r="AG7" s="66" t="s">
        <v>400</v>
      </c>
      <c r="AH7" s="67" t="s">
        <v>401</v>
      </c>
      <c r="AI7" s="67" t="s">
        <v>402</v>
      </c>
      <c r="AJ7" s="64" t="s">
        <v>403</v>
      </c>
      <c r="AK7" s="156" t="s">
        <v>404</v>
      </c>
      <c r="AL7" s="156"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ColWidth="9.109375" defaultRowHeight="14.4"/>
  <cols>
    <col min="1" max="1" width="14" style="57" customWidth="1"/>
    <col min="2" max="2" width="32.109375" style="72" customWidth="1"/>
    <col min="3" max="3" width="13.109375" style="73" customWidth="1"/>
    <col min="4" max="4" width="22" style="57" customWidth="1"/>
    <col min="5" max="5" width="8.33203125" style="57" customWidth="1"/>
    <col min="6" max="6" width="11.33203125" style="57" bestFit="1" customWidth="1"/>
    <col min="7" max="7" width="8.88671875" style="64" customWidth="1"/>
    <col min="8" max="8" width="8.33203125" style="57" customWidth="1"/>
    <col min="9" max="9" width="11.33203125" style="57" customWidth="1"/>
    <col min="10" max="10" width="8.88671875" style="64" customWidth="1"/>
    <col min="11" max="11" width="8.33203125" style="57" customWidth="1"/>
    <col min="12" max="12" width="11.33203125" style="57" customWidth="1"/>
    <col min="13" max="13" width="8.88671875" style="64" customWidth="1"/>
    <col min="14" max="14" width="8.33203125" style="57" customWidth="1"/>
    <col min="15" max="15" width="11.33203125" style="57" customWidth="1"/>
    <col min="16" max="16" width="8.88671875" style="64" customWidth="1"/>
    <col min="17" max="17" width="8.33203125" style="57" customWidth="1"/>
    <col min="18" max="18" width="11.33203125" style="57" customWidth="1"/>
    <col min="19" max="19" width="17.44140625" style="64" bestFit="1" customWidth="1"/>
    <col min="20" max="20" width="9.109375" style="57" customWidth="1"/>
    <col min="21" max="21" width="11.5546875" style="57" customWidth="1"/>
    <col min="22" max="22" width="9.109375" style="30"/>
    <col min="23" max="23" width="13.109375" style="72" customWidth="1"/>
    <col min="24" max="24" width="22" style="57" customWidth="1"/>
    <col min="25" max="25" width="8.33203125" style="57" customWidth="1"/>
    <col min="26" max="26" width="11.33203125" style="57" bestFit="1" customWidth="1"/>
    <col min="27" max="27" width="8.88671875" style="64" customWidth="1"/>
    <col min="28" max="28" width="8.33203125" style="57" customWidth="1"/>
    <col min="29" max="29" width="11.33203125" style="57" bestFit="1" customWidth="1"/>
    <col min="30" max="30" width="8.88671875" style="64" customWidth="1"/>
    <col min="31" max="31" width="8.33203125" style="57" customWidth="1"/>
    <col min="32" max="32" width="11.33203125" style="57" bestFit="1" customWidth="1"/>
    <col min="33" max="33" width="8.88671875" style="64" customWidth="1"/>
    <col min="34" max="34" width="8.33203125" style="57" customWidth="1"/>
    <col min="35" max="35" width="11.33203125" style="57" bestFit="1" customWidth="1"/>
    <col min="36" max="36" width="8.88671875" style="64" customWidth="1"/>
    <col min="37" max="37" width="8.33203125" style="57" customWidth="1"/>
    <col min="38" max="38" width="11.33203125" style="57" bestFit="1" customWidth="1"/>
    <col min="39" max="39" width="17.44140625" style="64" bestFit="1" customWidth="1"/>
    <col min="40" max="40" width="9.109375" style="57" customWidth="1"/>
    <col min="41" max="41" width="11.5546875" style="72" bestFit="1" customWidth="1"/>
    <col min="42" max="16384" width="9.109375" style="57"/>
  </cols>
  <sheetData>
    <row r="1" spans="1:41">
      <c r="A1" s="30"/>
      <c r="B1" s="68"/>
      <c r="C1" s="201" t="s">
        <v>409</v>
      </c>
      <c r="D1" s="188"/>
      <c r="E1" s="188"/>
      <c r="F1" s="188"/>
      <c r="G1" s="188"/>
      <c r="H1" s="188"/>
      <c r="I1" s="188"/>
      <c r="J1" s="188"/>
      <c r="K1" s="188"/>
      <c r="L1" s="188"/>
      <c r="M1" s="188"/>
      <c r="N1" s="188"/>
      <c r="O1" s="188"/>
      <c r="P1" s="188"/>
      <c r="Q1" s="188"/>
      <c r="R1" s="188"/>
      <c r="S1" s="188"/>
      <c r="T1" s="188"/>
      <c r="U1" s="188"/>
      <c r="W1" s="201" t="s">
        <v>410</v>
      </c>
      <c r="X1" s="188"/>
      <c r="Y1" s="188"/>
      <c r="Z1" s="188"/>
      <c r="AA1" s="188"/>
      <c r="AB1" s="188"/>
      <c r="AC1" s="188"/>
      <c r="AD1" s="188"/>
      <c r="AE1" s="188"/>
      <c r="AF1" s="188"/>
      <c r="AG1" s="188"/>
      <c r="AH1" s="188"/>
      <c r="AI1" s="188"/>
      <c r="AJ1" s="188"/>
      <c r="AK1" s="188"/>
      <c r="AL1" s="188"/>
      <c r="AM1" s="188"/>
      <c r="AN1" s="188"/>
      <c r="AO1" s="188"/>
    </row>
    <row r="2" spans="1:41">
      <c r="A2" s="30"/>
      <c r="B2" s="68"/>
      <c r="C2" s="201"/>
      <c r="D2" s="188"/>
      <c r="E2" s="188"/>
      <c r="F2" s="188"/>
      <c r="G2" s="188"/>
      <c r="H2" s="188"/>
      <c r="I2" s="188"/>
      <c r="J2" s="188"/>
      <c r="K2" s="188"/>
      <c r="L2" s="188"/>
      <c r="M2" s="188"/>
      <c r="N2" s="188"/>
      <c r="O2" s="188"/>
      <c r="P2" s="188"/>
      <c r="Q2" s="188"/>
      <c r="R2" s="188"/>
      <c r="S2" s="188"/>
      <c r="T2" s="188"/>
      <c r="U2" s="188"/>
      <c r="W2" s="155" t="s">
        <v>0</v>
      </c>
      <c r="X2" s="156" t="s">
        <v>16</v>
      </c>
      <c r="Y2" s="30"/>
      <c r="Z2" s="30"/>
      <c r="AA2" s="30"/>
      <c r="AB2" s="30"/>
      <c r="AC2" s="30"/>
      <c r="AD2" s="30"/>
      <c r="AE2" s="30"/>
      <c r="AF2" s="30"/>
      <c r="AG2" s="30"/>
      <c r="AH2" s="30"/>
      <c r="AI2" s="30"/>
      <c r="AJ2" s="30"/>
      <c r="AK2" s="30"/>
      <c r="AL2" s="30"/>
      <c r="AM2" s="30"/>
      <c r="AN2" s="30"/>
      <c r="AO2" s="30"/>
    </row>
    <row r="3" spans="1:41">
      <c r="A3" s="30"/>
      <c r="B3" s="68"/>
      <c r="C3" s="155" t="s">
        <v>0</v>
      </c>
      <c r="D3" s="156" t="s">
        <v>16</v>
      </c>
      <c r="E3" s="30"/>
      <c r="F3" s="30"/>
      <c r="G3" s="30"/>
      <c r="H3" s="30"/>
      <c r="I3" s="30"/>
      <c r="J3" s="30"/>
      <c r="K3" s="30"/>
      <c r="L3" s="30"/>
      <c r="M3" s="30"/>
      <c r="N3" s="30"/>
      <c r="O3" s="30"/>
      <c r="P3" s="30"/>
      <c r="Q3" s="30"/>
      <c r="R3" s="30"/>
      <c r="S3" s="30"/>
      <c r="T3" s="30"/>
      <c r="U3" s="30"/>
      <c r="W3" s="155" t="s">
        <v>1</v>
      </c>
      <c r="X3" s="156" t="s">
        <v>16</v>
      </c>
      <c r="Y3" s="30"/>
      <c r="Z3" s="30"/>
      <c r="AA3" s="30"/>
      <c r="AB3" s="30"/>
      <c r="AC3" s="30"/>
      <c r="AD3" s="30"/>
      <c r="AE3" s="30"/>
      <c r="AF3" s="30"/>
      <c r="AG3" s="30"/>
      <c r="AH3" s="30"/>
      <c r="AI3" s="30"/>
      <c r="AJ3" s="30"/>
      <c r="AK3" s="30"/>
      <c r="AL3" s="30"/>
      <c r="AM3" s="30"/>
      <c r="AN3" s="30"/>
      <c r="AO3" s="30"/>
    </row>
    <row r="4" spans="1:41">
      <c r="A4" s="30"/>
      <c r="B4" s="69"/>
      <c r="C4" s="155" t="s">
        <v>1</v>
      </c>
      <c r="D4" s="156" t="s">
        <v>16</v>
      </c>
      <c r="E4" s="30"/>
      <c r="F4" s="30"/>
      <c r="G4" s="30"/>
      <c r="H4" s="30"/>
      <c r="I4" s="30"/>
      <c r="J4" s="30"/>
      <c r="K4" s="30"/>
      <c r="L4" s="30"/>
      <c r="M4" s="30"/>
      <c r="N4" s="30"/>
      <c r="O4" s="30"/>
      <c r="P4" s="30"/>
      <c r="Q4" s="30"/>
      <c r="R4" s="30"/>
      <c r="S4" s="30"/>
      <c r="T4" s="30"/>
      <c r="U4" s="30"/>
      <c r="W4" s="76" t="s">
        <v>2</v>
      </c>
      <c r="X4" s="156" t="s">
        <v>16</v>
      </c>
      <c r="Y4" s="30"/>
      <c r="Z4" s="30"/>
      <c r="AA4" s="30"/>
      <c r="AB4" s="30"/>
      <c r="AC4" s="30"/>
      <c r="AD4" s="30"/>
      <c r="AE4" s="30"/>
      <c r="AF4" s="30"/>
      <c r="AG4" s="30"/>
      <c r="AH4" s="30"/>
      <c r="AI4" s="30"/>
      <c r="AJ4" s="30"/>
      <c r="AK4" s="30"/>
      <c r="AL4" s="30"/>
      <c r="AM4" s="30"/>
      <c r="AN4" s="30"/>
      <c r="AO4" s="30"/>
    </row>
    <row r="5" spans="1:41">
      <c r="A5" s="30"/>
      <c r="B5" s="69"/>
      <c r="C5" s="155" t="s">
        <v>3</v>
      </c>
      <c r="D5" s="156" t="s">
        <v>361</v>
      </c>
      <c r="E5" s="30"/>
      <c r="F5" s="30"/>
      <c r="G5" s="30"/>
      <c r="H5" s="30"/>
      <c r="I5" s="30"/>
      <c r="J5" s="30"/>
      <c r="K5" s="30"/>
      <c r="L5" s="30"/>
      <c r="M5" s="30"/>
      <c r="N5" s="30"/>
      <c r="O5" s="30"/>
      <c r="P5" s="30"/>
      <c r="Q5" s="30"/>
      <c r="R5" s="30"/>
      <c r="S5" s="30"/>
      <c r="T5" s="30"/>
      <c r="U5" s="30"/>
      <c r="W5" s="155" t="s">
        <v>3</v>
      </c>
      <c r="X5" s="156"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28.8">
      <c r="A7" s="24" t="s">
        <v>330</v>
      </c>
      <c r="B7" s="70" t="s">
        <v>94</v>
      </c>
      <c r="C7" s="76" t="s">
        <v>17</v>
      </c>
      <c r="D7" s="32" t="s">
        <v>524</v>
      </c>
      <c r="E7" s="156" t="s">
        <v>393</v>
      </c>
      <c r="F7" s="156" t="s">
        <v>394</v>
      </c>
      <c r="G7" s="66" t="s">
        <v>392</v>
      </c>
      <c r="H7" s="67" t="s">
        <v>395</v>
      </c>
      <c r="I7" s="67" t="s">
        <v>396</v>
      </c>
      <c r="J7" s="64" t="s">
        <v>397</v>
      </c>
      <c r="K7" s="156" t="s">
        <v>398</v>
      </c>
      <c r="L7" s="156" t="s">
        <v>399</v>
      </c>
      <c r="M7" s="66" t="s">
        <v>400</v>
      </c>
      <c r="N7" s="67" t="s">
        <v>401</v>
      </c>
      <c r="O7" s="67" t="s">
        <v>402</v>
      </c>
      <c r="P7" s="64" t="s">
        <v>403</v>
      </c>
      <c r="Q7" s="156" t="s">
        <v>404</v>
      </c>
      <c r="R7" s="156" t="s">
        <v>405</v>
      </c>
      <c r="S7" s="66" t="s">
        <v>406</v>
      </c>
      <c r="T7" s="67" t="s">
        <v>407</v>
      </c>
      <c r="U7" s="67" t="s">
        <v>408</v>
      </c>
      <c r="W7" s="74" t="s">
        <v>17</v>
      </c>
      <c r="X7" s="32" t="s">
        <v>524</v>
      </c>
      <c r="Y7" s="156" t="s">
        <v>393</v>
      </c>
      <c r="Z7" s="156" t="s">
        <v>394</v>
      </c>
      <c r="AA7" s="66" t="s">
        <v>392</v>
      </c>
      <c r="AB7" s="67" t="s">
        <v>395</v>
      </c>
      <c r="AC7" s="67" t="s">
        <v>396</v>
      </c>
      <c r="AD7" s="64" t="s">
        <v>397</v>
      </c>
      <c r="AE7" s="156" t="s">
        <v>398</v>
      </c>
      <c r="AF7" s="156" t="s">
        <v>399</v>
      </c>
      <c r="AG7" s="66" t="s">
        <v>400</v>
      </c>
      <c r="AH7" s="67" t="s">
        <v>401</v>
      </c>
      <c r="AI7" s="67" t="s">
        <v>402</v>
      </c>
      <c r="AJ7" s="64" t="s">
        <v>403</v>
      </c>
      <c r="AK7" s="156" t="s">
        <v>404</v>
      </c>
      <c r="AL7" s="156"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ColWidth="9.109375" defaultRowHeight="14.4"/>
  <cols>
    <col min="1" max="1" width="14" style="57" customWidth="1"/>
    <col min="2" max="2" width="32.109375" style="72" customWidth="1"/>
    <col min="3" max="3" width="13.109375" style="73" customWidth="1"/>
    <col min="4" max="4" width="19.5546875" style="57" customWidth="1"/>
    <col min="5" max="5" width="8.33203125" style="57" customWidth="1"/>
    <col min="6" max="6" width="11.33203125" style="57" bestFit="1" customWidth="1"/>
    <col min="7" max="7" width="8.88671875" style="64" customWidth="1"/>
    <col min="8" max="8" width="8.33203125" style="57" customWidth="1"/>
    <col min="9" max="9" width="11.33203125" style="57" customWidth="1"/>
    <col min="10" max="10" width="8.88671875" style="64" customWidth="1"/>
    <col min="11" max="11" width="8.33203125" style="57" customWidth="1"/>
    <col min="12" max="12" width="11.33203125" style="57" customWidth="1"/>
    <col min="13" max="13" width="8.88671875" style="64" customWidth="1"/>
    <col min="14" max="14" width="8.33203125" style="57" customWidth="1"/>
    <col min="15" max="15" width="11.33203125" style="57" customWidth="1"/>
    <col min="16" max="16" width="8.88671875" style="64" customWidth="1"/>
    <col min="17" max="17" width="8.33203125" style="57" customWidth="1"/>
    <col min="18" max="18" width="11.33203125" style="57" customWidth="1"/>
    <col min="19" max="19" width="17.44140625" style="64" bestFit="1" customWidth="1"/>
    <col min="20" max="20" width="8.5546875" style="57" customWidth="1"/>
    <col min="21" max="21" width="11.5546875" style="57" customWidth="1"/>
    <col min="22" max="22" width="9.109375" style="30"/>
    <col min="23" max="23" width="13.109375" style="72" customWidth="1"/>
    <col min="24" max="24" width="19.5546875" style="57" customWidth="1"/>
    <col min="25" max="25" width="8.33203125" style="57" customWidth="1"/>
    <col min="26" max="26" width="11.33203125" style="57" bestFit="1" customWidth="1"/>
    <col min="27" max="27" width="8.88671875" style="64" customWidth="1"/>
    <col min="28" max="28" width="8.33203125" style="57" customWidth="1"/>
    <col min="29" max="29" width="11.33203125" style="57" bestFit="1" customWidth="1"/>
    <col min="30" max="30" width="8.88671875" style="64" customWidth="1"/>
    <col min="31" max="31" width="8.33203125" style="57" customWidth="1"/>
    <col min="32" max="32" width="11.33203125" style="57" bestFit="1" customWidth="1"/>
    <col min="33" max="33" width="8.88671875" style="64" customWidth="1"/>
    <col min="34" max="34" width="8.33203125" style="57" customWidth="1"/>
    <col min="35" max="35" width="11.33203125" style="57" bestFit="1" customWidth="1"/>
    <col min="36" max="36" width="8.88671875" style="64" customWidth="1"/>
    <col min="37" max="37" width="8.33203125" style="57" customWidth="1"/>
    <col min="38" max="38" width="11.33203125" style="57" bestFit="1" customWidth="1"/>
    <col min="39" max="39" width="17.44140625" style="64" bestFit="1" customWidth="1"/>
    <col min="40" max="40" width="8.5546875" style="57" customWidth="1"/>
    <col min="41" max="41" width="11.5546875" style="72" bestFit="1" customWidth="1"/>
    <col min="42" max="16384" width="9.109375" style="57"/>
  </cols>
  <sheetData>
    <row r="1" spans="1:41">
      <c r="A1" s="30"/>
      <c r="B1" s="68"/>
      <c r="C1" s="201" t="s">
        <v>409</v>
      </c>
      <c r="D1" s="188"/>
      <c r="E1" s="188"/>
      <c r="F1" s="188"/>
      <c r="G1" s="188"/>
      <c r="H1" s="188"/>
      <c r="I1" s="188"/>
      <c r="J1" s="188"/>
      <c r="K1" s="188"/>
      <c r="L1" s="188"/>
      <c r="M1" s="188"/>
      <c r="N1" s="188"/>
      <c r="O1" s="188"/>
      <c r="P1" s="188"/>
      <c r="Q1" s="188"/>
      <c r="R1" s="188"/>
      <c r="S1" s="188"/>
      <c r="T1" s="188"/>
      <c r="U1" s="188"/>
      <c r="W1" s="201" t="s">
        <v>410</v>
      </c>
      <c r="X1" s="188"/>
      <c r="Y1" s="188"/>
      <c r="Z1" s="188"/>
      <c r="AA1" s="188"/>
      <c r="AB1" s="188"/>
      <c r="AC1" s="188"/>
      <c r="AD1" s="188"/>
      <c r="AE1" s="188"/>
      <c r="AF1" s="188"/>
      <c r="AG1" s="188"/>
      <c r="AH1" s="188"/>
      <c r="AI1" s="188"/>
      <c r="AJ1" s="188"/>
      <c r="AK1" s="188"/>
      <c r="AL1" s="188"/>
      <c r="AM1" s="188"/>
      <c r="AN1" s="188"/>
      <c r="AO1" s="188"/>
    </row>
    <row r="2" spans="1:41">
      <c r="A2" s="30"/>
      <c r="B2" s="68"/>
      <c r="C2" s="201"/>
      <c r="D2" s="188"/>
      <c r="E2" s="188"/>
      <c r="F2" s="188"/>
      <c r="G2" s="188"/>
      <c r="H2" s="188"/>
      <c r="I2" s="188"/>
      <c r="J2" s="188"/>
      <c r="K2" s="188"/>
      <c r="L2" s="188"/>
      <c r="M2" s="188"/>
      <c r="N2" s="188"/>
      <c r="O2" s="188"/>
      <c r="P2" s="188"/>
      <c r="Q2" s="188"/>
      <c r="R2" s="188"/>
      <c r="S2" s="188"/>
      <c r="T2" s="188"/>
      <c r="U2" s="188"/>
      <c r="W2" s="155" t="s">
        <v>0</v>
      </c>
      <c r="X2" s="156" t="s">
        <v>16</v>
      </c>
      <c r="Y2" s="30"/>
      <c r="Z2" s="30"/>
      <c r="AA2" s="30"/>
      <c r="AB2" s="30"/>
      <c r="AC2" s="30"/>
      <c r="AD2" s="30"/>
      <c r="AE2" s="30"/>
      <c r="AF2" s="30"/>
      <c r="AG2" s="30"/>
      <c r="AH2" s="30"/>
      <c r="AI2" s="30"/>
      <c r="AJ2" s="30"/>
      <c r="AK2" s="30"/>
      <c r="AL2" s="30"/>
      <c r="AM2" s="30"/>
      <c r="AN2" s="30"/>
      <c r="AO2" s="30"/>
    </row>
    <row r="3" spans="1:41">
      <c r="A3" s="30"/>
      <c r="B3" s="68"/>
      <c r="C3" s="155" t="s">
        <v>0</v>
      </c>
      <c r="D3" s="156" t="s">
        <v>16</v>
      </c>
      <c r="E3" s="30"/>
      <c r="F3" s="30"/>
      <c r="G3" s="30"/>
      <c r="H3" s="30"/>
      <c r="I3" s="30"/>
      <c r="J3" s="30"/>
      <c r="K3" s="30"/>
      <c r="L3" s="30"/>
      <c r="M3" s="30"/>
      <c r="N3" s="30"/>
      <c r="O3" s="30"/>
      <c r="P3" s="30"/>
      <c r="Q3" s="30"/>
      <c r="R3" s="30"/>
      <c r="S3" s="30"/>
      <c r="T3" s="30"/>
      <c r="U3" s="30"/>
      <c r="W3" s="155" t="s">
        <v>1</v>
      </c>
      <c r="X3" s="156" t="s">
        <v>16</v>
      </c>
      <c r="Y3" s="30"/>
      <c r="Z3" s="30"/>
      <c r="AA3" s="30"/>
      <c r="AB3" s="30"/>
      <c r="AC3" s="30"/>
      <c r="AD3" s="30"/>
      <c r="AE3" s="30"/>
      <c r="AF3" s="30"/>
      <c r="AG3" s="30"/>
      <c r="AH3" s="30"/>
      <c r="AI3" s="30"/>
      <c r="AJ3" s="30"/>
      <c r="AK3" s="30"/>
      <c r="AL3" s="30"/>
      <c r="AM3" s="30"/>
      <c r="AN3" s="30"/>
      <c r="AO3" s="30"/>
    </row>
    <row r="4" spans="1:41">
      <c r="A4" s="30"/>
      <c r="B4" s="69"/>
      <c r="C4" s="155" t="s">
        <v>1</v>
      </c>
      <c r="D4" s="156" t="s">
        <v>16</v>
      </c>
      <c r="E4" s="30"/>
      <c r="F4" s="30"/>
      <c r="G4" s="30"/>
      <c r="H4" s="30"/>
      <c r="I4" s="30"/>
      <c r="J4" s="30"/>
      <c r="K4" s="30"/>
      <c r="L4" s="30"/>
      <c r="M4" s="30"/>
      <c r="N4" s="30"/>
      <c r="O4" s="30"/>
      <c r="P4" s="30"/>
      <c r="Q4" s="30"/>
      <c r="R4" s="30"/>
      <c r="S4" s="30"/>
      <c r="T4" s="30"/>
      <c r="U4" s="30"/>
      <c r="W4" s="76" t="s">
        <v>2</v>
      </c>
      <c r="X4" s="156" t="s">
        <v>16</v>
      </c>
      <c r="Y4" s="30"/>
      <c r="Z4" s="30"/>
      <c r="AA4" s="30"/>
      <c r="AB4" s="30"/>
      <c r="AC4" s="30"/>
      <c r="AD4" s="30"/>
      <c r="AE4" s="30"/>
      <c r="AF4" s="30"/>
      <c r="AG4" s="30"/>
      <c r="AH4" s="30"/>
      <c r="AI4" s="30"/>
      <c r="AJ4" s="30"/>
      <c r="AK4" s="30"/>
      <c r="AL4" s="30"/>
      <c r="AM4" s="30"/>
      <c r="AN4" s="30"/>
      <c r="AO4" s="30"/>
    </row>
    <row r="5" spans="1:41">
      <c r="A5" s="30"/>
      <c r="B5" s="69"/>
      <c r="C5" s="155" t="s">
        <v>3</v>
      </c>
      <c r="D5" s="156" t="s">
        <v>364</v>
      </c>
      <c r="E5" s="30"/>
      <c r="F5" s="30"/>
      <c r="G5" s="30"/>
      <c r="H5" s="30"/>
      <c r="I5" s="30"/>
      <c r="J5" s="30"/>
      <c r="K5" s="30"/>
      <c r="L5" s="30"/>
      <c r="M5" s="30"/>
      <c r="N5" s="30"/>
      <c r="O5" s="30"/>
      <c r="P5" s="30"/>
      <c r="Q5" s="30"/>
      <c r="R5" s="30"/>
      <c r="S5" s="30"/>
      <c r="T5" s="30"/>
      <c r="U5" s="30"/>
      <c r="W5" s="155" t="s">
        <v>3</v>
      </c>
      <c r="X5" s="156"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56" t="s">
        <v>393</v>
      </c>
      <c r="F7" s="156" t="s">
        <v>394</v>
      </c>
      <c r="G7" s="66" t="s">
        <v>392</v>
      </c>
      <c r="H7" s="67" t="s">
        <v>395</v>
      </c>
      <c r="I7" s="67" t="s">
        <v>396</v>
      </c>
      <c r="J7" s="64" t="s">
        <v>397</v>
      </c>
      <c r="K7" s="156" t="s">
        <v>398</v>
      </c>
      <c r="L7" s="156" t="s">
        <v>399</v>
      </c>
      <c r="M7" s="66" t="s">
        <v>400</v>
      </c>
      <c r="N7" s="67" t="s">
        <v>401</v>
      </c>
      <c r="O7" s="67" t="s">
        <v>402</v>
      </c>
      <c r="P7" s="64" t="s">
        <v>403</v>
      </c>
      <c r="Q7" s="156" t="s">
        <v>404</v>
      </c>
      <c r="R7" s="156" t="s">
        <v>405</v>
      </c>
      <c r="S7" s="66" t="s">
        <v>406</v>
      </c>
      <c r="T7" s="67" t="s">
        <v>407</v>
      </c>
      <c r="U7" s="67" t="s">
        <v>408</v>
      </c>
      <c r="W7" s="74" t="s">
        <v>17</v>
      </c>
      <c r="X7" s="32" t="s">
        <v>525</v>
      </c>
      <c r="Y7" s="156" t="s">
        <v>393</v>
      </c>
      <c r="Z7" s="156" t="s">
        <v>394</v>
      </c>
      <c r="AA7" s="66" t="s">
        <v>392</v>
      </c>
      <c r="AB7" s="67" t="s">
        <v>395</v>
      </c>
      <c r="AC7" s="67" t="s">
        <v>396</v>
      </c>
      <c r="AD7" s="64" t="s">
        <v>397</v>
      </c>
      <c r="AE7" s="156" t="s">
        <v>398</v>
      </c>
      <c r="AF7" s="156" t="s">
        <v>399</v>
      </c>
      <c r="AG7" s="66" t="s">
        <v>400</v>
      </c>
      <c r="AH7" s="67" t="s">
        <v>401</v>
      </c>
      <c r="AI7" s="67" t="s">
        <v>402</v>
      </c>
      <c r="AJ7" s="64" t="s">
        <v>403</v>
      </c>
      <c r="AK7" s="156" t="s">
        <v>404</v>
      </c>
      <c r="AL7" s="156"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ColWidth="9.109375" defaultRowHeight="14.4"/>
  <cols>
    <col min="1" max="1" width="14" style="86" customWidth="1"/>
    <col min="2" max="2" width="32.109375" style="72" customWidth="1"/>
    <col min="3" max="3" width="13.109375" style="73" customWidth="1"/>
    <col min="4" max="4" width="22.33203125" style="86" customWidth="1"/>
    <col min="5" max="5" width="8.33203125" style="86" customWidth="1"/>
    <col min="6" max="6" width="11.33203125" style="86" bestFit="1" customWidth="1"/>
    <col min="7" max="7" width="8.88671875" style="64" customWidth="1"/>
    <col min="8" max="8" width="8.33203125" style="86" customWidth="1"/>
    <col min="9" max="9" width="11.33203125" style="86" customWidth="1"/>
    <col min="10" max="10" width="8.88671875" style="64" customWidth="1"/>
    <col min="11" max="11" width="8.33203125" style="86" customWidth="1"/>
    <col min="12" max="12" width="11.33203125" style="86" customWidth="1"/>
    <col min="13" max="13" width="8.88671875" style="64" customWidth="1"/>
    <col min="14" max="14" width="8.33203125" style="86" customWidth="1"/>
    <col min="15" max="15" width="11.33203125" style="86" customWidth="1"/>
    <col min="16" max="16" width="8.88671875" style="64" customWidth="1"/>
    <col min="17" max="17" width="8.33203125" style="86" customWidth="1"/>
    <col min="18" max="18" width="11.33203125" style="86" customWidth="1"/>
    <col min="19" max="19" width="17.44140625" style="64" bestFit="1" customWidth="1"/>
    <col min="20" max="20" width="8.5546875" style="86" customWidth="1"/>
    <col min="21" max="21" width="11.5546875" style="86" customWidth="1"/>
    <col min="22" max="22" width="9.109375" style="30"/>
    <col min="23" max="23" width="13.109375" style="72" customWidth="1"/>
    <col min="24" max="24" width="21.44140625" style="86" customWidth="1"/>
    <col min="25" max="25" width="8.33203125" style="86" customWidth="1"/>
    <col min="26" max="26" width="11.33203125" style="86" bestFit="1" customWidth="1"/>
    <col min="27" max="27" width="8.88671875" style="64" customWidth="1"/>
    <col min="28" max="28" width="8.33203125" style="86" customWidth="1"/>
    <col min="29" max="29" width="11.33203125" style="86" bestFit="1" customWidth="1"/>
    <col min="30" max="30" width="8.88671875" style="64" customWidth="1"/>
    <col min="31" max="31" width="8.33203125" style="86" customWidth="1"/>
    <col min="32" max="32" width="11.33203125" style="86" bestFit="1" customWidth="1"/>
    <col min="33" max="33" width="8.88671875" style="64" customWidth="1"/>
    <col min="34" max="34" width="8.33203125" style="86" customWidth="1"/>
    <col min="35" max="35" width="11.33203125" style="86" bestFit="1" customWidth="1"/>
    <col min="36" max="36" width="8.88671875" style="64" customWidth="1"/>
    <col min="37" max="37" width="8.33203125" style="86" customWidth="1"/>
    <col min="38" max="38" width="11.33203125" style="86" bestFit="1" customWidth="1"/>
    <col min="39" max="39" width="17.44140625" style="64" bestFit="1" customWidth="1"/>
    <col min="40" max="40" width="8.5546875" style="86" customWidth="1"/>
    <col min="41" max="41" width="11.5546875" style="72" bestFit="1" customWidth="1"/>
    <col min="42" max="16384" width="9.109375" style="86"/>
  </cols>
  <sheetData>
    <row r="1" spans="1:41">
      <c r="A1" s="30"/>
      <c r="B1" s="68"/>
      <c r="C1" s="201" t="s">
        <v>409</v>
      </c>
      <c r="D1" s="188"/>
      <c r="E1" s="188"/>
      <c r="F1" s="188"/>
      <c r="G1" s="188"/>
      <c r="H1" s="188"/>
      <c r="I1" s="188"/>
      <c r="J1" s="188"/>
      <c r="K1" s="188"/>
      <c r="L1" s="188"/>
      <c r="M1" s="188"/>
      <c r="N1" s="188"/>
      <c r="O1" s="188"/>
      <c r="P1" s="188"/>
      <c r="Q1" s="188"/>
      <c r="R1" s="188"/>
      <c r="S1" s="188"/>
      <c r="T1" s="188"/>
      <c r="U1" s="188"/>
      <c r="W1" s="201" t="s">
        <v>410</v>
      </c>
      <c r="X1" s="188"/>
      <c r="Y1" s="188"/>
      <c r="Z1" s="188"/>
      <c r="AA1" s="188"/>
      <c r="AB1" s="188"/>
      <c r="AC1" s="188"/>
      <c r="AD1" s="188"/>
      <c r="AE1" s="188"/>
      <c r="AF1" s="188"/>
      <c r="AG1" s="188"/>
      <c r="AH1" s="188"/>
      <c r="AI1" s="188"/>
      <c r="AJ1" s="188"/>
      <c r="AK1" s="188"/>
      <c r="AL1" s="188"/>
      <c r="AM1" s="188"/>
      <c r="AN1" s="188"/>
      <c r="AO1" s="188"/>
    </row>
    <row r="2" spans="1:41">
      <c r="A2" s="30"/>
      <c r="B2" s="68"/>
      <c r="C2" s="201"/>
      <c r="D2" s="188"/>
      <c r="E2" s="188"/>
      <c r="F2" s="188"/>
      <c r="G2" s="188"/>
      <c r="H2" s="188"/>
      <c r="I2" s="188"/>
      <c r="J2" s="188"/>
      <c r="K2" s="188"/>
      <c r="L2" s="188"/>
      <c r="M2" s="188"/>
      <c r="N2" s="188"/>
      <c r="O2" s="188"/>
      <c r="P2" s="188"/>
      <c r="Q2" s="188"/>
      <c r="R2" s="188"/>
      <c r="S2" s="188"/>
      <c r="T2" s="188"/>
      <c r="U2" s="188"/>
      <c r="W2" s="155" t="s">
        <v>0</v>
      </c>
      <c r="X2" s="156" t="s">
        <v>16</v>
      </c>
      <c r="Y2" s="30"/>
      <c r="Z2" s="30"/>
      <c r="AA2" s="30"/>
      <c r="AB2" s="30"/>
      <c r="AC2" s="30"/>
      <c r="AD2" s="30"/>
      <c r="AE2" s="30"/>
      <c r="AF2" s="30"/>
      <c r="AG2" s="30"/>
      <c r="AH2" s="30"/>
      <c r="AI2" s="30"/>
      <c r="AJ2" s="30"/>
      <c r="AK2" s="30"/>
      <c r="AL2" s="30"/>
      <c r="AM2" s="30"/>
      <c r="AN2" s="30"/>
      <c r="AO2" s="30"/>
    </row>
    <row r="3" spans="1:41">
      <c r="A3" s="30"/>
      <c r="B3" s="68"/>
      <c r="C3" s="155" t="s">
        <v>0</v>
      </c>
      <c r="D3" s="156" t="s">
        <v>16</v>
      </c>
      <c r="E3" s="30"/>
      <c r="F3" s="30"/>
      <c r="G3" s="30"/>
      <c r="H3" s="30"/>
      <c r="I3" s="30"/>
      <c r="J3" s="30"/>
      <c r="K3" s="30"/>
      <c r="L3" s="30"/>
      <c r="M3" s="30"/>
      <c r="N3" s="30"/>
      <c r="O3" s="30"/>
      <c r="P3" s="30"/>
      <c r="Q3" s="30"/>
      <c r="R3" s="30"/>
      <c r="S3" s="30"/>
      <c r="T3" s="30"/>
      <c r="U3" s="30"/>
      <c r="W3" s="155" t="s">
        <v>1</v>
      </c>
      <c r="X3" s="156" t="s">
        <v>16</v>
      </c>
      <c r="Y3" s="30"/>
      <c r="Z3" s="30"/>
      <c r="AA3" s="30"/>
      <c r="AB3" s="30"/>
      <c r="AC3" s="30"/>
      <c r="AD3" s="30"/>
      <c r="AE3" s="30"/>
      <c r="AF3" s="30"/>
      <c r="AG3" s="30"/>
      <c r="AH3" s="30"/>
      <c r="AI3" s="30"/>
      <c r="AJ3" s="30"/>
      <c r="AK3" s="30"/>
      <c r="AL3" s="30"/>
      <c r="AM3" s="30"/>
      <c r="AN3" s="30"/>
      <c r="AO3" s="30"/>
    </row>
    <row r="4" spans="1:41">
      <c r="A4" s="30"/>
      <c r="B4" s="69"/>
      <c r="C4" s="155" t="s">
        <v>1</v>
      </c>
      <c r="D4" s="156" t="s">
        <v>16</v>
      </c>
      <c r="E4" s="30"/>
      <c r="F4" s="30"/>
      <c r="G4" s="30"/>
      <c r="H4" s="30"/>
      <c r="I4" s="30"/>
      <c r="J4" s="30"/>
      <c r="K4" s="30"/>
      <c r="L4" s="30"/>
      <c r="M4" s="30"/>
      <c r="N4" s="30"/>
      <c r="O4" s="30"/>
      <c r="P4" s="30"/>
      <c r="Q4" s="30"/>
      <c r="R4" s="30"/>
      <c r="S4" s="30"/>
      <c r="T4" s="30"/>
      <c r="U4" s="30"/>
      <c r="W4" s="76" t="s">
        <v>2</v>
      </c>
      <c r="X4" s="156" t="s">
        <v>16</v>
      </c>
      <c r="Y4" s="30"/>
      <c r="Z4" s="30"/>
      <c r="AA4" s="30"/>
      <c r="AB4" s="30"/>
      <c r="AC4" s="30"/>
      <c r="AD4" s="30"/>
      <c r="AE4" s="30"/>
      <c r="AF4" s="30"/>
      <c r="AG4" s="30"/>
      <c r="AH4" s="30"/>
      <c r="AI4" s="30"/>
      <c r="AJ4" s="30"/>
      <c r="AK4" s="30"/>
      <c r="AL4" s="30"/>
      <c r="AM4" s="30"/>
      <c r="AN4" s="30"/>
      <c r="AO4" s="30"/>
    </row>
    <row r="5" spans="1:41">
      <c r="A5" s="30"/>
      <c r="B5" s="69"/>
      <c r="C5" s="155" t="s">
        <v>3</v>
      </c>
      <c r="D5" s="156" t="s">
        <v>363</v>
      </c>
      <c r="E5" s="30"/>
      <c r="F5" s="30"/>
      <c r="G5" s="30"/>
      <c r="H5" s="30"/>
      <c r="I5" s="30"/>
      <c r="J5" s="30"/>
      <c r="K5" s="30"/>
      <c r="L5" s="30"/>
      <c r="M5" s="30"/>
      <c r="N5" s="30"/>
      <c r="O5" s="30"/>
      <c r="P5" s="30"/>
      <c r="Q5" s="30"/>
      <c r="R5" s="30"/>
      <c r="S5" s="30"/>
      <c r="T5" s="30"/>
      <c r="U5" s="30"/>
      <c r="W5" s="155" t="s">
        <v>3</v>
      </c>
      <c r="X5" s="156"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56" t="s">
        <v>393</v>
      </c>
      <c r="F7" s="156" t="s">
        <v>394</v>
      </c>
      <c r="G7" s="66" t="s">
        <v>392</v>
      </c>
      <c r="H7" s="67" t="s">
        <v>395</v>
      </c>
      <c r="I7" s="67" t="s">
        <v>396</v>
      </c>
      <c r="J7" s="64" t="s">
        <v>397</v>
      </c>
      <c r="K7" s="156" t="s">
        <v>398</v>
      </c>
      <c r="L7" s="156" t="s">
        <v>399</v>
      </c>
      <c r="M7" s="66" t="s">
        <v>400</v>
      </c>
      <c r="N7" s="67" t="s">
        <v>401</v>
      </c>
      <c r="O7" s="67" t="s">
        <v>402</v>
      </c>
      <c r="P7" s="64" t="s">
        <v>403</v>
      </c>
      <c r="Q7" s="156" t="s">
        <v>404</v>
      </c>
      <c r="R7" s="156" t="s">
        <v>405</v>
      </c>
      <c r="S7" s="66" t="s">
        <v>406</v>
      </c>
      <c r="T7" s="67" t="s">
        <v>407</v>
      </c>
      <c r="U7" s="67" t="s">
        <v>408</v>
      </c>
      <c r="W7" s="74" t="s">
        <v>17</v>
      </c>
      <c r="X7" s="32" t="s">
        <v>527</v>
      </c>
      <c r="Y7" s="156" t="s">
        <v>393</v>
      </c>
      <c r="Z7" s="156" t="s">
        <v>394</v>
      </c>
      <c r="AA7" s="66" t="s">
        <v>392</v>
      </c>
      <c r="AB7" s="67" t="s">
        <v>395</v>
      </c>
      <c r="AC7" s="67" t="s">
        <v>396</v>
      </c>
      <c r="AD7" s="64" t="s">
        <v>397</v>
      </c>
      <c r="AE7" s="156" t="s">
        <v>398</v>
      </c>
      <c r="AF7" s="156" t="s">
        <v>399</v>
      </c>
      <c r="AG7" s="66" t="s">
        <v>400</v>
      </c>
      <c r="AH7" s="67" t="s">
        <v>401</v>
      </c>
      <c r="AI7" s="67" t="s">
        <v>402</v>
      </c>
      <c r="AJ7" s="64" t="s">
        <v>403</v>
      </c>
      <c r="AK7" s="156" t="s">
        <v>404</v>
      </c>
      <c r="AL7" s="156"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D11" sqref="D11"/>
    </sheetView>
  </sheetViews>
  <sheetFormatPr defaultColWidth="9.109375" defaultRowHeight="14.4"/>
  <cols>
    <col min="1" max="1" width="46" style="81" customWidth="1"/>
    <col min="2" max="2" width="16.88671875" style="81" customWidth="1"/>
    <col min="3" max="3" width="9" style="81" customWidth="1"/>
    <col min="4" max="4" width="14.109375" style="154" customWidth="1"/>
    <col min="5" max="5" width="9" style="81" customWidth="1"/>
    <col min="6" max="6" width="17.44140625" style="81" customWidth="1"/>
    <col min="7" max="7" width="16.88671875" style="81" customWidth="1"/>
    <col min="8" max="8" width="8.5546875" style="81" customWidth="1"/>
    <col min="9" max="9" width="26.5546875" style="81" customWidth="1"/>
    <col min="10" max="10" width="16.88671875" style="81" bestFit="1" customWidth="1"/>
    <col min="11" max="462" width="13.88671875" style="81" bestFit="1" customWidth="1"/>
    <col min="463" max="539" width="14.88671875" style="81" bestFit="1" customWidth="1"/>
    <col min="540" max="600" width="13.88671875" style="81" bestFit="1" customWidth="1"/>
    <col min="601" max="1329" width="14.88671875" style="81" bestFit="1" customWidth="1"/>
    <col min="1330" max="1966" width="13.88671875" style="81" bestFit="1" customWidth="1"/>
    <col min="1967" max="2042" width="14.88671875" style="81" bestFit="1" customWidth="1"/>
    <col min="2043" max="2043" width="7.33203125" style="81" customWidth="1"/>
    <col min="2044" max="2044" width="11.33203125" style="81" bestFit="1" customWidth="1"/>
    <col min="2045" max="16384" width="9.109375" style="81"/>
  </cols>
  <sheetData>
    <row r="1" spans="1:10">
      <c r="A1" s="193" t="s">
        <v>514</v>
      </c>
      <c r="B1" s="188"/>
      <c r="C1" s="188"/>
      <c r="D1" s="188"/>
      <c r="E1" s="188"/>
      <c r="F1" s="188"/>
      <c r="G1" s="188"/>
      <c r="H1" s="188"/>
      <c r="I1" s="188"/>
      <c r="J1" s="188"/>
    </row>
    <row r="2" spans="1:10">
      <c r="A2" s="97"/>
      <c r="B2" s="97"/>
      <c r="C2" s="97"/>
      <c r="D2" s="153"/>
      <c r="E2" s="97"/>
      <c r="F2" s="97"/>
      <c r="G2" s="97"/>
      <c r="H2" s="97"/>
      <c r="I2" s="155" t="s">
        <v>423</v>
      </c>
      <c r="J2" s="156" t="s">
        <v>16</v>
      </c>
    </row>
    <row r="3" spans="1:10">
      <c r="A3" s="97"/>
      <c r="B3" s="97"/>
      <c r="C3" s="97"/>
      <c r="D3" s="31"/>
      <c r="E3" s="97"/>
      <c r="F3" s="97"/>
      <c r="G3" s="97"/>
      <c r="H3" s="97"/>
      <c r="I3" s="155" t="s">
        <v>0</v>
      </c>
      <c r="J3" s="156" t="s">
        <v>16</v>
      </c>
    </row>
    <row r="4" spans="1:10">
      <c r="A4" s="155" t="s">
        <v>423</v>
      </c>
      <c r="B4" s="156" t="s">
        <v>16</v>
      </c>
      <c r="D4" s="31"/>
      <c r="E4" s="97"/>
      <c r="F4" s="155" t="s">
        <v>423</v>
      </c>
      <c r="G4" s="156" t="s">
        <v>16</v>
      </c>
      <c r="I4" s="155" t="s">
        <v>425</v>
      </c>
      <c r="J4" s="156" t="s">
        <v>16</v>
      </c>
    </row>
    <row r="5" spans="1:10">
      <c r="A5" s="155" t="s">
        <v>0</v>
      </c>
      <c r="B5" s="156" t="s">
        <v>16</v>
      </c>
      <c r="D5" s="31"/>
      <c r="E5" s="97"/>
      <c r="F5" s="155" t="s">
        <v>0</v>
      </c>
      <c r="G5" s="156" t="s">
        <v>16</v>
      </c>
      <c r="I5" s="155" t="s">
        <v>442</v>
      </c>
      <c r="J5" s="156" t="s">
        <v>16</v>
      </c>
    </row>
    <row r="6" spans="1:10">
      <c r="A6" s="155" t="s">
        <v>425</v>
      </c>
      <c r="B6" s="156" t="s">
        <v>16</v>
      </c>
      <c r="D6" s="31"/>
      <c r="E6" s="97"/>
      <c r="F6" s="155" t="s">
        <v>425</v>
      </c>
      <c r="G6" s="156" t="s">
        <v>16</v>
      </c>
      <c r="I6" s="155" t="s">
        <v>512</v>
      </c>
      <c r="J6" s="156" t="s">
        <v>16</v>
      </c>
    </row>
    <row r="7" spans="1:10">
      <c r="A7" s="155" t="s">
        <v>491</v>
      </c>
      <c r="B7" s="156" t="s">
        <v>16</v>
      </c>
      <c r="D7" s="31"/>
      <c r="E7" s="97"/>
      <c r="F7" s="155" t="s">
        <v>491</v>
      </c>
      <c r="G7" s="156" t="s">
        <v>16</v>
      </c>
      <c r="I7" s="155" t="s">
        <v>1</v>
      </c>
      <c r="J7" s="156" t="s">
        <v>16</v>
      </c>
    </row>
    <row r="8" spans="1:10">
      <c r="D8" s="31"/>
      <c r="E8" s="97"/>
      <c r="I8" s="155" t="s">
        <v>2</v>
      </c>
      <c r="J8" s="156" t="s">
        <v>16</v>
      </c>
    </row>
    <row r="9" spans="1:10">
      <c r="A9" s="155" t="s">
        <v>492</v>
      </c>
      <c r="B9" t="s">
        <v>493</v>
      </c>
      <c r="D9" s="24" t="s">
        <v>699</v>
      </c>
      <c r="E9" s="98" t="s">
        <v>122</v>
      </c>
      <c r="F9" s="155" t="s">
        <v>296</v>
      </c>
      <c r="G9" t="s">
        <v>493</v>
      </c>
      <c r="I9"/>
      <c r="J9"/>
    </row>
    <row r="10" spans="1:10">
      <c r="A10" s="4" t="s">
        <v>495</v>
      </c>
      <c r="B10" s="5">
        <v>19</v>
      </c>
      <c r="D10" s="29" t="e">
        <f>INDEX('OS-Machine Info'!$B:$B,MATCH(F10,'OS-Machine Info'!$A:$A,0))</f>
        <v>#N/A</v>
      </c>
      <c r="E10" s="99" t="e">
        <f>INDEX('Node Information'!J:$J,MATCH(F10,'Node Information'!$A:$A,0))</f>
        <v>#N/A</v>
      </c>
      <c r="F10" s="4" t="s">
        <v>498</v>
      </c>
      <c r="G10" s="5"/>
      <c r="I10" s="155" t="s">
        <v>494</v>
      </c>
      <c r="J10" t="s">
        <v>493</v>
      </c>
    </row>
    <row r="11" spans="1:10">
      <c r="A11" s="4" t="s">
        <v>496</v>
      </c>
      <c r="B11" s="5">
        <v>46</v>
      </c>
      <c r="D11" s="29" t="str">
        <f>INDEX('OS-Machine Info'!$B:$B,MATCH(F11,'OS-Machine Info'!$A:$A,0))</f>
        <v>TestDC</v>
      </c>
      <c r="E11" s="99">
        <f>INDEX('Node Information'!J:$J,MATCH(F11,'Node Information'!$A:$A,0))</f>
        <v>6.5428240740740704E-2</v>
      </c>
      <c r="F11" s="4" t="s">
        <v>49</v>
      </c>
      <c r="G11" s="5">
        <v>459</v>
      </c>
      <c r="I11" s="4" t="s">
        <v>498</v>
      </c>
      <c r="J11" s="5">
        <v>215</v>
      </c>
    </row>
    <row r="12" spans="1:10">
      <c r="A12" s="4" t="s">
        <v>497</v>
      </c>
      <c r="B12" s="5">
        <v>5</v>
      </c>
      <c r="F12" s="4" t="s">
        <v>18</v>
      </c>
      <c r="G12" s="5">
        <v>459</v>
      </c>
      <c r="I12" s="4" t="s">
        <v>504</v>
      </c>
      <c r="J12" s="5">
        <v>239</v>
      </c>
    </row>
    <row r="13" spans="1:10">
      <c r="A13" s="4" t="s">
        <v>499</v>
      </c>
      <c r="B13" s="5">
        <v>169</v>
      </c>
      <c r="F13"/>
      <c r="G13"/>
      <c r="I13" s="4" t="s">
        <v>516</v>
      </c>
      <c r="J13" s="5">
        <v>1</v>
      </c>
    </row>
    <row r="14" spans="1:10">
      <c r="A14" s="4" t="s">
        <v>500</v>
      </c>
      <c r="B14" s="5">
        <v>30</v>
      </c>
      <c r="F14"/>
      <c r="G14"/>
      <c r="I14" s="4" t="s">
        <v>517</v>
      </c>
      <c r="J14" s="5">
        <v>1</v>
      </c>
    </row>
    <row r="15" spans="1:10">
      <c r="A15" s="4" t="s">
        <v>501</v>
      </c>
      <c r="B15" s="5">
        <v>190</v>
      </c>
      <c r="F15"/>
      <c r="G15"/>
      <c r="I15" s="4" t="s">
        <v>518</v>
      </c>
      <c r="J15" s="5">
        <v>1</v>
      </c>
    </row>
    <row r="16" spans="1:10">
      <c r="A16" s="4" t="s">
        <v>498</v>
      </c>
      <c r="B16" s="5"/>
      <c r="F16"/>
      <c r="G16"/>
      <c r="I16" s="4" t="s">
        <v>519</v>
      </c>
      <c r="J16" s="5">
        <v>1</v>
      </c>
    </row>
    <row r="17" spans="1:10">
      <c r="A17" s="4" t="s">
        <v>18</v>
      </c>
      <c r="B17" s="5">
        <v>459</v>
      </c>
      <c r="F17"/>
      <c r="G17"/>
      <c r="I17" s="4" t="s">
        <v>520</v>
      </c>
      <c r="J17" s="5">
        <v>1</v>
      </c>
    </row>
    <row r="18" spans="1:10">
      <c r="A18"/>
      <c r="B18"/>
      <c r="F18"/>
      <c r="G18"/>
      <c r="I18" s="4" t="s">
        <v>18</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ColWidth="9.109375" defaultRowHeight="14.4"/>
  <cols>
    <col min="1" max="1" width="19.6640625" style="100" customWidth="1"/>
    <col min="2" max="2" width="20.5546875" style="19"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101" customWidth="1"/>
    <col min="10" max="10" width="20.6640625" style="11" customWidth="1"/>
    <col min="11" max="11" width="17.5546875" style="10" customWidth="1"/>
    <col min="12" max="16384" width="9.109375" style="81"/>
  </cols>
  <sheetData>
    <row r="1" spans="1:14" s="80" customFormat="1" ht="15" customHeight="1">
      <c r="A1" s="202" t="s">
        <v>426</v>
      </c>
      <c r="B1" s="203" t="s">
        <v>422</v>
      </c>
      <c r="C1" s="204" t="s">
        <v>422</v>
      </c>
      <c r="D1" s="204" t="s">
        <v>422</v>
      </c>
      <c r="E1" s="204" t="s">
        <v>422</v>
      </c>
      <c r="F1" s="204" t="s">
        <v>422</v>
      </c>
      <c r="G1" s="204" t="s">
        <v>422</v>
      </c>
      <c r="H1" s="204" t="s">
        <v>422</v>
      </c>
      <c r="I1" s="205"/>
      <c r="J1" s="206"/>
      <c r="K1" s="204"/>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8"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10"/>
  <sheetViews>
    <sheetView workbookViewId="0">
      <selection activeCell="G9" sqref="G9"/>
    </sheetView>
  </sheetViews>
  <sheetFormatPr defaultRowHeight="14.4"/>
  <cols>
    <col min="2" max="2" width="10.77734375" customWidth="1"/>
    <col min="3" max="3" width="29" customWidth="1"/>
    <col min="4" max="4" width="7" style="138" customWidth="1"/>
    <col min="6" max="6" width="10.77734375" customWidth="1"/>
    <col min="7" max="7" width="23.33203125" customWidth="1"/>
    <col min="9" max="9" width="10.77734375" customWidth="1"/>
    <col min="10" max="10" width="27.77734375" customWidth="1"/>
    <col min="11" max="11" width="7" customWidth="1"/>
  </cols>
  <sheetData>
    <row r="1" spans="1:11">
      <c r="A1" s="30"/>
      <c r="B1" s="30"/>
      <c r="C1" s="30"/>
      <c r="D1" s="30"/>
      <c r="E1" s="30"/>
      <c r="F1" s="30"/>
      <c r="G1" s="30"/>
      <c r="H1" s="30"/>
      <c r="I1" s="30"/>
      <c r="J1" s="30"/>
    </row>
    <row r="2" spans="1:11">
      <c r="A2" s="30"/>
      <c r="B2" s="197" t="s">
        <v>301</v>
      </c>
      <c r="C2" s="194"/>
      <c r="D2" s="194"/>
      <c r="E2" s="194"/>
      <c r="F2" s="194"/>
      <c r="G2" s="194"/>
      <c r="H2" s="194"/>
      <c r="I2" s="194"/>
      <c r="J2" s="198"/>
    </row>
    <row r="3" spans="1:11">
      <c r="A3" s="30"/>
      <c r="B3" s="164" t="s">
        <v>150</v>
      </c>
      <c r="C3" s="165" t="s">
        <v>16</v>
      </c>
      <c r="D3" s="139"/>
      <c r="E3" s="139"/>
      <c r="F3" s="164" t="s">
        <v>150</v>
      </c>
      <c r="G3" s="165" t="s">
        <v>16</v>
      </c>
      <c r="H3" s="139"/>
      <c r="I3" s="164" t="s">
        <v>150</v>
      </c>
      <c r="J3" s="165" t="s">
        <v>16</v>
      </c>
    </row>
    <row r="4" spans="1:11">
      <c r="A4" s="30"/>
      <c r="B4" s="164" t="s">
        <v>0</v>
      </c>
      <c r="C4" s="165" t="s">
        <v>16</v>
      </c>
      <c r="E4" s="33"/>
      <c r="F4" s="164" t="s">
        <v>0</v>
      </c>
      <c r="G4" s="165" t="s">
        <v>16</v>
      </c>
      <c r="H4" s="33"/>
      <c r="I4" s="164" t="s">
        <v>0</v>
      </c>
      <c r="J4" s="165" t="s">
        <v>16</v>
      </c>
    </row>
    <row r="5" spans="1:11">
      <c r="A5" s="30"/>
      <c r="B5" s="164" t="s">
        <v>1</v>
      </c>
      <c r="C5" s="165" t="s">
        <v>16</v>
      </c>
      <c r="E5" s="33"/>
      <c r="F5" s="164" t="s">
        <v>1</v>
      </c>
      <c r="G5" s="165" t="s">
        <v>16</v>
      </c>
      <c r="H5" s="33"/>
      <c r="I5" s="164" t="s">
        <v>1</v>
      </c>
      <c r="J5" s="165" t="s">
        <v>16</v>
      </c>
    </row>
    <row r="6" spans="1:11">
      <c r="A6" s="30"/>
      <c r="B6" s="164" t="s">
        <v>3</v>
      </c>
      <c r="C6" s="165" t="s">
        <v>567</v>
      </c>
      <c r="E6" s="33"/>
      <c r="F6" s="164" t="s">
        <v>3</v>
      </c>
      <c r="G6" s="165" t="s">
        <v>571</v>
      </c>
      <c r="H6" s="33"/>
      <c r="I6" s="164" t="s">
        <v>3</v>
      </c>
      <c r="J6" s="165" t="s">
        <v>569</v>
      </c>
    </row>
    <row r="7" spans="1:11">
      <c r="A7" s="30"/>
      <c r="B7" s="138"/>
      <c r="C7" s="138"/>
      <c r="E7" s="138"/>
      <c r="F7" s="138"/>
      <c r="G7" s="138"/>
      <c r="H7" s="138"/>
      <c r="I7" s="138"/>
      <c r="J7" s="138"/>
    </row>
    <row r="8" spans="1:11">
      <c r="A8" s="24" t="s">
        <v>330</v>
      </c>
      <c r="B8" s="164" t="s">
        <v>2</v>
      </c>
      <c r="C8" s="165" t="s">
        <v>640</v>
      </c>
      <c r="D8" s="165" t="s">
        <v>537</v>
      </c>
      <c r="E8" s="138"/>
      <c r="F8" s="164" t="s">
        <v>2</v>
      </c>
      <c r="G8" s="32" t="s">
        <v>295</v>
      </c>
      <c r="H8" s="138"/>
      <c r="I8" s="164" t="s">
        <v>2</v>
      </c>
      <c r="J8" s="165" t="s">
        <v>641</v>
      </c>
      <c r="K8" s="165"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38"/>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ColWidth="9.109375" defaultRowHeight="14.4"/>
  <cols>
    <col min="1" max="1" width="14.109375" style="154" customWidth="1"/>
    <col min="2" max="2" width="10.77734375" style="138" customWidth="1"/>
    <col min="3" max="3" width="29" style="138" customWidth="1"/>
    <col min="4" max="4" width="7" style="138" customWidth="1"/>
    <col min="5" max="5" width="9.109375" style="138"/>
    <col min="6" max="6" width="10.77734375" style="138" customWidth="1"/>
    <col min="7" max="7" width="23.33203125" style="138" customWidth="1"/>
    <col min="8" max="8" width="9.109375" style="138"/>
    <col min="9" max="9" width="10.77734375" style="138" customWidth="1"/>
    <col min="10" max="10" width="27.77734375" style="138" customWidth="1"/>
    <col min="11" max="11" width="7" style="138" customWidth="1"/>
    <col min="12" max="16384" width="9.109375" style="138"/>
  </cols>
  <sheetData>
    <row r="1" spans="1:11">
      <c r="A1" s="31"/>
      <c r="B1" s="30"/>
      <c r="C1" s="30"/>
      <c r="D1" s="30"/>
      <c r="E1" s="30"/>
      <c r="F1" s="30"/>
      <c r="G1" s="30"/>
      <c r="H1" s="30"/>
      <c r="I1" s="30"/>
      <c r="J1" s="30"/>
    </row>
    <row r="2" spans="1:11">
      <c r="A2" s="31"/>
      <c r="B2" s="197" t="s">
        <v>301</v>
      </c>
      <c r="C2" s="194"/>
      <c r="D2" s="194"/>
      <c r="E2" s="194"/>
      <c r="F2" s="194"/>
      <c r="G2" s="194"/>
      <c r="H2" s="194"/>
      <c r="I2" s="194"/>
      <c r="J2" s="198"/>
    </row>
    <row r="3" spans="1:11">
      <c r="A3" s="31"/>
      <c r="B3" s="164" t="s">
        <v>150</v>
      </c>
      <c r="C3" s="165" t="s">
        <v>16</v>
      </c>
      <c r="D3" s="139"/>
      <c r="E3" s="139"/>
      <c r="F3" s="164" t="s">
        <v>150</v>
      </c>
      <c r="G3" s="165" t="s">
        <v>16</v>
      </c>
      <c r="H3" s="139"/>
      <c r="I3" s="164" t="s">
        <v>150</v>
      </c>
      <c r="J3" s="165" t="s">
        <v>16</v>
      </c>
    </row>
    <row r="4" spans="1:11">
      <c r="A4" s="31"/>
      <c r="B4" s="164" t="s">
        <v>0</v>
      </c>
      <c r="C4" s="165" t="s">
        <v>16</v>
      </c>
      <c r="E4" s="33"/>
      <c r="F4" s="164" t="s">
        <v>0</v>
      </c>
      <c r="G4" s="165" t="s">
        <v>16</v>
      </c>
      <c r="H4" s="33"/>
      <c r="I4" s="164" t="s">
        <v>0</v>
      </c>
      <c r="J4" s="165" t="s">
        <v>16</v>
      </c>
    </row>
    <row r="5" spans="1:11">
      <c r="A5" s="31"/>
      <c r="B5" s="164" t="s">
        <v>1</v>
      </c>
      <c r="C5" s="165" t="s">
        <v>16</v>
      </c>
      <c r="E5" s="33"/>
      <c r="F5" s="164" t="s">
        <v>1</v>
      </c>
      <c r="G5" s="165" t="s">
        <v>16</v>
      </c>
      <c r="H5" s="33"/>
      <c r="I5" s="164" t="s">
        <v>1</v>
      </c>
      <c r="J5" s="165" t="s">
        <v>16</v>
      </c>
    </row>
    <row r="6" spans="1:11">
      <c r="A6" s="31"/>
      <c r="B6" s="164" t="s">
        <v>3</v>
      </c>
      <c r="C6" s="165" t="s">
        <v>567</v>
      </c>
      <c r="E6" s="33"/>
      <c r="F6" s="164" t="s">
        <v>3</v>
      </c>
      <c r="G6" s="165" t="s">
        <v>571</v>
      </c>
      <c r="H6" s="33"/>
      <c r="I6" s="164" t="s">
        <v>3</v>
      </c>
      <c r="J6" s="165" t="s">
        <v>569</v>
      </c>
    </row>
    <row r="7" spans="1:11">
      <c r="A7" s="31"/>
    </row>
    <row r="8" spans="1:11">
      <c r="A8" s="24" t="s">
        <v>699</v>
      </c>
      <c r="B8" s="164" t="s">
        <v>2</v>
      </c>
      <c r="C8" s="165" t="s">
        <v>640</v>
      </c>
      <c r="D8" s="165" t="s">
        <v>537</v>
      </c>
      <c r="F8" s="164" t="s">
        <v>2</v>
      </c>
      <c r="G8" s="32" t="s">
        <v>295</v>
      </c>
      <c r="I8" s="164" t="s">
        <v>2</v>
      </c>
      <c r="J8" s="165" t="s">
        <v>641</v>
      </c>
      <c r="K8" s="165" t="s">
        <v>537</v>
      </c>
    </row>
    <row r="9" spans="1:11">
      <c r="A9" s="29" t="str">
        <f>INDEX('OS-Machine Info'!$B:$B,MATCH(B9,'OS-Machine Info'!$A:$A,0))</f>
        <v>TestDC</v>
      </c>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21" t="s">
        <v>556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P10"/>
  <sheetViews>
    <sheetView workbookViewId="0">
      <selection activeCell="A8" sqref="A8"/>
    </sheetView>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69"/>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57" customWidth="1"/>
    <col min="39" max="39" width="20.33203125" customWidth="1"/>
    <col min="40" max="40" width="22.88671875" customWidth="1"/>
  </cols>
  <sheetData>
    <row r="1" spans="1:42" s="16" customFormat="1">
      <c r="A1" s="119"/>
      <c r="B1" s="119"/>
      <c r="C1" s="119"/>
      <c r="D1" s="119"/>
      <c r="E1" s="119"/>
      <c r="F1" s="119"/>
      <c r="G1" s="119"/>
      <c r="H1" s="119"/>
      <c r="I1" s="178" t="s">
        <v>89</v>
      </c>
      <c r="J1" s="215"/>
      <c r="K1" s="215"/>
      <c r="L1" s="215"/>
      <c r="M1" s="215"/>
      <c r="N1" s="215"/>
      <c r="O1" s="215"/>
      <c r="P1" s="215"/>
      <c r="Q1" s="215"/>
      <c r="R1" s="215"/>
      <c r="S1" s="215"/>
      <c r="T1" s="215"/>
      <c r="U1" s="215"/>
      <c r="V1" s="215"/>
      <c r="W1" s="215"/>
      <c r="X1" s="216"/>
      <c r="Y1" s="208" t="s">
        <v>263</v>
      </c>
      <c r="Z1" s="209" t="s">
        <v>263</v>
      </c>
      <c r="AA1" s="209" t="s">
        <v>263</v>
      </c>
      <c r="AB1" s="210" t="s">
        <v>263</v>
      </c>
      <c r="AC1" s="208" t="s">
        <v>574</v>
      </c>
      <c r="AD1" s="209" t="s">
        <v>574</v>
      </c>
      <c r="AE1" s="207" t="s">
        <v>574</v>
      </c>
      <c r="AF1" s="207" t="s">
        <v>574</v>
      </c>
      <c r="AG1" s="211" t="s">
        <v>574</v>
      </c>
      <c r="AH1" s="208" t="s">
        <v>643</v>
      </c>
      <c r="AI1" s="212" t="s">
        <v>643</v>
      </c>
      <c r="AJ1" s="207" t="s">
        <v>643</v>
      </c>
      <c r="AK1" s="207" t="s">
        <v>643</v>
      </c>
      <c r="AL1" s="211" t="s">
        <v>643</v>
      </c>
      <c r="AM1" s="208" t="s">
        <v>706</v>
      </c>
      <c r="AN1" s="213" t="s">
        <v>706</v>
      </c>
    </row>
    <row r="2" spans="1:42" s="16" customFormat="1">
      <c r="A2" s="119" t="s">
        <v>575</v>
      </c>
      <c r="B2" s="119" t="s">
        <v>576</v>
      </c>
      <c r="C2" s="119" t="s">
        <v>0</v>
      </c>
      <c r="D2" s="119" t="s">
        <v>88</v>
      </c>
      <c r="E2" s="119" t="s">
        <v>425</v>
      </c>
      <c r="F2" s="119" t="s">
        <v>1</v>
      </c>
      <c r="G2" s="119" t="s">
        <v>2</v>
      </c>
      <c r="H2" s="119" t="s">
        <v>577</v>
      </c>
      <c r="I2" s="42" t="s">
        <v>578</v>
      </c>
      <c r="J2" s="121" t="s">
        <v>579</v>
      </c>
      <c r="K2" s="120" t="s">
        <v>580</v>
      </c>
      <c r="L2" s="120" t="s">
        <v>581</v>
      </c>
      <c r="M2" s="120" t="s">
        <v>733</v>
      </c>
      <c r="N2" s="120" t="s">
        <v>734</v>
      </c>
      <c r="O2" s="120" t="s">
        <v>735</v>
      </c>
      <c r="P2" s="120" t="s">
        <v>736</v>
      </c>
      <c r="Q2" s="120" t="s">
        <v>582</v>
      </c>
      <c r="R2" s="120" t="s">
        <v>583</v>
      </c>
      <c r="S2" s="120" t="s">
        <v>737</v>
      </c>
      <c r="T2" s="120" t="s">
        <v>584</v>
      </c>
      <c r="U2" s="120" t="s">
        <v>585</v>
      </c>
      <c r="V2" s="120" t="s">
        <v>613</v>
      </c>
      <c r="W2" s="214" t="s">
        <v>614</v>
      </c>
      <c r="X2" s="218" t="s">
        <v>586</v>
      </c>
      <c r="Y2" s="217" t="s">
        <v>587</v>
      </c>
      <c r="Z2" s="123" t="s">
        <v>588</v>
      </c>
      <c r="AA2" s="123" t="s">
        <v>589</v>
      </c>
      <c r="AB2" s="124" t="s">
        <v>590</v>
      </c>
      <c r="AC2" s="122" t="s">
        <v>360</v>
      </c>
      <c r="AD2" s="123" t="s">
        <v>591</v>
      </c>
      <c r="AE2" s="120" t="s">
        <v>592</v>
      </c>
      <c r="AF2" s="120" t="s">
        <v>593</v>
      </c>
      <c r="AG2" s="135" t="s">
        <v>594</v>
      </c>
      <c r="AH2" s="122" t="s">
        <v>295</v>
      </c>
      <c r="AI2" s="144" t="s">
        <v>644</v>
      </c>
      <c r="AJ2" s="120" t="s">
        <v>645</v>
      </c>
      <c r="AK2" s="120" t="s">
        <v>646</v>
      </c>
      <c r="AL2" s="135" t="s">
        <v>647</v>
      </c>
      <c r="AM2" s="122" t="s">
        <v>704</v>
      </c>
      <c r="AN2" s="214" t="s">
        <v>705</v>
      </c>
      <c r="AO2" s="16" t="s">
        <v>595</v>
      </c>
      <c r="AP2" s="16" t="s">
        <v>530</v>
      </c>
    </row>
    <row r="3" spans="1:42" s="10" customFormat="1">
      <c r="A3" s="125">
        <v>42660.659882673601</v>
      </c>
      <c r="B3" s="10" t="s">
        <v>615</v>
      </c>
      <c r="C3" s="10" t="s">
        <v>51</v>
      </c>
      <c r="D3" s="22" t="s">
        <v>49</v>
      </c>
      <c r="E3" s="10" t="s">
        <v>596</v>
      </c>
      <c r="F3" s="21" t="s">
        <v>48</v>
      </c>
      <c r="H3" s="125">
        <v>42660.660379594898</v>
      </c>
      <c r="I3" s="10" t="s">
        <v>615</v>
      </c>
      <c r="J3" s="126">
        <v>4.9692129629629598E-4</v>
      </c>
      <c r="K3" s="10" t="s">
        <v>616</v>
      </c>
      <c r="L3" s="10" t="s">
        <v>617</v>
      </c>
      <c r="M3" s="127">
        <v>0</v>
      </c>
      <c r="O3" s="127">
        <v>0</v>
      </c>
      <c r="P3" s="127"/>
      <c r="Q3" s="127">
        <v>0</v>
      </c>
      <c r="R3" s="127">
        <v>0</v>
      </c>
      <c r="S3" s="127">
        <v>0</v>
      </c>
      <c r="T3" s="10" t="s">
        <v>618</v>
      </c>
      <c r="U3" s="10">
        <v>1</v>
      </c>
      <c r="V3" s="127">
        <v>1</v>
      </c>
      <c r="W3" s="127"/>
      <c r="X3" s="128"/>
      <c r="Y3" s="128"/>
      <c r="Z3" s="128"/>
      <c r="AA3" s="127"/>
      <c r="AB3" s="128"/>
      <c r="AC3" s="127"/>
      <c r="AD3" s="127"/>
      <c r="AE3" s="136"/>
      <c r="AF3" s="127">
        <v>1</v>
      </c>
      <c r="AG3" s="10">
        <v>10.23</v>
      </c>
      <c r="AH3" s="10">
        <v>235</v>
      </c>
      <c r="AI3" s="10">
        <v>1234</v>
      </c>
      <c r="AJ3" s="10">
        <v>3.45</v>
      </c>
      <c r="AK3" s="10">
        <v>4</v>
      </c>
      <c r="AL3" s="10">
        <v>678</v>
      </c>
      <c r="AM3" s="10">
        <v>124</v>
      </c>
      <c r="AN3" s="10">
        <v>3464</v>
      </c>
    </row>
    <row r="4" spans="1:42" s="10" customFormat="1">
      <c r="A4" s="125">
        <v>42660.6603799074</v>
      </c>
      <c r="B4" s="10" t="s">
        <v>619</v>
      </c>
      <c r="C4" s="10" t="s">
        <v>51</v>
      </c>
      <c r="D4" s="22" t="s">
        <v>49</v>
      </c>
      <c r="E4" s="10" t="s">
        <v>596</v>
      </c>
      <c r="F4" s="21" t="s">
        <v>48</v>
      </c>
      <c r="H4" s="125">
        <v>42660.660550254601</v>
      </c>
      <c r="I4" s="10" t="s">
        <v>619</v>
      </c>
      <c r="J4" s="126">
        <v>1.7034722222222199E-4</v>
      </c>
      <c r="K4" s="10" t="s">
        <v>616</v>
      </c>
      <c r="L4" s="10" t="s">
        <v>617</v>
      </c>
      <c r="M4" s="127">
        <v>0</v>
      </c>
      <c r="O4" s="127">
        <v>0</v>
      </c>
      <c r="P4" s="127"/>
      <c r="Q4" s="127">
        <v>3</v>
      </c>
      <c r="R4" s="127">
        <v>0</v>
      </c>
      <c r="S4" s="127">
        <v>0</v>
      </c>
      <c r="T4" s="10" t="s">
        <v>618</v>
      </c>
      <c r="U4" s="10">
        <v>0</v>
      </c>
      <c r="V4" s="127">
        <v>0</v>
      </c>
      <c r="W4" s="127"/>
      <c r="X4" s="128"/>
      <c r="Y4" s="128"/>
      <c r="Z4" s="128"/>
      <c r="AA4" s="127"/>
      <c r="AB4" s="128"/>
      <c r="AC4" s="127"/>
      <c r="AD4" s="127"/>
      <c r="AE4" s="136"/>
      <c r="AF4" s="127">
        <v>1</v>
      </c>
      <c r="AG4" s="10">
        <v>8.23</v>
      </c>
      <c r="AH4" s="10">
        <v>123</v>
      </c>
      <c r="AI4" s="10">
        <v>1234</v>
      </c>
      <c r="AJ4" s="10">
        <v>2.4500000000000002</v>
      </c>
      <c r="AK4" s="10">
        <v>6</v>
      </c>
      <c r="AL4" s="10">
        <v>890</v>
      </c>
      <c r="AM4" s="10">
        <v>125</v>
      </c>
      <c r="AN4" s="10">
        <v>3464</v>
      </c>
    </row>
    <row r="5" spans="1:42" s="10" customFormat="1">
      <c r="A5" s="125">
        <v>42660.6603917014</v>
      </c>
      <c r="B5" s="10" t="s">
        <v>619</v>
      </c>
      <c r="C5" s="10" t="s">
        <v>51</v>
      </c>
      <c r="D5" s="22" t="s">
        <v>49</v>
      </c>
      <c r="E5" s="10" t="s">
        <v>574</v>
      </c>
      <c r="F5" s="21" t="s">
        <v>48</v>
      </c>
      <c r="G5" s="21" t="s">
        <v>50</v>
      </c>
      <c r="H5" s="125">
        <v>42660.660997245403</v>
      </c>
      <c r="I5" s="10" t="s">
        <v>619</v>
      </c>
      <c r="J5" s="126"/>
      <c r="M5" s="127"/>
      <c r="O5" s="127"/>
      <c r="P5" s="127"/>
      <c r="Q5" s="127"/>
      <c r="R5" s="127"/>
      <c r="S5" s="127"/>
      <c r="W5" s="127"/>
      <c r="X5" s="128"/>
      <c r="Y5" s="128"/>
      <c r="Z5" s="128"/>
      <c r="AA5" s="127">
        <v>2</v>
      </c>
      <c r="AB5" s="128">
        <v>108.86038303375244</v>
      </c>
      <c r="AC5" s="127">
        <v>104</v>
      </c>
      <c r="AD5" s="127">
        <v>52319</v>
      </c>
      <c r="AE5" s="136">
        <v>1.983803</v>
      </c>
      <c r="AF5" s="127"/>
      <c r="AG5" s="10">
        <v>15</v>
      </c>
    </row>
    <row r="6" spans="1:42" s="10" customFormat="1">
      <c r="A6" s="125">
        <v>42660.660420231499</v>
      </c>
      <c r="B6" s="10" t="s">
        <v>619</v>
      </c>
      <c r="C6" s="10" t="s">
        <v>51</v>
      </c>
      <c r="D6" s="22" t="s">
        <v>49</v>
      </c>
      <c r="E6" s="10" t="s">
        <v>574</v>
      </c>
      <c r="F6" s="21" t="s">
        <v>48</v>
      </c>
      <c r="G6" s="21" t="s">
        <v>50</v>
      </c>
      <c r="H6" s="125">
        <v>42660.661220648202</v>
      </c>
      <c r="I6" s="10" t="s">
        <v>619</v>
      </c>
      <c r="J6" s="126"/>
      <c r="M6" s="127"/>
      <c r="O6" s="127"/>
      <c r="P6" s="127"/>
      <c r="Q6" s="127"/>
      <c r="R6" s="127"/>
      <c r="S6" s="127"/>
      <c r="W6" s="127"/>
      <c r="X6" s="128"/>
      <c r="Y6" s="128"/>
      <c r="Z6" s="128"/>
      <c r="AA6" s="127">
        <v>2</v>
      </c>
      <c r="AB6" s="128">
        <v>133.73400020599365</v>
      </c>
      <c r="AC6" s="127">
        <v>129</v>
      </c>
      <c r="AD6" s="127">
        <v>69156</v>
      </c>
      <c r="AE6" s="136">
        <v>1.8655379999999999</v>
      </c>
      <c r="AF6" s="127"/>
      <c r="AG6" s="10">
        <v>15</v>
      </c>
    </row>
    <row r="7" spans="1:42" s="10" customFormat="1">
      <c r="A7" s="125">
        <v>42660.660486238397</v>
      </c>
      <c r="B7" s="10" t="s">
        <v>619</v>
      </c>
      <c r="C7" s="10" t="s">
        <v>51</v>
      </c>
      <c r="D7" s="22" t="s">
        <v>49</v>
      </c>
      <c r="E7" s="10" t="s">
        <v>574</v>
      </c>
      <c r="F7" s="21" t="s">
        <v>48</v>
      </c>
      <c r="G7" s="21" t="s">
        <v>50</v>
      </c>
      <c r="H7" s="125">
        <v>42660.661230150501</v>
      </c>
      <c r="I7" s="10" t="s">
        <v>619</v>
      </c>
      <c r="J7" s="126"/>
      <c r="M7" s="127"/>
      <c r="O7" s="127"/>
      <c r="P7" s="127"/>
      <c r="Q7" s="127"/>
      <c r="R7" s="127"/>
      <c r="S7" s="127"/>
      <c r="W7" s="127"/>
      <c r="X7" s="128"/>
      <c r="Y7" s="128"/>
      <c r="Z7" s="128"/>
      <c r="AA7" s="127">
        <v>2</v>
      </c>
      <c r="AB7" s="128">
        <v>130.4456787109375</v>
      </c>
      <c r="AC7" s="127">
        <v>122</v>
      </c>
      <c r="AD7" s="127">
        <v>64274</v>
      </c>
      <c r="AE7" s="136">
        <v>1.903929</v>
      </c>
      <c r="AF7" s="127"/>
      <c r="AG7" s="10">
        <v>15</v>
      </c>
    </row>
    <row r="8" spans="1:42">
      <c r="A8" s="125"/>
      <c r="B8" s="10"/>
      <c r="C8" s="10"/>
      <c r="D8" s="22"/>
      <c r="E8" s="10"/>
      <c r="F8" s="22"/>
      <c r="G8" s="10"/>
      <c r="H8" s="125"/>
      <c r="I8" s="10"/>
      <c r="J8" s="126"/>
      <c r="K8" s="10"/>
      <c r="L8" s="10"/>
      <c r="M8" s="127"/>
      <c r="N8" s="10"/>
      <c r="O8" s="127"/>
      <c r="P8" s="127"/>
      <c r="Q8" s="127"/>
      <c r="R8" s="127"/>
      <c r="S8" s="127"/>
      <c r="T8" s="127"/>
      <c r="U8" s="127"/>
      <c r="V8" s="128"/>
      <c r="W8" s="128"/>
      <c r="X8" s="128"/>
      <c r="Y8" s="127"/>
      <c r="Z8" s="128"/>
      <c r="AA8" s="128"/>
      <c r="AB8" s="127"/>
      <c r="AC8" s="128"/>
      <c r="AD8" s="127"/>
      <c r="AE8" s="10"/>
    </row>
    <row r="9" spans="1:42">
      <c r="A9" s="125"/>
      <c r="B9" s="10"/>
      <c r="C9" s="10"/>
      <c r="D9" s="22"/>
      <c r="E9" s="10"/>
      <c r="F9" s="22"/>
      <c r="G9" s="10"/>
      <c r="H9" s="125"/>
      <c r="I9" s="10"/>
      <c r="J9" s="126"/>
      <c r="K9" s="10"/>
      <c r="L9" s="10"/>
      <c r="M9" s="127"/>
      <c r="N9" s="10"/>
      <c r="O9" s="127"/>
      <c r="P9" s="127"/>
      <c r="Q9" s="127"/>
      <c r="R9" s="127"/>
      <c r="S9" s="127"/>
      <c r="T9" s="127"/>
      <c r="U9" s="127"/>
      <c r="V9" s="128"/>
      <c r="W9" s="128"/>
      <c r="X9" s="128"/>
      <c r="Y9" s="127"/>
      <c r="Z9" s="128"/>
      <c r="AA9" s="128"/>
      <c r="AB9" s="127"/>
      <c r="AC9" s="128"/>
      <c r="AD9" s="127"/>
      <c r="AE9" s="10"/>
    </row>
    <row r="10" spans="1:42">
      <c r="A10" s="125"/>
      <c r="B10" s="10"/>
      <c r="C10" s="10"/>
      <c r="D10" s="22"/>
      <c r="E10" s="10"/>
      <c r="F10" s="22"/>
      <c r="G10" s="10"/>
      <c r="H10" s="125"/>
      <c r="I10" s="10"/>
      <c r="J10" s="126"/>
      <c r="K10" s="10"/>
      <c r="L10" s="10"/>
      <c r="M10" s="127"/>
      <c r="N10" s="10"/>
      <c r="O10" s="127"/>
      <c r="P10" s="127"/>
      <c r="Q10" s="127"/>
      <c r="R10" s="127"/>
      <c r="S10" s="127"/>
      <c r="T10" s="127"/>
      <c r="U10" s="127"/>
      <c r="V10" s="128"/>
      <c r="W10" s="128"/>
      <c r="X10" s="128"/>
      <c r="Y10" s="127"/>
      <c r="Z10" s="128"/>
      <c r="AA10" s="128"/>
      <c r="AB10" s="127"/>
      <c r="AC10" s="128"/>
      <c r="AD10" s="127"/>
      <c r="AE10" s="10"/>
    </row>
  </sheetData>
  <mergeCells count="5">
    <mergeCell ref="AM1:AN1"/>
    <mergeCell ref="I1:X1"/>
    <mergeCell ref="Y1:AB1"/>
    <mergeCell ref="AC1:AG1"/>
    <mergeCell ref="AH1:AL1"/>
  </mergeCells>
  <pageMargins left="0.7" right="0.7" top="0.75" bottom="0.75" header="0.3" footer="0.3"/>
  <pageSetup orientation="portrait" horizontalDpi="0" verticalDpi="0"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activeCell="A2" sqref="A2"/>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5" t="s">
        <v>51</v>
      </c>
      <c r="C80" s="118" t="s">
        <v>49</v>
      </c>
      <c r="D80" s="118" t="s">
        <v>48</v>
      </c>
      <c r="E80" s="10"/>
      <c r="F80" s="10" t="s">
        <v>563</v>
      </c>
      <c r="G80" s="10">
        <v>7901303</v>
      </c>
      <c r="H80" s="10" t="s">
        <v>35</v>
      </c>
      <c r="I80" s="27"/>
      <c r="J80" s="10"/>
      <c r="K80" s="10">
        <v>7901303</v>
      </c>
      <c r="L80" s="10" t="s">
        <v>572</v>
      </c>
    </row>
    <row r="81" spans="1:12">
      <c r="A81" s="10" t="s">
        <v>155</v>
      </c>
      <c r="B81" s="115" t="s">
        <v>51</v>
      </c>
      <c r="C81" s="118" t="s">
        <v>49</v>
      </c>
      <c r="D81" s="118" t="s">
        <v>48</v>
      </c>
      <c r="E81" s="10"/>
      <c r="F81" s="10" t="s">
        <v>564</v>
      </c>
      <c r="G81" s="10">
        <v>9174</v>
      </c>
      <c r="H81" s="10" t="s">
        <v>35</v>
      </c>
      <c r="I81" s="27"/>
      <c r="J81" s="10"/>
      <c r="K81" s="10">
        <v>9174</v>
      </c>
      <c r="L81" s="10" t="s">
        <v>572</v>
      </c>
    </row>
    <row r="82" spans="1:12">
      <c r="A82" s="10" t="s">
        <v>155</v>
      </c>
      <c r="B82" s="115" t="s">
        <v>51</v>
      </c>
      <c r="C82" s="118" t="s">
        <v>49</v>
      </c>
      <c r="D82" s="118" t="s">
        <v>48</v>
      </c>
      <c r="E82" s="10"/>
      <c r="F82" s="10" t="s">
        <v>565</v>
      </c>
      <c r="G82" s="10">
        <v>112953</v>
      </c>
      <c r="H82" s="10" t="s">
        <v>35</v>
      </c>
      <c r="I82" s="27"/>
      <c r="J82" s="10"/>
      <c r="K82" s="10">
        <v>112953</v>
      </c>
      <c r="L82" s="10" t="s">
        <v>572</v>
      </c>
    </row>
    <row r="83" spans="1:12">
      <c r="A83" s="10" t="s">
        <v>155</v>
      </c>
      <c r="B83" s="115" t="s">
        <v>51</v>
      </c>
      <c r="C83" s="118" t="s">
        <v>49</v>
      </c>
      <c r="D83" s="118" t="s">
        <v>48</v>
      </c>
      <c r="E83" s="10"/>
      <c r="F83" s="10" t="s">
        <v>566</v>
      </c>
      <c r="G83" s="10">
        <v>246</v>
      </c>
      <c r="H83" s="10"/>
      <c r="I83" s="27"/>
      <c r="J83" s="10"/>
      <c r="K83" s="10">
        <v>246</v>
      </c>
      <c r="L83" s="10" t="s">
        <v>572</v>
      </c>
    </row>
    <row r="84" spans="1:12">
      <c r="A84" s="10" t="s">
        <v>155</v>
      </c>
      <c r="B84" s="137" t="s">
        <v>51</v>
      </c>
      <c r="C84" s="118" t="s">
        <v>49</v>
      </c>
      <c r="D84" s="118" t="s">
        <v>48</v>
      </c>
      <c r="E84" s="10"/>
      <c r="F84" s="10" t="s">
        <v>573</v>
      </c>
      <c r="G84" s="10">
        <v>1</v>
      </c>
      <c r="H84" s="10"/>
      <c r="I84" s="27"/>
      <c r="J84" s="10"/>
      <c r="K84" s="10">
        <v>1</v>
      </c>
      <c r="L84" s="10" t="s">
        <v>572</v>
      </c>
    </row>
    <row r="85" spans="1:12">
      <c r="A85" s="10" t="s">
        <v>155</v>
      </c>
      <c r="B85" s="137" t="s">
        <v>51</v>
      </c>
      <c r="C85" s="118" t="s">
        <v>49</v>
      </c>
      <c r="D85" s="118" t="s">
        <v>48</v>
      </c>
      <c r="E85" s="118" t="s">
        <v>50</v>
      </c>
      <c r="F85" s="10" t="s">
        <v>567</v>
      </c>
      <c r="G85" s="10">
        <v>5819747</v>
      </c>
      <c r="H85" s="10" t="s">
        <v>35</v>
      </c>
      <c r="I85" s="27"/>
      <c r="J85" s="10" t="b">
        <v>1</v>
      </c>
      <c r="K85" s="10">
        <v>5819747</v>
      </c>
      <c r="L85" s="10">
        <v>13</v>
      </c>
    </row>
    <row r="86" spans="1:12">
      <c r="A86" s="10" t="s">
        <v>155</v>
      </c>
      <c r="B86" s="137" t="s">
        <v>51</v>
      </c>
      <c r="C86" s="118" t="s">
        <v>49</v>
      </c>
      <c r="D86" s="118" t="s">
        <v>48</v>
      </c>
      <c r="E86" s="118" t="s">
        <v>50</v>
      </c>
      <c r="F86" s="10" t="s">
        <v>568</v>
      </c>
      <c r="G86" s="10">
        <v>23</v>
      </c>
      <c r="H86" s="10" t="s">
        <v>35</v>
      </c>
      <c r="I86" s="27"/>
      <c r="J86" s="10" t="b">
        <v>1</v>
      </c>
      <c r="K86" s="10">
        <v>23</v>
      </c>
      <c r="L86" s="10">
        <v>13</v>
      </c>
    </row>
    <row r="87" spans="1:12">
      <c r="A87" s="10" t="s">
        <v>155</v>
      </c>
      <c r="B87" s="137" t="s">
        <v>51</v>
      </c>
      <c r="C87" s="118" t="s">
        <v>49</v>
      </c>
      <c r="D87" s="118" t="s">
        <v>48</v>
      </c>
      <c r="E87" s="118" t="s">
        <v>50</v>
      </c>
      <c r="F87" s="10" t="s">
        <v>569</v>
      </c>
      <c r="G87" s="10">
        <v>1455699.25</v>
      </c>
      <c r="H87" s="10" t="s">
        <v>35</v>
      </c>
      <c r="I87" s="27"/>
      <c r="J87" s="10" t="b">
        <v>1</v>
      </c>
      <c r="K87" s="10">
        <v>1455699.25</v>
      </c>
      <c r="L87" s="10">
        <v>13</v>
      </c>
    </row>
    <row r="88" spans="1:12">
      <c r="A88" s="10" t="s">
        <v>155</v>
      </c>
      <c r="B88" s="137" t="s">
        <v>51</v>
      </c>
      <c r="C88" s="118" t="s">
        <v>49</v>
      </c>
      <c r="D88" s="118" t="s">
        <v>48</v>
      </c>
      <c r="E88" s="118" t="s">
        <v>50</v>
      </c>
      <c r="F88" s="10" t="s">
        <v>570</v>
      </c>
      <c r="G88" s="10">
        <v>2519584.2544080932</v>
      </c>
      <c r="H88" s="10" t="s">
        <v>35</v>
      </c>
      <c r="I88" s="27"/>
      <c r="J88" s="10" t="b">
        <v>1</v>
      </c>
      <c r="K88" s="10">
        <v>2519584.2544080932</v>
      </c>
      <c r="L88" s="10">
        <v>13</v>
      </c>
    </row>
    <row r="89" spans="1:12">
      <c r="A89" s="10" t="s">
        <v>155</v>
      </c>
      <c r="B89" s="137" t="s">
        <v>51</v>
      </c>
      <c r="C89" s="118" t="s">
        <v>49</v>
      </c>
      <c r="D89" s="118" t="s">
        <v>48</v>
      </c>
      <c r="E89" s="118" t="s">
        <v>50</v>
      </c>
      <c r="F89" s="10" t="s">
        <v>571</v>
      </c>
      <c r="G89" s="10">
        <v>4</v>
      </c>
      <c r="H89" s="10"/>
      <c r="I89" s="27"/>
      <c r="J89" s="10" t="b">
        <v>1</v>
      </c>
      <c r="K89" s="10">
        <v>4</v>
      </c>
      <c r="L89" s="10">
        <v>13</v>
      </c>
    </row>
    <row r="90" spans="1:12">
      <c r="A90" s="10" t="s">
        <v>155</v>
      </c>
      <c r="B90" s="137" t="s">
        <v>51</v>
      </c>
      <c r="C90" s="137" t="s">
        <v>49</v>
      </c>
      <c r="D90" s="137" t="s">
        <v>48</v>
      </c>
      <c r="E90" s="137" t="s">
        <v>50</v>
      </c>
      <c r="F90" s="10" t="s">
        <v>626</v>
      </c>
      <c r="G90" s="10">
        <v>230</v>
      </c>
      <c r="H90" s="10" t="s">
        <v>35</v>
      </c>
      <c r="I90" s="88"/>
      <c r="J90" s="10" t="b">
        <v>1</v>
      </c>
      <c r="K90" s="10">
        <v>230</v>
      </c>
      <c r="L90" s="10">
        <v>14</v>
      </c>
    </row>
    <row r="91" spans="1:12">
      <c r="A91" s="10" t="s">
        <v>155</v>
      </c>
      <c r="B91" s="137" t="s">
        <v>51</v>
      </c>
      <c r="C91" s="137" t="s">
        <v>49</v>
      </c>
      <c r="D91" s="137" t="s">
        <v>48</v>
      </c>
      <c r="E91" s="137" t="s">
        <v>50</v>
      </c>
      <c r="F91" s="10" t="s">
        <v>627</v>
      </c>
      <c r="G91" s="10">
        <v>124</v>
      </c>
      <c r="H91" s="10" t="s">
        <v>35</v>
      </c>
      <c r="I91" s="88"/>
      <c r="J91" s="10" t="b">
        <v>1</v>
      </c>
      <c r="K91" s="10">
        <v>124</v>
      </c>
      <c r="L91" s="10">
        <v>14</v>
      </c>
    </row>
    <row r="92" spans="1:12">
      <c r="A92" s="10" t="s">
        <v>155</v>
      </c>
      <c r="B92" s="137" t="s">
        <v>51</v>
      </c>
      <c r="C92" s="137" t="s">
        <v>49</v>
      </c>
      <c r="D92" s="137" t="s">
        <v>48</v>
      </c>
      <c r="E92" s="137" t="s">
        <v>50</v>
      </c>
      <c r="F92" s="10" t="s">
        <v>628</v>
      </c>
      <c r="G92" s="10">
        <v>100</v>
      </c>
      <c r="H92" s="10" t="s">
        <v>35</v>
      </c>
      <c r="I92" s="88"/>
      <c r="J92" s="10" t="b">
        <v>1</v>
      </c>
      <c r="K92" s="10">
        <v>100</v>
      </c>
      <c r="L92" s="10">
        <v>14</v>
      </c>
    </row>
    <row r="93" spans="1:12">
      <c r="A93" s="10" t="s">
        <v>155</v>
      </c>
      <c r="B93" s="137" t="s">
        <v>51</v>
      </c>
      <c r="C93" s="137" t="s">
        <v>49</v>
      </c>
      <c r="D93" s="137" t="s">
        <v>48</v>
      </c>
      <c r="E93" s="137" t="s">
        <v>50</v>
      </c>
      <c r="F93" s="10" t="s">
        <v>629</v>
      </c>
      <c r="G93" s="10">
        <v>10</v>
      </c>
      <c r="H93" s="10"/>
      <c r="I93" s="88"/>
      <c r="J93" s="10" t="b">
        <v>1</v>
      </c>
      <c r="K93" s="10">
        <v>10</v>
      </c>
      <c r="L93" s="10">
        <v>14</v>
      </c>
    </row>
    <row r="94" spans="1:12">
      <c r="A94" s="10" t="s">
        <v>155</v>
      </c>
      <c r="B94" s="137" t="s">
        <v>51</v>
      </c>
      <c r="C94" s="137" t="s">
        <v>49</v>
      </c>
      <c r="D94" s="137" t="s">
        <v>48</v>
      </c>
      <c r="E94" s="137" t="s">
        <v>50</v>
      </c>
      <c r="F94" s="10" t="s">
        <v>630</v>
      </c>
      <c r="G94" s="10">
        <v>5</v>
      </c>
      <c r="H94" s="10"/>
      <c r="I94" s="88"/>
      <c r="J94" s="10" t="b">
        <v>1</v>
      </c>
      <c r="K94" s="10">
        <v>5</v>
      </c>
      <c r="L94" s="10">
        <v>14</v>
      </c>
    </row>
    <row r="95" spans="1:12">
      <c r="A95" s="10" t="s">
        <v>155</v>
      </c>
      <c r="B95" s="143" t="s">
        <v>51</v>
      </c>
      <c r="C95" s="143" t="s">
        <v>49</v>
      </c>
      <c r="D95" s="143" t="s">
        <v>48</v>
      </c>
      <c r="E95" s="143" t="s">
        <v>50</v>
      </c>
      <c r="F95" s="10" t="s">
        <v>651</v>
      </c>
      <c r="G95" s="10">
        <v>123</v>
      </c>
      <c r="H95" s="10" t="s">
        <v>35</v>
      </c>
      <c r="I95" s="88"/>
      <c r="J95" s="10" t="b">
        <v>1</v>
      </c>
      <c r="K95" s="10">
        <v>123</v>
      </c>
      <c r="L95" s="10">
        <v>15</v>
      </c>
    </row>
    <row r="96" spans="1:12">
      <c r="A96" s="10" t="s">
        <v>155</v>
      </c>
      <c r="B96" s="143" t="s">
        <v>51</v>
      </c>
      <c r="C96" s="143" t="s">
        <v>49</v>
      </c>
      <c r="D96" s="143" t="s">
        <v>48</v>
      </c>
      <c r="E96" s="143" t="s">
        <v>50</v>
      </c>
      <c r="F96" s="10" t="s">
        <v>652</v>
      </c>
      <c r="G96" s="10">
        <v>54</v>
      </c>
      <c r="H96" s="10" t="s">
        <v>35</v>
      </c>
      <c r="I96" s="88"/>
      <c r="J96" s="10" t="b">
        <v>1</v>
      </c>
      <c r="K96" s="10">
        <v>54</v>
      </c>
      <c r="L96" s="10">
        <v>15</v>
      </c>
    </row>
    <row r="97" spans="1:12">
      <c r="A97" s="10" t="s">
        <v>155</v>
      </c>
      <c r="B97" s="143" t="s">
        <v>51</v>
      </c>
      <c r="C97" s="143" t="s">
        <v>49</v>
      </c>
      <c r="D97" s="143" t="s">
        <v>48</v>
      </c>
      <c r="E97" s="143" t="s">
        <v>50</v>
      </c>
      <c r="F97" s="10" t="s">
        <v>653</v>
      </c>
      <c r="G97" s="10">
        <v>23</v>
      </c>
      <c r="H97" s="10" t="s">
        <v>35</v>
      </c>
      <c r="I97" s="88"/>
      <c r="J97" s="10" t="b">
        <v>1</v>
      </c>
      <c r="K97" s="10">
        <v>23</v>
      </c>
      <c r="L97" s="10">
        <v>15</v>
      </c>
    </row>
    <row r="98" spans="1:12">
      <c r="A98" s="10" t="s">
        <v>155</v>
      </c>
      <c r="B98" s="143" t="s">
        <v>51</v>
      </c>
      <c r="C98" s="143" t="s">
        <v>49</v>
      </c>
      <c r="D98" s="143" t="s">
        <v>48</v>
      </c>
      <c r="E98" s="143" t="s">
        <v>50</v>
      </c>
      <c r="F98" s="10" t="s">
        <v>654</v>
      </c>
      <c r="G98" s="10">
        <v>12</v>
      </c>
      <c r="H98" s="10"/>
      <c r="I98" s="88"/>
      <c r="J98" s="10" t="b">
        <v>1</v>
      </c>
      <c r="K98" s="10">
        <v>12</v>
      </c>
      <c r="L98" s="10">
        <v>15</v>
      </c>
    </row>
    <row r="99" spans="1:12">
      <c r="A99" s="10" t="s">
        <v>155</v>
      </c>
      <c r="B99" s="143" t="s">
        <v>51</v>
      </c>
      <c r="C99" s="143" t="s">
        <v>49</v>
      </c>
      <c r="D99" s="143" t="s">
        <v>48</v>
      </c>
      <c r="E99" s="143" t="s">
        <v>50</v>
      </c>
      <c r="F99" s="10" t="s">
        <v>655</v>
      </c>
      <c r="G99" s="10">
        <v>7.89</v>
      </c>
      <c r="H99" s="10" t="s">
        <v>658</v>
      </c>
      <c r="I99" s="88"/>
      <c r="J99" s="10" t="b">
        <v>1</v>
      </c>
      <c r="K99" s="10">
        <v>7.89</v>
      </c>
      <c r="L99" s="10">
        <v>15</v>
      </c>
    </row>
    <row r="100" spans="1:12">
      <c r="A100" s="10" t="s">
        <v>155</v>
      </c>
      <c r="B100" s="143" t="s">
        <v>51</v>
      </c>
      <c r="C100" s="143" t="s">
        <v>49</v>
      </c>
      <c r="D100" s="143" t="s">
        <v>48</v>
      </c>
      <c r="E100" s="143" t="s">
        <v>50</v>
      </c>
      <c r="F100" s="10" t="s">
        <v>656</v>
      </c>
      <c r="G100" s="10">
        <v>3.45</v>
      </c>
      <c r="H100" s="10" t="s">
        <v>658</v>
      </c>
      <c r="I100" s="88"/>
      <c r="J100" s="10" t="b">
        <v>1</v>
      </c>
      <c r="K100" s="10">
        <v>3.45</v>
      </c>
      <c r="L100" s="10">
        <v>15</v>
      </c>
    </row>
    <row r="101" spans="1:12">
      <c r="A101" s="10" t="s">
        <v>155</v>
      </c>
      <c r="B101" s="143" t="s">
        <v>51</v>
      </c>
      <c r="C101" s="143" t="s">
        <v>49</v>
      </c>
      <c r="D101" s="143" t="s">
        <v>48</v>
      </c>
      <c r="E101" s="143" t="s">
        <v>50</v>
      </c>
      <c r="F101" s="10" t="s">
        <v>657</v>
      </c>
      <c r="G101" s="10">
        <v>1.23</v>
      </c>
      <c r="H101" s="10" t="s">
        <v>658</v>
      </c>
      <c r="I101" s="88"/>
      <c r="J101" s="10" t="b">
        <v>1</v>
      </c>
      <c r="K101" s="10">
        <v>1.23</v>
      </c>
      <c r="L101" s="10">
        <v>15</v>
      </c>
    </row>
    <row r="102" spans="1:12">
      <c r="A102" s="10" t="s">
        <v>155</v>
      </c>
      <c r="B102" s="146" t="s">
        <v>51</v>
      </c>
      <c r="C102" s="146" t="s">
        <v>49</v>
      </c>
      <c r="D102" s="146" t="s">
        <v>48</v>
      </c>
      <c r="E102" s="146" t="s">
        <v>50</v>
      </c>
      <c r="F102" s="10" t="s">
        <v>659</v>
      </c>
      <c r="G102" s="10">
        <v>12.43</v>
      </c>
      <c r="H102" s="10" t="s">
        <v>663</v>
      </c>
      <c r="I102" s="88"/>
      <c r="J102" s="10" t="b">
        <v>1</v>
      </c>
      <c r="K102" s="10">
        <v>12.43</v>
      </c>
      <c r="L102" s="10">
        <v>15</v>
      </c>
    </row>
    <row r="103" spans="1:12">
      <c r="A103" s="10" t="s">
        <v>155</v>
      </c>
      <c r="B103" s="146" t="s">
        <v>51</v>
      </c>
      <c r="C103" s="146" t="s">
        <v>49</v>
      </c>
      <c r="D103" s="146" t="s">
        <v>48</v>
      </c>
      <c r="E103" s="146" t="s">
        <v>50</v>
      </c>
      <c r="F103" s="10" t="s">
        <v>660</v>
      </c>
      <c r="G103" s="10">
        <v>5.67</v>
      </c>
      <c r="H103" s="10" t="s">
        <v>663</v>
      </c>
      <c r="I103" s="88"/>
      <c r="J103" s="10" t="b">
        <v>1</v>
      </c>
      <c r="K103" s="10">
        <v>5.67</v>
      </c>
      <c r="L103" s="10">
        <v>15</v>
      </c>
    </row>
    <row r="104" spans="1:12">
      <c r="A104" s="10" t="s">
        <v>155</v>
      </c>
      <c r="B104" s="146" t="s">
        <v>51</v>
      </c>
      <c r="C104" s="146" t="s">
        <v>49</v>
      </c>
      <c r="D104" s="146" t="s">
        <v>48</v>
      </c>
      <c r="E104" s="146" t="s">
        <v>50</v>
      </c>
      <c r="F104" s="10" t="s">
        <v>661</v>
      </c>
      <c r="G104" s="10">
        <v>2.34</v>
      </c>
      <c r="H104" s="10" t="s">
        <v>663</v>
      </c>
      <c r="I104" s="88"/>
      <c r="J104" s="10" t="b">
        <v>1</v>
      </c>
      <c r="K104" s="10">
        <v>2.34</v>
      </c>
      <c r="L104" s="10">
        <v>15</v>
      </c>
    </row>
    <row r="105" spans="1:12">
      <c r="A105" s="10" t="s">
        <v>155</v>
      </c>
      <c r="B105" s="146" t="s">
        <v>51</v>
      </c>
      <c r="C105" s="146" t="s">
        <v>49</v>
      </c>
      <c r="D105" s="146" t="s">
        <v>48</v>
      </c>
      <c r="E105" s="146" t="s">
        <v>50</v>
      </c>
      <c r="F105" s="10" t="s">
        <v>662</v>
      </c>
      <c r="G105" s="10">
        <v>23.45</v>
      </c>
      <c r="H105" s="10" t="s">
        <v>663</v>
      </c>
      <c r="I105" s="88"/>
      <c r="J105" s="10" t="b">
        <v>1</v>
      </c>
      <c r="K105" s="10">
        <v>23.45</v>
      </c>
      <c r="L105" s="10">
        <v>15</v>
      </c>
    </row>
    <row r="106" spans="1:12">
      <c r="A106" s="10" t="s">
        <v>164</v>
      </c>
      <c r="B106" s="165" t="s">
        <v>51</v>
      </c>
      <c r="C106" s="165" t="s">
        <v>49</v>
      </c>
      <c r="D106" s="165" t="s">
        <v>48</v>
      </c>
      <c r="E106" s="165" t="s">
        <v>50</v>
      </c>
      <c r="F106" s="10" t="s">
        <v>723</v>
      </c>
      <c r="G106" s="10"/>
      <c r="H106" s="10" t="s">
        <v>724</v>
      </c>
      <c r="I106" s="27"/>
      <c r="J106" s="10" t="b">
        <v>1</v>
      </c>
      <c r="K106" s="10"/>
    </row>
    <row r="107" spans="1:12">
      <c r="A107" s="10" t="s">
        <v>164</v>
      </c>
      <c r="B107" s="165" t="s">
        <v>51</v>
      </c>
      <c r="C107" s="165" t="s">
        <v>49</v>
      </c>
      <c r="D107" s="165" t="s">
        <v>48</v>
      </c>
      <c r="E107" s="165" t="s">
        <v>50</v>
      </c>
      <c r="F107" s="10" t="s">
        <v>723</v>
      </c>
      <c r="G107" s="10"/>
      <c r="H107" s="10" t="s">
        <v>725</v>
      </c>
      <c r="I107" s="27"/>
      <c r="J107" s="10" t="b">
        <v>1</v>
      </c>
      <c r="K107" s="10"/>
    </row>
    <row r="108" spans="1:12">
      <c r="A108" s="10" t="s">
        <v>164</v>
      </c>
      <c r="B108" s="165" t="s">
        <v>51</v>
      </c>
      <c r="C108" s="165" t="s">
        <v>49</v>
      </c>
      <c r="D108" s="165" t="s">
        <v>48</v>
      </c>
      <c r="E108" s="165" t="s">
        <v>50</v>
      </c>
      <c r="F108" s="10" t="s">
        <v>723</v>
      </c>
      <c r="G108" s="10"/>
      <c r="H108" s="10" t="s">
        <v>726</v>
      </c>
      <c r="I108" s="27"/>
      <c r="J108" s="10" t="b">
        <v>1</v>
      </c>
      <c r="K108" s="10"/>
    </row>
    <row r="109" spans="1:12">
      <c r="A109" s="10" t="s">
        <v>164</v>
      </c>
      <c r="B109" s="165" t="s">
        <v>51</v>
      </c>
      <c r="C109" s="165" t="s">
        <v>49</v>
      </c>
      <c r="D109" s="165" t="s">
        <v>48</v>
      </c>
      <c r="E109" s="165" t="s">
        <v>50</v>
      </c>
      <c r="F109" s="10" t="s">
        <v>723</v>
      </c>
      <c r="G109" s="10"/>
      <c r="H109" s="10" t="s">
        <v>727</v>
      </c>
      <c r="I109" s="27"/>
      <c r="J109" s="10" t="b">
        <v>1</v>
      </c>
      <c r="K109" s="10"/>
    </row>
    <row r="110" spans="1:12">
      <c r="A110" s="10" t="s">
        <v>164</v>
      </c>
      <c r="B110" s="165" t="s">
        <v>51</v>
      </c>
      <c r="C110" s="165" t="s">
        <v>49</v>
      </c>
      <c r="D110" s="165" t="s">
        <v>48</v>
      </c>
      <c r="E110" s="165" t="s">
        <v>50</v>
      </c>
      <c r="F110" s="10" t="s">
        <v>723</v>
      </c>
      <c r="G110" s="10"/>
      <c r="H110" s="10" t="s">
        <v>724</v>
      </c>
      <c r="I110" s="27"/>
      <c r="J110" s="10" t="b">
        <v>1</v>
      </c>
      <c r="K110" s="10"/>
    </row>
    <row r="111" spans="1:12">
      <c r="A111" s="10" t="s">
        <v>164</v>
      </c>
      <c r="B111" s="165" t="s">
        <v>51</v>
      </c>
      <c r="C111" s="165" t="s">
        <v>49</v>
      </c>
      <c r="D111" s="165" t="s">
        <v>48</v>
      </c>
      <c r="E111" s="165" t="s">
        <v>50</v>
      </c>
      <c r="F111" s="10" t="s">
        <v>723</v>
      </c>
      <c r="G111" s="10"/>
      <c r="H111" s="10" t="s">
        <v>728</v>
      </c>
      <c r="I111" s="27"/>
      <c r="J111" s="10" t="b">
        <v>1</v>
      </c>
      <c r="K111" s="10"/>
    </row>
    <row r="112" spans="1:12">
      <c r="A112" s="10" t="s">
        <v>164</v>
      </c>
      <c r="B112" s="165" t="s">
        <v>51</v>
      </c>
      <c r="C112" s="165" t="s">
        <v>49</v>
      </c>
      <c r="D112" s="165" t="s">
        <v>48</v>
      </c>
      <c r="E112" s="165" t="s">
        <v>50</v>
      </c>
      <c r="F112" s="10" t="s">
        <v>723</v>
      </c>
      <c r="G112" s="10"/>
      <c r="H112" s="10" t="s">
        <v>724</v>
      </c>
      <c r="I112" s="27"/>
      <c r="J112" s="10" t="b">
        <v>1</v>
      </c>
      <c r="K112" s="10"/>
    </row>
    <row r="113" spans="1:11">
      <c r="A113" s="10" t="s">
        <v>164</v>
      </c>
      <c r="B113" s="165" t="s">
        <v>51</v>
      </c>
      <c r="C113" s="165" t="s">
        <v>49</v>
      </c>
      <c r="D113" s="165" t="s">
        <v>48</v>
      </c>
      <c r="E113" s="165" t="s">
        <v>50</v>
      </c>
      <c r="F113" s="10" t="s">
        <v>723</v>
      </c>
      <c r="G113" s="10"/>
      <c r="H113" s="10" t="s">
        <v>729</v>
      </c>
      <c r="I113" s="27"/>
      <c r="J113" s="10" t="b">
        <v>1</v>
      </c>
      <c r="K113" s="10"/>
    </row>
    <row r="114" spans="1:11">
      <c r="A114" s="10" t="s">
        <v>164</v>
      </c>
      <c r="B114" s="165" t="s">
        <v>51</v>
      </c>
      <c r="C114" s="165" t="s">
        <v>49</v>
      </c>
      <c r="D114" s="165" t="s">
        <v>48</v>
      </c>
      <c r="E114" s="165" t="s">
        <v>50</v>
      </c>
      <c r="F114" s="10" t="s">
        <v>723</v>
      </c>
      <c r="G114" s="10"/>
      <c r="H114" s="10" t="s">
        <v>730</v>
      </c>
      <c r="I114" s="27"/>
      <c r="J114" s="10" t="b">
        <v>1</v>
      </c>
      <c r="K114" s="10"/>
    </row>
    <row r="115" spans="1:11">
      <c r="B115" s="10"/>
      <c r="C115" s="10"/>
      <c r="D115" s="10"/>
      <c r="E115" s="10"/>
      <c r="F115" s="10"/>
      <c r="G115" s="10"/>
      <c r="H115" s="10"/>
      <c r="I115" s="88"/>
      <c r="J115" s="11"/>
      <c r="K115" s="10"/>
    </row>
    <row r="116" spans="1:11">
      <c r="B116" s="10"/>
      <c r="C116" s="10"/>
      <c r="D116" s="10"/>
      <c r="E116" s="10"/>
      <c r="F116" s="10"/>
      <c r="G116" s="10"/>
      <c r="H116" s="10"/>
      <c r="I116" s="88"/>
      <c r="J116" s="11"/>
      <c r="K116" s="10"/>
    </row>
    <row r="117" spans="1:11">
      <c r="B117" s="10"/>
      <c r="C117" s="10"/>
      <c r="D117" s="10"/>
      <c r="E117" s="10"/>
      <c r="F117" s="10"/>
      <c r="G117" s="10"/>
      <c r="H117" s="10"/>
      <c r="I117" s="88"/>
      <c r="J117" s="11"/>
      <c r="K117" s="10"/>
    </row>
    <row r="118" spans="1:11">
      <c r="B118" s="10"/>
      <c r="C118" s="10"/>
      <c r="D118" s="10"/>
      <c r="E118" s="10"/>
      <c r="F118" s="10"/>
      <c r="G118" s="10"/>
      <c r="H118" s="10"/>
      <c r="I118" s="88"/>
      <c r="J118" s="11"/>
      <c r="K118" s="10"/>
    </row>
    <row r="119" spans="1:11">
      <c r="B119" s="10"/>
      <c r="C119" s="10"/>
      <c r="D119" s="10"/>
      <c r="E119" s="10"/>
      <c r="F119" s="10"/>
      <c r="G119" s="10"/>
      <c r="H119" s="10"/>
      <c r="I119" s="88"/>
      <c r="J119" s="11"/>
      <c r="K119" s="10"/>
    </row>
    <row r="120" spans="1:11">
      <c r="B120" s="10"/>
      <c r="C120" s="10"/>
      <c r="D120" s="10"/>
      <c r="E120" s="10"/>
      <c r="F120" s="10"/>
      <c r="G120" s="10"/>
      <c r="H120" s="10"/>
      <c r="I120" s="88"/>
      <c r="J120" s="11"/>
      <c r="K120" s="10"/>
    </row>
    <row r="121" spans="1:11">
      <c r="B121" s="10"/>
      <c r="C121" s="10"/>
      <c r="D121" s="10"/>
      <c r="E121" s="10"/>
      <c r="F121" s="10"/>
      <c r="G121" s="10"/>
      <c r="H121" s="10"/>
      <c r="I121" s="88"/>
      <c r="J121" s="11"/>
      <c r="K121" s="10"/>
    </row>
    <row r="122" spans="1:11">
      <c r="B122" s="10"/>
      <c r="C122" s="10"/>
      <c r="D122" s="10"/>
      <c r="E122" s="10"/>
      <c r="F122" s="10"/>
      <c r="G122" s="10"/>
      <c r="H122" s="10"/>
      <c r="I122" s="88"/>
      <c r="J122" s="11"/>
      <c r="K122" s="10"/>
    </row>
    <row r="123" spans="1:11">
      <c r="B123" s="10"/>
      <c r="C123" s="10"/>
      <c r="D123" s="10"/>
      <c r="E123" s="10"/>
      <c r="F123" s="10"/>
      <c r="G123" s="10"/>
      <c r="H123" s="10"/>
      <c r="I123" s="88"/>
      <c r="J123" s="11"/>
      <c r="K123" s="10"/>
    </row>
    <row r="124" spans="1:11">
      <c r="B124" s="10"/>
      <c r="C124" s="10"/>
      <c r="D124" s="10"/>
      <c r="E124" s="10"/>
      <c r="F124" s="10"/>
      <c r="G124" s="10"/>
      <c r="H124" s="10"/>
      <c r="I124" s="88"/>
      <c r="J124" s="11"/>
      <c r="K124" s="10"/>
    </row>
    <row r="125" spans="1:11">
      <c r="B125" s="10"/>
      <c r="C125" s="10"/>
      <c r="D125" s="10"/>
      <c r="E125" s="10"/>
      <c r="F125" s="10"/>
      <c r="G125" s="10"/>
      <c r="H125" s="10"/>
      <c r="I125" s="88"/>
      <c r="J125" s="11"/>
      <c r="K125" s="10"/>
    </row>
    <row r="126" spans="1:11">
      <c r="B126" s="10"/>
      <c r="C126" s="10"/>
      <c r="D126" s="10"/>
      <c r="E126" s="10"/>
      <c r="F126" s="10"/>
      <c r="G126" s="10"/>
      <c r="H126" s="10"/>
      <c r="I126" s="88"/>
      <c r="J126" s="11"/>
      <c r="K126" s="10"/>
    </row>
    <row r="127" spans="1:11">
      <c r="B127" s="10"/>
      <c r="C127" s="10"/>
      <c r="D127" s="10"/>
      <c r="E127" s="10"/>
      <c r="F127" s="10"/>
      <c r="G127" s="10"/>
      <c r="H127" s="10"/>
      <c r="I127" s="88"/>
      <c r="J127" s="11"/>
      <c r="K127" s="10"/>
    </row>
    <row r="128" spans="1: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78"/>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7" customWidth="1"/>
    <col min="15" max="15" width="31.109375" style="27" customWidth="1"/>
    <col min="16" max="17" width="27" style="27" customWidth="1"/>
    <col min="18" max="18" width="18.44140625" customWidth="1"/>
  </cols>
  <sheetData>
    <row r="1" spans="1:18">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150" t="s">
        <v>690</v>
      </c>
      <c r="R1" s="94" t="s">
        <v>530</v>
      </c>
    </row>
    <row r="2" spans="1:18">
      <c r="A2" s="10" t="s">
        <v>165</v>
      </c>
      <c r="B2" s="10" t="s">
        <v>51</v>
      </c>
      <c r="C2" s="10" t="s">
        <v>49</v>
      </c>
      <c r="D2" s="10" t="s">
        <v>58</v>
      </c>
      <c r="E2" s="11">
        <v>0</v>
      </c>
      <c r="F2" s="11">
        <v>0</v>
      </c>
      <c r="G2" s="11">
        <v>346708473</v>
      </c>
      <c r="H2" s="11">
        <v>0</v>
      </c>
      <c r="I2" s="11">
        <v>0</v>
      </c>
      <c r="J2" s="11"/>
    </row>
    <row r="3" spans="1:18">
      <c r="A3" s="10" t="s">
        <v>165</v>
      </c>
      <c r="B3" s="10" t="s">
        <v>51</v>
      </c>
      <c r="C3" s="10" t="s">
        <v>49</v>
      </c>
      <c r="D3" s="10" t="s">
        <v>59</v>
      </c>
      <c r="E3" s="11">
        <v>0</v>
      </c>
      <c r="F3" s="11">
        <v>0</v>
      </c>
      <c r="G3" s="11">
        <v>9373164</v>
      </c>
      <c r="H3" s="11">
        <v>0</v>
      </c>
      <c r="I3" s="11">
        <v>0</v>
      </c>
      <c r="J3" s="11"/>
    </row>
    <row r="4" spans="1:18">
      <c r="A4" s="10" t="s">
        <v>165</v>
      </c>
      <c r="B4" s="10" t="s">
        <v>51</v>
      </c>
      <c r="C4" s="10" t="s">
        <v>49</v>
      </c>
      <c r="D4" s="10" t="s">
        <v>60</v>
      </c>
      <c r="E4" s="11">
        <v>0</v>
      </c>
      <c r="F4" s="11">
        <v>0</v>
      </c>
      <c r="G4" s="11">
        <v>397905909</v>
      </c>
      <c r="H4" s="11">
        <v>0</v>
      </c>
      <c r="I4" s="11">
        <v>0</v>
      </c>
      <c r="J4" s="11"/>
    </row>
    <row r="5" spans="1:18">
      <c r="A5" s="10" t="s">
        <v>165</v>
      </c>
      <c r="B5" s="10" t="s">
        <v>51</v>
      </c>
      <c r="C5" s="10" t="s">
        <v>49</v>
      </c>
      <c r="D5" s="10" t="s">
        <v>61</v>
      </c>
      <c r="E5" s="11">
        <v>0</v>
      </c>
      <c r="F5" s="11">
        <v>0</v>
      </c>
      <c r="G5" s="11">
        <v>14840</v>
      </c>
      <c r="H5" s="11">
        <v>0</v>
      </c>
      <c r="I5" s="11">
        <v>0</v>
      </c>
      <c r="J5" s="11"/>
    </row>
    <row r="6" spans="1:18">
      <c r="A6" s="10" t="s">
        <v>165</v>
      </c>
      <c r="B6" s="10" t="s">
        <v>51</v>
      </c>
      <c r="C6" s="10" t="s">
        <v>49</v>
      </c>
      <c r="D6" s="10" t="s">
        <v>62</v>
      </c>
      <c r="E6" s="11">
        <v>0</v>
      </c>
      <c r="F6" s="11">
        <v>0</v>
      </c>
      <c r="G6" s="11">
        <v>0</v>
      </c>
      <c r="H6" s="11">
        <v>0</v>
      </c>
      <c r="I6" s="11">
        <v>0</v>
      </c>
      <c r="J6" s="11"/>
    </row>
    <row r="7" spans="1:18">
      <c r="A7" s="10" t="s">
        <v>165</v>
      </c>
      <c r="B7" s="10" t="s">
        <v>51</v>
      </c>
      <c r="C7" s="10" t="s">
        <v>49</v>
      </c>
      <c r="D7" s="10" t="s">
        <v>63</v>
      </c>
      <c r="E7" s="11">
        <v>0</v>
      </c>
      <c r="F7" s="11">
        <v>0</v>
      </c>
      <c r="G7" s="11">
        <v>0</v>
      </c>
      <c r="H7" s="11">
        <v>0</v>
      </c>
      <c r="I7" s="11">
        <v>0</v>
      </c>
      <c r="J7" s="11"/>
    </row>
    <row r="8" spans="1:18">
      <c r="A8" s="10" t="s">
        <v>165</v>
      </c>
      <c r="B8" s="10" t="s">
        <v>51</v>
      </c>
      <c r="C8" s="10" t="s">
        <v>49</v>
      </c>
      <c r="D8" s="10" t="s">
        <v>64</v>
      </c>
      <c r="E8" s="11">
        <v>0</v>
      </c>
      <c r="F8" s="11">
        <v>0</v>
      </c>
      <c r="G8" s="11">
        <v>3728</v>
      </c>
      <c r="H8" s="11">
        <v>0</v>
      </c>
      <c r="I8" s="11">
        <v>0</v>
      </c>
      <c r="J8" s="11"/>
    </row>
    <row r="9" spans="1:18">
      <c r="A9" s="10" t="s">
        <v>165</v>
      </c>
      <c r="B9" s="10" t="s">
        <v>51</v>
      </c>
      <c r="C9" s="10" t="s">
        <v>49</v>
      </c>
      <c r="D9" s="10" t="s">
        <v>65</v>
      </c>
      <c r="E9" s="11">
        <v>0</v>
      </c>
      <c r="F9" s="11">
        <v>1</v>
      </c>
      <c r="G9" s="11">
        <v>8237</v>
      </c>
      <c r="H9" s="11">
        <v>0</v>
      </c>
      <c r="I9" s="11">
        <v>0</v>
      </c>
      <c r="J9" s="11"/>
    </row>
    <row r="10" spans="1:18">
      <c r="A10" s="10" t="s">
        <v>165</v>
      </c>
      <c r="B10" s="10" t="s">
        <v>51</v>
      </c>
      <c r="C10" s="10" t="s">
        <v>49</v>
      </c>
      <c r="D10" s="10" t="s">
        <v>66</v>
      </c>
      <c r="E10" s="11">
        <v>0</v>
      </c>
      <c r="F10" s="11">
        <v>0</v>
      </c>
      <c r="G10" s="11">
        <v>9047891</v>
      </c>
      <c r="H10" s="11">
        <v>0</v>
      </c>
      <c r="I10" s="11">
        <v>0</v>
      </c>
      <c r="J10" s="11"/>
    </row>
    <row r="11" spans="1:18">
      <c r="A11" s="10" t="s">
        <v>165</v>
      </c>
      <c r="B11" s="10" t="s">
        <v>51</v>
      </c>
      <c r="C11" s="10" t="s">
        <v>49</v>
      </c>
      <c r="D11" s="10" t="s">
        <v>67</v>
      </c>
      <c r="E11" s="11">
        <v>0</v>
      </c>
      <c r="F11" s="11">
        <v>0</v>
      </c>
      <c r="G11" s="11">
        <v>0</v>
      </c>
      <c r="H11" s="11">
        <v>0</v>
      </c>
      <c r="I11" s="11">
        <v>0</v>
      </c>
      <c r="J11" s="11"/>
    </row>
    <row r="12" spans="1:18">
      <c r="A12" s="10" t="s">
        <v>165</v>
      </c>
      <c r="B12" s="10" t="s">
        <v>51</v>
      </c>
      <c r="C12" s="10" t="s">
        <v>49</v>
      </c>
      <c r="D12" s="10" t="s">
        <v>68</v>
      </c>
      <c r="E12" s="11">
        <v>0</v>
      </c>
      <c r="F12" s="11">
        <v>0</v>
      </c>
      <c r="G12" s="11">
        <v>126</v>
      </c>
      <c r="H12" s="11">
        <v>0</v>
      </c>
      <c r="I12" s="11">
        <v>0</v>
      </c>
      <c r="J12" s="11"/>
    </row>
    <row r="13" spans="1:18">
      <c r="A13" s="10" t="s">
        <v>165</v>
      </c>
      <c r="B13" s="10" t="s">
        <v>51</v>
      </c>
      <c r="C13" s="10" t="s">
        <v>49</v>
      </c>
      <c r="D13" s="10" t="s">
        <v>69</v>
      </c>
      <c r="E13" s="11">
        <v>0</v>
      </c>
      <c r="F13" s="11">
        <v>0</v>
      </c>
      <c r="G13" s="11">
        <v>0</v>
      </c>
      <c r="H13" s="11">
        <v>0</v>
      </c>
      <c r="I13" s="11">
        <v>0</v>
      </c>
      <c r="J13" s="11"/>
    </row>
    <row r="14" spans="1:18">
      <c r="A14" s="10" t="s">
        <v>165</v>
      </c>
      <c r="B14" s="10" t="s">
        <v>51</v>
      </c>
      <c r="C14" s="10" t="s">
        <v>49</v>
      </c>
      <c r="D14" s="10" t="s">
        <v>70</v>
      </c>
      <c r="E14" s="11">
        <v>0</v>
      </c>
      <c r="F14" s="11">
        <v>0</v>
      </c>
      <c r="G14" s="11">
        <v>2646529</v>
      </c>
      <c r="H14" s="11">
        <v>0</v>
      </c>
      <c r="I14" s="11">
        <v>0</v>
      </c>
      <c r="J14" s="11"/>
    </row>
    <row r="15" spans="1:18">
      <c r="A15" s="10" t="s">
        <v>165</v>
      </c>
      <c r="B15" s="10" t="s">
        <v>51</v>
      </c>
      <c r="C15" s="10" t="s">
        <v>49</v>
      </c>
      <c r="D15" s="10" t="s">
        <v>71</v>
      </c>
      <c r="E15" s="11">
        <v>0</v>
      </c>
      <c r="F15" s="11">
        <v>0</v>
      </c>
      <c r="G15" s="11">
        <v>36102</v>
      </c>
      <c r="H15" s="11">
        <v>0</v>
      </c>
      <c r="I15" s="11">
        <v>0</v>
      </c>
      <c r="J15" s="11"/>
    </row>
    <row r="16" spans="1:18">
      <c r="A16" s="10" t="s">
        <v>165</v>
      </c>
      <c r="B16" s="10" t="s">
        <v>51</v>
      </c>
      <c r="C16" s="10" t="s">
        <v>49</v>
      </c>
      <c r="D16" s="10" t="s">
        <v>72</v>
      </c>
      <c r="E16" s="11">
        <v>0</v>
      </c>
      <c r="F16" s="11">
        <v>0</v>
      </c>
      <c r="G16" s="11">
        <v>269</v>
      </c>
      <c r="H16" s="11">
        <v>0</v>
      </c>
      <c r="I16" s="11">
        <v>0</v>
      </c>
      <c r="J16" s="11"/>
    </row>
    <row r="17" spans="1:17">
      <c r="A17" s="10" t="s">
        <v>165</v>
      </c>
      <c r="B17" s="10" t="s">
        <v>51</v>
      </c>
      <c r="C17" s="10" t="s">
        <v>49</v>
      </c>
      <c r="D17" s="22" t="s">
        <v>73</v>
      </c>
      <c r="E17" s="11">
        <v>0</v>
      </c>
      <c r="F17" s="11">
        <v>0</v>
      </c>
      <c r="G17" s="11">
        <v>305803</v>
      </c>
      <c r="H17" s="11">
        <v>0</v>
      </c>
      <c r="I17" s="11">
        <v>0</v>
      </c>
      <c r="J17" s="11"/>
    </row>
    <row r="18" spans="1:17">
      <c r="A18" s="10" t="s">
        <v>165</v>
      </c>
      <c r="B18" s="10" t="s">
        <v>51</v>
      </c>
      <c r="C18" s="10" t="s">
        <v>49</v>
      </c>
      <c r="D18" s="10" t="s">
        <v>74</v>
      </c>
      <c r="E18" s="11">
        <v>0</v>
      </c>
      <c r="F18" s="11">
        <v>0</v>
      </c>
      <c r="G18" s="11">
        <v>51</v>
      </c>
      <c r="H18" s="11">
        <v>0</v>
      </c>
      <c r="I18" s="11">
        <v>0</v>
      </c>
      <c r="J18" s="11"/>
    </row>
    <row r="19" spans="1:17">
      <c r="A19" s="10" t="s">
        <v>165</v>
      </c>
      <c r="B19" s="10" t="s">
        <v>51</v>
      </c>
      <c r="C19" s="10" t="s">
        <v>49</v>
      </c>
      <c r="D19" s="10" t="s">
        <v>75</v>
      </c>
      <c r="E19" s="11">
        <v>0</v>
      </c>
      <c r="F19" s="11">
        <v>0</v>
      </c>
      <c r="G19" s="11">
        <v>0</v>
      </c>
      <c r="H19" s="11">
        <v>0</v>
      </c>
      <c r="I19" s="11">
        <v>0</v>
      </c>
      <c r="J19" s="11"/>
    </row>
    <row r="20" spans="1:17">
      <c r="A20" s="10" t="s">
        <v>165</v>
      </c>
      <c r="B20" s="10" t="s">
        <v>51</v>
      </c>
      <c r="C20" s="10" t="s">
        <v>49</v>
      </c>
      <c r="D20" s="10" t="s">
        <v>76</v>
      </c>
      <c r="E20" s="11">
        <v>0</v>
      </c>
      <c r="F20" s="11">
        <v>0</v>
      </c>
      <c r="G20" s="11">
        <v>94410</v>
      </c>
      <c r="H20" s="11">
        <v>0</v>
      </c>
      <c r="I20" s="11">
        <v>0</v>
      </c>
      <c r="J20" s="11"/>
    </row>
    <row r="21" spans="1:17">
      <c r="A21" s="10" t="s">
        <v>165</v>
      </c>
      <c r="B21" s="10" t="s">
        <v>51</v>
      </c>
      <c r="C21" s="10" t="s">
        <v>49</v>
      </c>
      <c r="D21" s="10" t="s">
        <v>77</v>
      </c>
      <c r="E21" s="11">
        <v>0</v>
      </c>
      <c r="F21" s="11">
        <v>0</v>
      </c>
      <c r="G21" s="11">
        <v>174045</v>
      </c>
      <c r="H21" s="11">
        <v>0</v>
      </c>
      <c r="I21" s="11">
        <v>0</v>
      </c>
      <c r="J21" s="11"/>
    </row>
    <row r="22" spans="1:17">
      <c r="A22" s="10" t="s">
        <v>165</v>
      </c>
      <c r="B22" s="10" t="s">
        <v>51</v>
      </c>
      <c r="C22" s="10" t="s">
        <v>49</v>
      </c>
      <c r="D22" s="10" t="s">
        <v>78</v>
      </c>
      <c r="E22" s="11">
        <v>0</v>
      </c>
      <c r="F22" s="11">
        <v>0</v>
      </c>
      <c r="G22" s="11">
        <v>94416</v>
      </c>
      <c r="H22" s="11">
        <v>0</v>
      </c>
      <c r="I22" s="11">
        <v>0</v>
      </c>
      <c r="J22" s="11"/>
    </row>
    <row r="23" spans="1:17">
      <c r="A23" s="10" t="s">
        <v>165</v>
      </c>
      <c r="B23" s="10" t="s">
        <v>51</v>
      </c>
      <c r="C23" s="10" t="s">
        <v>49</v>
      </c>
      <c r="D23" s="10" t="s">
        <v>79</v>
      </c>
      <c r="E23" s="11"/>
      <c r="F23" s="11"/>
      <c r="G23" s="11"/>
      <c r="H23" s="11"/>
      <c r="I23" s="11"/>
      <c r="J23" s="11">
        <v>0</v>
      </c>
    </row>
    <row r="24" spans="1:17">
      <c r="A24" s="10" t="s">
        <v>165</v>
      </c>
      <c r="B24" s="10" t="s">
        <v>51</v>
      </c>
      <c r="C24" s="10" t="s">
        <v>49</v>
      </c>
      <c r="D24" s="10" t="s">
        <v>80</v>
      </c>
      <c r="E24" s="11"/>
      <c r="F24" s="11"/>
      <c r="G24" s="11"/>
      <c r="H24" s="11"/>
      <c r="I24" s="11"/>
      <c r="J24" s="11">
        <v>0</v>
      </c>
    </row>
    <row r="25" spans="1:17">
      <c r="A25" s="10" t="s">
        <v>165</v>
      </c>
      <c r="B25" s="10" t="s">
        <v>51</v>
      </c>
      <c r="C25" s="10" t="s">
        <v>49</v>
      </c>
      <c r="D25" s="10" t="s">
        <v>81</v>
      </c>
      <c r="E25" s="11"/>
      <c r="F25" s="11"/>
      <c r="G25" s="11"/>
      <c r="H25" s="11"/>
      <c r="I25" s="11"/>
      <c r="J25" s="11">
        <v>551</v>
      </c>
    </row>
    <row r="26" spans="1:17">
      <c r="A26" s="10" t="s">
        <v>165</v>
      </c>
      <c r="B26" s="10" t="s">
        <v>51</v>
      </c>
      <c r="C26" s="10" t="s">
        <v>49</v>
      </c>
      <c r="D26" s="10" t="s">
        <v>82</v>
      </c>
      <c r="E26" s="11"/>
      <c r="F26" s="11"/>
      <c r="G26" s="11"/>
      <c r="H26" s="11"/>
      <c r="I26" s="11"/>
      <c r="J26" s="11">
        <v>4670</v>
      </c>
    </row>
    <row r="27" spans="1:17">
      <c r="A27" s="10" t="s">
        <v>165</v>
      </c>
      <c r="B27" s="10" t="s">
        <v>51</v>
      </c>
      <c r="C27" s="10" t="s">
        <v>49</v>
      </c>
      <c r="D27" s="10" t="s">
        <v>83</v>
      </c>
      <c r="E27" s="11"/>
      <c r="F27" s="11"/>
      <c r="G27" s="11"/>
      <c r="H27" s="11"/>
      <c r="I27" s="11"/>
      <c r="J27" s="11">
        <v>0</v>
      </c>
    </row>
    <row r="28" spans="1:17">
      <c r="A28" s="10" t="s">
        <v>165</v>
      </c>
      <c r="B28" s="10" t="s">
        <v>51</v>
      </c>
      <c r="C28" s="10" t="s">
        <v>49</v>
      </c>
      <c r="D28" s="10" t="s">
        <v>84</v>
      </c>
      <c r="E28" s="11"/>
      <c r="F28" s="11"/>
      <c r="G28" s="11"/>
      <c r="H28" s="11"/>
      <c r="I28" s="11"/>
      <c r="J28" s="11">
        <v>0</v>
      </c>
    </row>
    <row r="29" spans="1:17">
      <c r="A29" s="10" t="s">
        <v>165</v>
      </c>
      <c r="B29" s="10" t="s">
        <v>51</v>
      </c>
      <c r="C29" s="10" t="s">
        <v>49</v>
      </c>
      <c r="D29" s="10" t="s">
        <v>85</v>
      </c>
      <c r="E29" s="11"/>
      <c r="F29" s="11"/>
      <c r="G29" s="11"/>
      <c r="H29" s="11"/>
      <c r="I29" s="11"/>
      <c r="J29" s="11">
        <v>0</v>
      </c>
    </row>
    <row r="30" spans="1:17">
      <c r="A30" s="10" t="s">
        <v>165</v>
      </c>
      <c r="B30" s="10" t="s">
        <v>51</v>
      </c>
      <c r="C30" s="10" t="s">
        <v>49</v>
      </c>
      <c r="D30" s="10" t="s">
        <v>86</v>
      </c>
      <c r="E30" s="11"/>
      <c r="F30" s="11"/>
      <c r="G30" s="11"/>
      <c r="H30" s="11"/>
      <c r="I30" s="11"/>
      <c r="J30" s="11">
        <v>0</v>
      </c>
    </row>
    <row r="31" spans="1:17">
      <c r="A31" s="10" t="s">
        <v>165</v>
      </c>
      <c r="B31" s="10" t="s">
        <v>51</v>
      </c>
      <c r="C31" s="10" t="s">
        <v>49</v>
      </c>
      <c r="D31" s="10" t="s">
        <v>87</v>
      </c>
      <c r="E31" s="11"/>
      <c r="F31" s="11"/>
      <c r="G31" s="11"/>
      <c r="H31" s="11"/>
      <c r="I31" s="11"/>
      <c r="J31" s="11">
        <v>0</v>
      </c>
    </row>
    <row r="32" spans="1:17" s="10" customFormat="1">
      <c r="A32" t="s">
        <v>155</v>
      </c>
      <c r="B32" s="10" t="s">
        <v>51</v>
      </c>
      <c r="C32" s="10" t="s">
        <v>49</v>
      </c>
      <c r="D32" s="10" t="s">
        <v>343</v>
      </c>
      <c r="E32" s="11"/>
      <c r="F32" s="11"/>
      <c r="G32" s="11"/>
      <c r="H32" s="11"/>
      <c r="I32" s="11"/>
      <c r="J32" s="11"/>
      <c r="K32" s="10">
        <v>201</v>
      </c>
      <c r="M32" s="95"/>
      <c r="N32" s="27"/>
      <c r="O32" s="27"/>
      <c r="P32" s="27"/>
      <c r="Q32" s="27"/>
    </row>
    <row r="33" spans="1:17" s="10" customFormat="1">
      <c r="A33" t="s">
        <v>155</v>
      </c>
      <c r="B33" s="10" t="s">
        <v>51</v>
      </c>
      <c r="C33" s="10" t="s">
        <v>49</v>
      </c>
      <c r="D33" s="10" t="s">
        <v>336</v>
      </c>
      <c r="E33" s="11"/>
      <c r="F33" s="11"/>
      <c r="G33" s="11"/>
      <c r="H33" s="11"/>
      <c r="I33" s="11"/>
      <c r="J33" s="11"/>
      <c r="K33" s="10">
        <v>396</v>
      </c>
      <c r="M33" s="95"/>
      <c r="N33" s="27"/>
      <c r="O33" s="27"/>
      <c r="P33" s="27"/>
      <c r="Q33" s="27"/>
    </row>
    <row r="34" spans="1:17" s="10" customFormat="1">
      <c r="A34" t="s">
        <v>155</v>
      </c>
      <c r="B34" s="10" t="s">
        <v>51</v>
      </c>
      <c r="C34" s="10" t="s">
        <v>49</v>
      </c>
      <c r="D34" s="10" t="s">
        <v>337</v>
      </c>
      <c r="E34" s="11"/>
      <c r="F34" s="11"/>
      <c r="G34" s="11"/>
      <c r="H34" s="11"/>
      <c r="I34" s="11"/>
      <c r="J34" s="11"/>
      <c r="K34" s="10">
        <v>240</v>
      </c>
      <c r="M34" s="95"/>
      <c r="N34" s="27"/>
      <c r="O34" s="27"/>
      <c r="P34" s="27"/>
      <c r="Q34" s="27"/>
    </row>
    <row r="35" spans="1:17" s="10" customFormat="1">
      <c r="A35" t="s">
        <v>155</v>
      </c>
      <c r="B35" s="10" t="s">
        <v>51</v>
      </c>
      <c r="C35" s="10" t="s">
        <v>49</v>
      </c>
      <c r="D35" s="10" t="s">
        <v>145</v>
      </c>
      <c r="E35" s="11"/>
      <c r="F35" s="11"/>
      <c r="H35" s="11"/>
      <c r="I35" s="11"/>
      <c r="J35" s="11"/>
      <c r="L35" s="11">
        <v>368</v>
      </c>
      <c r="M35" s="95"/>
      <c r="N35" s="27"/>
      <c r="O35" s="27"/>
      <c r="P35" s="27"/>
      <c r="Q35" s="27"/>
    </row>
    <row r="36" spans="1:17" s="10" customFormat="1">
      <c r="A36" s="10" t="s">
        <v>155</v>
      </c>
      <c r="B36" s="10" t="s">
        <v>51</v>
      </c>
      <c r="C36" s="10" t="s">
        <v>49</v>
      </c>
      <c r="D36" s="10" t="s">
        <v>166</v>
      </c>
      <c r="E36" s="11">
        <v>0</v>
      </c>
      <c r="F36" s="11">
        <v>0</v>
      </c>
      <c r="G36" s="11">
        <v>512410</v>
      </c>
      <c r="H36" s="11">
        <v>0</v>
      </c>
      <c r="I36" s="11">
        <v>0</v>
      </c>
      <c r="J36" s="11"/>
      <c r="K36" s="11"/>
      <c r="L36" s="11"/>
      <c r="M36" s="95"/>
      <c r="N36" s="27"/>
      <c r="O36" s="27"/>
      <c r="P36" s="27"/>
      <c r="Q36" s="27"/>
    </row>
    <row r="37" spans="1:17" s="10" customFormat="1">
      <c r="A37" s="10" t="s">
        <v>155</v>
      </c>
      <c r="B37" s="10" t="s">
        <v>51</v>
      </c>
      <c r="C37" s="10" t="s">
        <v>49</v>
      </c>
      <c r="D37" s="10" t="s">
        <v>167</v>
      </c>
      <c r="E37" s="11">
        <v>0</v>
      </c>
      <c r="F37" s="11">
        <v>0</v>
      </c>
      <c r="G37" s="11">
        <v>453949</v>
      </c>
      <c r="H37" s="11">
        <v>0</v>
      </c>
      <c r="I37" s="11">
        <v>0</v>
      </c>
      <c r="J37" s="11"/>
      <c r="K37" s="11"/>
      <c r="L37" s="11"/>
      <c r="M37" s="95"/>
      <c r="N37" s="27"/>
      <c r="O37" s="27"/>
      <c r="P37" s="27"/>
      <c r="Q37" s="27"/>
    </row>
    <row r="38" spans="1:17" s="10" customFormat="1">
      <c r="A38" s="10" t="s">
        <v>155</v>
      </c>
      <c r="B38" s="10" t="s">
        <v>51</v>
      </c>
      <c r="C38" s="10" t="s">
        <v>49</v>
      </c>
      <c r="D38" s="10" t="s">
        <v>168</v>
      </c>
      <c r="E38" s="11">
        <v>0</v>
      </c>
      <c r="F38" s="11">
        <v>0</v>
      </c>
      <c r="G38" s="11">
        <v>486922</v>
      </c>
      <c r="H38" s="11">
        <v>0</v>
      </c>
      <c r="I38" s="11">
        <v>0</v>
      </c>
      <c r="J38" s="11"/>
      <c r="K38" s="11"/>
      <c r="L38" s="11"/>
      <c r="M38" s="95"/>
      <c r="N38" s="27"/>
      <c r="O38" s="27"/>
      <c r="P38" s="27"/>
      <c r="Q38" s="27"/>
    </row>
    <row r="39" spans="1:17" s="10" customFormat="1">
      <c r="A39" s="10" t="s">
        <v>155</v>
      </c>
      <c r="B39" s="10" t="s">
        <v>51</v>
      </c>
      <c r="C39" s="10" t="s">
        <v>49</v>
      </c>
      <c r="D39" s="10" t="s">
        <v>169</v>
      </c>
      <c r="E39" s="11">
        <v>0</v>
      </c>
      <c r="F39" s="11">
        <v>0</v>
      </c>
      <c r="G39" s="11">
        <v>1049317074</v>
      </c>
      <c r="H39" s="11">
        <v>0</v>
      </c>
      <c r="I39" s="11">
        <v>0</v>
      </c>
      <c r="J39" s="11"/>
      <c r="K39" s="11"/>
      <c r="L39" s="11"/>
      <c r="M39" s="95"/>
      <c r="N39" s="27"/>
      <c r="O39" s="27"/>
      <c r="P39" s="27"/>
      <c r="Q39" s="27"/>
    </row>
    <row r="40" spans="1:17" s="10" customFormat="1">
      <c r="A40" s="10" t="s">
        <v>155</v>
      </c>
      <c r="B40" s="10" t="s">
        <v>51</v>
      </c>
      <c r="C40" s="10" t="s">
        <v>49</v>
      </c>
      <c r="D40" s="10" t="s">
        <v>170</v>
      </c>
      <c r="E40" s="11"/>
      <c r="F40" s="11"/>
      <c r="G40" s="11"/>
      <c r="H40" s="11"/>
      <c r="I40" s="11"/>
      <c r="J40" s="11"/>
      <c r="K40" s="11"/>
      <c r="L40" s="11">
        <v>2155</v>
      </c>
      <c r="M40" s="95"/>
      <c r="N40" s="27"/>
      <c r="O40" s="27"/>
      <c r="P40" s="27"/>
      <c r="Q40" s="27"/>
    </row>
    <row r="41" spans="1:17" s="10" customFormat="1">
      <c r="A41" s="10" t="s">
        <v>155</v>
      </c>
      <c r="B41" s="10" t="s">
        <v>51</v>
      </c>
      <c r="C41" s="10" t="s">
        <v>49</v>
      </c>
      <c r="D41" s="10" t="s">
        <v>171</v>
      </c>
      <c r="E41" s="11">
        <v>1</v>
      </c>
      <c r="F41" s="11">
        <v>0</v>
      </c>
      <c r="G41" s="11">
        <v>9765848</v>
      </c>
      <c r="H41" s="11">
        <v>0</v>
      </c>
      <c r="I41" s="11">
        <v>0</v>
      </c>
      <c r="J41" s="11"/>
      <c r="K41" s="11"/>
      <c r="L41" s="11"/>
      <c r="M41" s="95"/>
      <c r="N41" s="27"/>
      <c r="O41" s="27"/>
      <c r="P41" s="27"/>
      <c r="Q41" s="27"/>
    </row>
    <row r="42" spans="1:17" s="10" customFormat="1">
      <c r="A42" s="10" t="s">
        <v>155</v>
      </c>
      <c r="B42" s="10" t="s">
        <v>51</v>
      </c>
      <c r="C42" s="10" t="s">
        <v>49</v>
      </c>
      <c r="D42" s="10" t="s">
        <v>172</v>
      </c>
      <c r="E42" s="11">
        <v>0</v>
      </c>
      <c r="F42" s="11">
        <v>0</v>
      </c>
      <c r="G42" s="11">
        <v>9121895</v>
      </c>
      <c r="H42" s="11">
        <v>0</v>
      </c>
      <c r="I42" s="11">
        <v>0</v>
      </c>
      <c r="J42" s="11"/>
      <c r="K42" s="11"/>
      <c r="L42" s="11"/>
      <c r="M42" s="95"/>
      <c r="N42" s="27"/>
      <c r="O42" s="27"/>
      <c r="P42" s="27"/>
      <c r="Q42" s="27"/>
    </row>
    <row r="43" spans="1:17" s="10" customFormat="1">
      <c r="A43" s="10" t="s">
        <v>155</v>
      </c>
      <c r="B43" s="10" t="s">
        <v>51</v>
      </c>
      <c r="C43" s="10" t="s">
        <v>49</v>
      </c>
      <c r="D43" s="10" t="s">
        <v>173</v>
      </c>
      <c r="E43" s="11">
        <v>0</v>
      </c>
      <c r="F43" s="11">
        <v>0</v>
      </c>
      <c r="G43" s="11">
        <v>9456449</v>
      </c>
      <c r="H43" s="11">
        <v>0</v>
      </c>
      <c r="I43" s="11">
        <v>0</v>
      </c>
      <c r="J43" s="11"/>
      <c r="K43" s="11"/>
      <c r="L43" s="11"/>
      <c r="M43" s="95"/>
      <c r="N43" s="27"/>
      <c r="O43" s="27"/>
      <c r="P43" s="27"/>
      <c r="Q43" s="27"/>
    </row>
    <row r="44" spans="1:17" s="10" customFormat="1">
      <c r="A44" s="10" t="s">
        <v>155</v>
      </c>
      <c r="B44" s="10" t="s">
        <v>51</v>
      </c>
      <c r="C44" s="10" t="s">
        <v>49</v>
      </c>
      <c r="D44" s="10" t="s">
        <v>174</v>
      </c>
      <c r="E44" s="11">
        <v>28</v>
      </c>
      <c r="F44" s="11">
        <v>0</v>
      </c>
      <c r="G44" s="11">
        <v>20378648728</v>
      </c>
      <c r="H44" s="11">
        <v>0</v>
      </c>
      <c r="I44" s="11">
        <v>0</v>
      </c>
      <c r="J44" s="11"/>
      <c r="K44" s="11"/>
      <c r="L44" s="11"/>
      <c r="M44" s="95"/>
      <c r="N44" s="27"/>
      <c r="O44" s="27"/>
      <c r="P44" s="27"/>
      <c r="Q44" s="27"/>
    </row>
    <row r="45" spans="1:17" s="10" customFormat="1">
      <c r="A45" s="10" t="s">
        <v>155</v>
      </c>
      <c r="B45" s="10" t="s">
        <v>51</v>
      </c>
      <c r="C45" s="10" t="s">
        <v>49</v>
      </c>
      <c r="D45" s="10" t="s">
        <v>175</v>
      </c>
      <c r="E45" s="11"/>
      <c r="F45" s="11"/>
      <c r="G45" s="11"/>
      <c r="H45" s="11"/>
      <c r="I45" s="11"/>
      <c r="J45" s="11"/>
      <c r="K45" s="11"/>
      <c r="L45" s="11">
        <v>2155</v>
      </c>
      <c r="M45" s="95"/>
      <c r="N45" s="27"/>
      <c r="O45" s="27"/>
      <c r="P45" s="27"/>
      <c r="Q45" s="27"/>
    </row>
    <row r="46" spans="1:17" s="10" customFormat="1">
      <c r="A46" s="10" t="s">
        <v>155</v>
      </c>
      <c r="B46" s="10" t="s">
        <v>51</v>
      </c>
      <c r="C46" s="10" t="s">
        <v>49</v>
      </c>
      <c r="D46" s="10" t="s">
        <v>176</v>
      </c>
      <c r="E46" s="11">
        <v>0</v>
      </c>
      <c r="F46" s="11">
        <v>1</v>
      </c>
      <c r="G46" s="11">
        <v>36018563</v>
      </c>
      <c r="H46" s="11">
        <v>0</v>
      </c>
      <c r="I46" s="11">
        <v>0</v>
      </c>
      <c r="J46" s="11"/>
      <c r="K46" s="11"/>
      <c r="L46" s="11"/>
      <c r="M46" s="95"/>
      <c r="N46" s="27"/>
      <c r="O46" s="27"/>
      <c r="P46" s="27"/>
      <c r="Q46" s="27"/>
    </row>
    <row r="47" spans="1:17" s="10" customFormat="1">
      <c r="A47" s="10" t="s">
        <v>155</v>
      </c>
      <c r="B47" s="10" t="s">
        <v>51</v>
      </c>
      <c r="C47" s="10" t="s">
        <v>49</v>
      </c>
      <c r="D47" s="10" t="s">
        <v>177</v>
      </c>
      <c r="E47" s="11">
        <v>0</v>
      </c>
      <c r="F47" s="11">
        <v>0</v>
      </c>
      <c r="G47" s="11">
        <v>33047357</v>
      </c>
      <c r="H47" s="11">
        <v>0</v>
      </c>
      <c r="I47" s="11">
        <v>0</v>
      </c>
      <c r="J47" s="11"/>
      <c r="K47" s="11"/>
      <c r="L47" s="11"/>
      <c r="M47" s="95"/>
      <c r="N47" s="27"/>
      <c r="O47" s="27"/>
      <c r="P47" s="27"/>
      <c r="Q47" s="27"/>
    </row>
    <row r="48" spans="1:17" s="10" customFormat="1">
      <c r="A48" s="10" t="s">
        <v>155</v>
      </c>
      <c r="B48" s="10" t="s">
        <v>51</v>
      </c>
      <c r="C48" s="10" t="s">
        <v>49</v>
      </c>
      <c r="D48" s="10" t="s">
        <v>178</v>
      </c>
      <c r="E48" s="11">
        <v>0</v>
      </c>
      <c r="F48" s="11">
        <v>0</v>
      </c>
      <c r="G48" s="11">
        <v>34592870</v>
      </c>
      <c r="H48" s="11">
        <v>0</v>
      </c>
      <c r="I48" s="11">
        <v>0</v>
      </c>
      <c r="J48" s="11"/>
      <c r="K48" s="11"/>
      <c r="L48" s="11"/>
      <c r="M48" s="95"/>
      <c r="N48" s="27"/>
      <c r="O48" s="27"/>
      <c r="P48" s="27"/>
      <c r="Q48" s="27"/>
    </row>
    <row r="49" spans="1:17" s="10" customFormat="1">
      <c r="A49" s="10" t="s">
        <v>155</v>
      </c>
      <c r="B49" s="10" t="s">
        <v>51</v>
      </c>
      <c r="C49" s="10" t="s">
        <v>49</v>
      </c>
      <c r="D49" s="10" t="s">
        <v>179</v>
      </c>
      <c r="E49" s="11">
        <v>0</v>
      </c>
      <c r="F49" s="11">
        <v>10</v>
      </c>
      <c r="G49" s="11">
        <v>74547636444</v>
      </c>
      <c r="H49" s="11">
        <v>0</v>
      </c>
      <c r="I49" s="11">
        <v>0</v>
      </c>
      <c r="J49" s="11"/>
      <c r="K49" s="11"/>
      <c r="L49" s="11"/>
      <c r="M49" s="95"/>
      <c r="N49" s="27"/>
      <c r="O49" s="27"/>
      <c r="P49" s="27"/>
      <c r="Q49" s="27"/>
    </row>
    <row r="50" spans="1:17" s="10" customFormat="1">
      <c r="A50" s="10" t="s">
        <v>155</v>
      </c>
      <c r="B50" s="10" t="s">
        <v>51</v>
      </c>
      <c r="C50" s="10" t="s">
        <v>49</v>
      </c>
      <c r="D50" s="10" t="s">
        <v>180</v>
      </c>
      <c r="E50" s="11"/>
      <c r="F50" s="11"/>
      <c r="G50" s="11"/>
      <c r="H50" s="11"/>
      <c r="I50" s="11"/>
      <c r="J50" s="11"/>
      <c r="K50" s="11"/>
      <c r="L50" s="11">
        <v>2155</v>
      </c>
      <c r="M50" s="95"/>
      <c r="N50" s="27"/>
      <c r="O50" s="27"/>
      <c r="P50" s="27"/>
      <c r="Q50" s="27"/>
    </row>
    <row r="51" spans="1:17" s="10" customFormat="1">
      <c r="A51" s="10" t="s">
        <v>155</v>
      </c>
      <c r="B51" s="10" t="s">
        <v>51</v>
      </c>
      <c r="C51" s="10" t="s">
        <v>49</v>
      </c>
      <c r="D51" s="10" t="s">
        <v>181</v>
      </c>
      <c r="E51" s="11">
        <v>0</v>
      </c>
      <c r="F51" s="11">
        <v>0</v>
      </c>
      <c r="G51" s="11">
        <v>581445</v>
      </c>
      <c r="H51" s="11">
        <v>0</v>
      </c>
      <c r="I51" s="11">
        <v>0</v>
      </c>
      <c r="J51" s="11"/>
      <c r="K51" s="11"/>
      <c r="L51" s="11"/>
      <c r="M51" s="95"/>
      <c r="N51" s="27"/>
      <c r="O51" s="27"/>
      <c r="P51" s="27"/>
      <c r="Q51" s="27"/>
    </row>
    <row r="52" spans="1:17" s="10" customFormat="1">
      <c r="A52" s="10" t="s">
        <v>155</v>
      </c>
      <c r="B52" s="10" t="s">
        <v>51</v>
      </c>
      <c r="C52" s="10" t="s">
        <v>49</v>
      </c>
      <c r="D52" s="10" t="s">
        <v>182</v>
      </c>
      <c r="E52" s="11">
        <v>0</v>
      </c>
      <c r="F52" s="11">
        <v>0</v>
      </c>
      <c r="G52" s="11">
        <v>535049</v>
      </c>
      <c r="H52" s="11">
        <v>0</v>
      </c>
      <c r="I52" s="11">
        <v>0</v>
      </c>
      <c r="J52" s="11"/>
      <c r="K52" s="11"/>
      <c r="L52" s="11"/>
      <c r="M52" s="95"/>
      <c r="N52" s="27"/>
      <c r="O52" s="27"/>
      <c r="P52" s="27"/>
      <c r="Q52" s="27"/>
    </row>
    <row r="53" spans="1:17" s="10" customFormat="1">
      <c r="A53" s="10" t="s">
        <v>155</v>
      </c>
      <c r="B53" s="10" t="s">
        <v>51</v>
      </c>
      <c r="C53" s="10" t="s">
        <v>49</v>
      </c>
      <c r="D53" s="10" t="s">
        <v>183</v>
      </c>
      <c r="E53" s="11">
        <v>0</v>
      </c>
      <c r="F53" s="11">
        <v>0</v>
      </c>
      <c r="G53" s="11">
        <v>559378</v>
      </c>
      <c r="H53" s="11">
        <v>0</v>
      </c>
      <c r="I53" s="11">
        <v>0</v>
      </c>
      <c r="J53" s="11"/>
      <c r="K53" s="11"/>
      <c r="L53" s="11"/>
      <c r="M53" s="95"/>
      <c r="N53" s="27"/>
      <c r="O53" s="27"/>
      <c r="P53" s="27"/>
      <c r="Q53" s="27"/>
    </row>
    <row r="54" spans="1:17" s="10" customFormat="1">
      <c r="A54" s="10" t="s">
        <v>155</v>
      </c>
      <c r="B54" s="10" t="s">
        <v>51</v>
      </c>
      <c r="C54" s="10" t="s">
        <v>49</v>
      </c>
      <c r="D54" s="10" t="s">
        <v>184</v>
      </c>
      <c r="E54" s="11">
        <v>0</v>
      </c>
      <c r="F54" s="11">
        <v>0</v>
      </c>
      <c r="G54" s="11">
        <v>1205459904</v>
      </c>
      <c r="H54" s="11">
        <v>0</v>
      </c>
      <c r="I54" s="11">
        <v>0</v>
      </c>
      <c r="J54" s="11"/>
      <c r="K54" s="11"/>
      <c r="L54" s="11"/>
      <c r="M54" s="95"/>
      <c r="N54" s="27"/>
      <c r="O54" s="27"/>
      <c r="P54" s="27"/>
      <c r="Q54" s="27"/>
    </row>
    <row r="55" spans="1:17" s="10" customFormat="1">
      <c r="A55" s="10" t="s">
        <v>155</v>
      </c>
      <c r="B55" s="10" t="s">
        <v>51</v>
      </c>
      <c r="C55" s="10" t="s">
        <v>49</v>
      </c>
      <c r="D55" s="10" t="s">
        <v>185</v>
      </c>
      <c r="E55" s="11"/>
      <c r="F55" s="11"/>
      <c r="G55" s="11"/>
      <c r="H55" s="11"/>
      <c r="I55" s="11"/>
      <c r="J55" s="11"/>
      <c r="K55" s="11"/>
      <c r="L55" s="11">
        <v>2155</v>
      </c>
      <c r="M55" s="95"/>
      <c r="N55" s="27"/>
      <c r="O55" s="27"/>
      <c r="P55" s="27"/>
      <c r="Q55" s="27"/>
    </row>
    <row r="56" spans="1:17" s="10" customFormat="1">
      <c r="A56" s="10" t="s">
        <v>155</v>
      </c>
      <c r="B56" s="10" t="s">
        <v>51</v>
      </c>
      <c r="C56" s="10" t="s">
        <v>49</v>
      </c>
      <c r="D56" s="10" t="s">
        <v>186</v>
      </c>
      <c r="E56" s="11">
        <v>32</v>
      </c>
      <c r="F56" s="11">
        <v>169</v>
      </c>
      <c r="G56" s="11">
        <v>46678042</v>
      </c>
      <c r="H56" s="11">
        <v>0</v>
      </c>
      <c r="I56" s="11">
        <v>0</v>
      </c>
      <c r="J56" s="11"/>
      <c r="K56" s="11"/>
      <c r="L56" s="11"/>
      <c r="M56" s="95"/>
      <c r="N56" s="27"/>
      <c r="O56" s="27"/>
      <c r="P56" s="27"/>
      <c r="Q56" s="27"/>
    </row>
    <row r="57" spans="1:17" s="10" customFormat="1">
      <c r="A57" s="10" t="s">
        <v>155</v>
      </c>
      <c r="B57" s="10" t="s">
        <v>51</v>
      </c>
      <c r="C57" s="10" t="s">
        <v>49</v>
      </c>
      <c r="D57" s="10" t="s">
        <v>187</v>
      </c>
      <c r="E57" s="11">
        <v>0</v>
      </c>
      <c r="F57" s="11">
        <v>0</v>
      </c>
      <c r="G57" s="11">
        <v>42828661</v>
      </c>
      <c r="H57" s="11">
        <v>0</v>
      </c>
      <c r="I57" s="11">
        <v>0</v>
      </c>
      <c r="J57" s="11"/>
      <c r="K57" s="11"/>
      <c r="L57" s="11"/>
      <c r="M57" s="95"/>
      <c r="N57" s="27"/>
      <c r="O57" s="27"/>
      <c r="P57" s="27"/>
      <c r="Q57" s="27"/>
    </row>
    <row r="58" spans="1:17" s="10" customFormat="1">
      <c r="A58" s="10" t="s">
        <v>155</v>
      </c>
      <c r="B58" s="10" t="s">
        <v>51</v>
      </c>
      <c r="C58" s="10" t="s">
        <v>49</v>
      </c>
      <c r="D58" s="10" t="s">
        <v>188</v>
      </c>
      <c r="E58" s="11">
        <v>0</v>
      </c>
      <c r="F58" s="11">
        <v>0</v>
      </c>
      <c r="G58" s="11">
        <v>44826543</v>
      </c>
      <c r="H58" s="11">
        <v>0</v>
      </c>
      <c r="I58" s="11">
        <v>0</v>
      </c>
      <c r="J58" s="11"/>
      <c r="K58" s="11"/>
      <c r="L58" s="11"/>
      <c r="M58" s="95"/>
      <c r="N58" s="27"/>
      <c r="O58" s="27"/>
      <c r="P58" s="27"/>
      <c r="Q58" s="27"/>
    </row>
    <row r="59" spans="1:17"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c r="Q59" s="27"/>
    </row>
    <row r="60" spans="1:17" s="10" customFormat="1">
      <c r="A60" s="10" t="s">
        <v>155</v>
      </c>
      <c r="B60" s="10" t="s">
        <v>51</v>
      </c>
      <c r="C60" s="10" t="s">
        <v>49</v>
      </c>
      <c r="D60" s="10" t="s">
        <v>190</v>
      </c>
      <c r="E60" s="11"/>
      <c r="F60" s="11"/>
      <c r="G60" s="11"/>
      <c r="H60" s="11"/>
      <c r="I60" s="11"/>
      <c r="J60" s="11"/>
      <c r="K60" s="11"/>
      <c r="L60" s="11">
        <v>2155</v>
      </c>
      <c r="M60" s="95"/>
      <c r="N60" s="27"/>
      <c r="O60" s="27"/>
      <c r="P60" s="27"/>
      <c r="Q60" s="27"/>
    </row>
    <row r="61" spans="1:17" s="10" customFormat="1">
      <c r="A61" s="10" t="s">
        <v>155</v>
      </c>
      <c r="B61" s="10" t="s">
        <v>51</v>
      </c>
      <c r="C61" s="10" t="s">
        <v>49</v>
      </c>
      <c r="D61" s="10" t="s">
        <v>191</v>
      </c>
      <c r="E61" s="11">
        <v>0</v>
      </c>
      <c r="F61" s="11">
        <v>0</v>
      </c>
      <c r="G61" s="11">
        <v>3486421</v>
      </c>
      <c r="H61" s="11">
        <v>0</v>
      </c>
      <c r="I61" s="11">
        <v>0</v>
      </c>
      <c r="J61" s="11"/>
      <c r="K61" s="11"/>
      <c r="L61" s="11"/>
      <c r="M61" s="95"/>
      <c r="N61" s="27"/>
      <c r="O61" s="27"/>
      <c r="P61" s="27"/>
      <c r="Q61" s="27"/>
    </row>
    <row r="62" spans="1:17" s="10" customFormat="1">
      <c r="A62" s="10" t="s">
        <v>155</v>
      </c>
      <c r="B62" s="10" t="s">
        <v>51</v>
      </c>
      <c r="C62" s="10" t="s">
        <v>49</v>
      </c>
      <c r="D62" s="10" t="s">
        <v>192</v>
      </c>
      <c r="E62" s="11">
        <v>0</v>
      </c>
      <c r="F62" s="11">
        <v>0</v>
      </c>
      <c r="G62" s="11">
        <v>3212148</v>
      </c>
      <c r="H62" s="11">
        <v>0</v>
      </c>
      <c r="I62" s="11">
        <v>0</v>
      </c>
      <c r="J62" s="11"/>
      <c r="K62" s="11"/>
      <c r="L62" s="11"/>
      <c r="M62" s="95"/>
      <c r="N62" s="27"/>
      <c r="O62" s="27"/>
      <c r="P62" s="27"/>
      <c r="Q62" s="27"/>
    </row>
    <row r="63" spans="1:17" s="10" customFormat="1">
      <c r="A63" s="10" t="s">
        <v>155</v>
      </c>
      <c r="B63" s="10" t="s">
        <v>51</v>
      </c>
      <c r="C63" s="10" t="s">
        <v>49</v>
      </c>
      <c r="D63" s="10" t="s">
        <v>193</v>
      </c>
      <c r="E63" s="11">
        <v>0</v>
      </c>
      <c r="F63" s="11">
        <v>0</v>
      </c>
      <c r="G63" s="11">
        <v>3352628</v>
      </c>
      <c r="H63" s="11">
        <v>0</v>
      </c>
      <c r="I63" s="11">
        <v>0</v>
      </c>
      <c r="J63" s="11"/>
      <c r="K63" s="11"/>
      <c r="L63" s="11"/>
      <c r="M63" s="95"/>
      <c r="N63" s="27"/>
      <c r="O63" s="27"/>
      <c r="P63" s="27"/>
      <c r="Q63" s="27"/>
    </row>
    <row r="64" spans="1:17" s="10" customFormat="1">
      <c r="A64" s="10" t="s">
        <v>155</v>
      </c>
      <c r="B64" s="10" t="s">
        <v>51</v>
      </c>
      <c r="C64" s="10" t="s">
        <v>49</v>
      </c>
      <c r="D64" s="10" t="s">
        <v>194</v>
      </c>
      <c r="E64" s="11">
        <v>0</v>
      </c>
      <c r="F64" s="11">
        <v>0</v>
      </c>
      <c r="G64" s="11">
        <v>7224914051</v>
      </c>
      <c r="H64" s="11">
        <v>0</v>
      </c>
      <c r="I64" s="11">
        <v>0</v>
      </c>
      <c r="J64" s="11"/>
      <c r="K64" s="11"/>
      <c r="L64" s="11"/>
      <c r="M64" s="95"/>
      <c r="N64" s="27"/>
      <c r="O64" s="27"/>
      <c r="P64" s="27"/>
      <c r="Q64" s="27"/>
    </row>
    <row r="65" spans="1:17" s="10" customFormat="1">
      <c r="A65" s="10" t="s">
        <v>155</v>
      </c>
      <c r="B65" s="10" t="s">
        <v>51</v>
      </c>
      <c r="C65" s="10" t="s">
        <v>49</v>
      </c>
      <c r="D65" s="10" t="s">
        <v>195</v>
      </c>
      <c r="E65" s="11"/>
      <c r="F65" s="11"/>
      <c r="G65" s="11"/>
      <c r="H65" s="11"/>
      <c r="I65" s="11"/>
      <c r="J65" s="11"/>
      <c r="K65" s="11"/>
      <c r="L65" s="11">
        <v>2155</v>
      </c>
      <c r="M65" s="95"/>
      <c r="N65" s="27"/>
      <c r="O65" s="27"/>
      <c r="P65" s="27"/>
      <c r="Q65" s="27"/>
    </row>
    <row r="66" spans="1:17" s="10" customFormat="1">
      <c r="A66" s="10" t="s">
        <v>155</v>
      </c>
      <c r="B66" s="10" t="s">
        <v>51</v>
      </c>
      <c r="C66" s="10" t="s">
        <v>49</v>
      </c>
      <c r="D66" s="10" t="s">
        <v>196</v>
      </c>
      <c r="E66" s="11">
        <v>0</v>
      </c>
      <c r="F66" s="11">
        <v>0</v>
      </c>
      <c r="G66" s="11">
        <v>18</v>
      </c>
      <c r="H66" s="11">
        <v>0</v>
      </c>
      <c r="I66" s="11">
        <v>0</v>
      </c>
      <c r="J66" s="11"/>
      <c r="K66" s="11"/>
      <c r="L66" s="11"/>
      <c r="M66" s="95"/>
      <c r="N66" s="27"/>
      <c r="O66" s="27"/>
      <c r="P66" s="27"/>
      <c r="Q66" s="27"/>
    </row>
    <row r="67" spans="1:17" s="10" customFormat="1">
      <c r="A67" s="10" t="s">
        <v>155</v>
      </c>
      <c r="B67" s="10" t="s">
        <v>51</v>
      </c>
      <c r="C67" s="10" t="s">
        <v>49</v>
      </c>
      <c r="D67" s="10" t="s">
        <v>197</v>
      </c>
      <c r="E67" s="11">
        <v>0</v>
      </c>
      <c r="F67" s="11">
        <v>0</v>
      </c>
      <c r="G67" s="11">
        <v>6</v>
      </c>
      <c r="H67" s="11">
        <v>0</v>
      </c>
      <c r="I67" s="11">
        <v>0</v>
      </c>
      <c r="J67" s="11"/>
      <c r="K67" s="11"/>
      <c r="L67" s="11"/>
      <c r="M67" s="95"/>
      <c r="N67" s="27"/>
      <c r="O67" s="27"/>
      <c r="P67" s="27"/>
      <c r="Q67" s="27"/>
    </row>
    <row r="68" spans="1:17" s="10" customFormat="1">
      <c r="A68" s="10" t="s">
        <v>155</v>
      </c>
      <c r="B68" s="10" t="s">
        <v>51</v>
      </c>
      <c r="C68" s="10" t="s">
        <v>49</v>
      </c>
      <c r="D68" s="10" t="s">
        <v>198</v>
      </c>
      <c r="E68" s="11">
        <v>0</v>
      </c>
      <c r="F68" s="11">
        <v>0</v>
      </c>
      <c r="G68" s="11">
        <v>14</v>
      </c>
      <c r="H68" s="11">
        <v>0</v>
      </c>
      <c r="I68" s="11">
        <v>0</v>
      </c>
      <c r="J68" s="11"/>
      <c r="K68" s="11"/>
      <c r="L68" s="11"/>
      <c r="M68" s="95"/>
      <c r="N68" s="27"/>
      <c r="O68" s="27"/>
      <c r="P68" s="27"/>
      <c r="Q68" s="27"/>
    </row>
    <row r="69" spans="1:17" s="10" customFormat="1">
      <c r="A69" s="10" t="s">
        <v>155</v>
      </c>
      <c r="B69" s="10" t="s">
        <v>51</v>
      </c>
      <c r="C69" s="10" t="s">
        <v>49</v>
      </c>
      <c r="D69" s="10" t="s">
        <v>199</v>
      </c>
      <c r="E69" s="11">
        <v>0</v>
      </c>
      <c r="F69" s="11">
        <v>0</v>
      </c>
      <c r="G69" s="11">
        <v>30372</v>
      </c>
      <c r="H69" s="11">
        <v>0</v>
      </c>
      <c r="I69" s="11">
        <v>0</v>
      </c>
      <c r="J69" s="11"/>
      <c r="K69" s="11"/>
      <c r="L69" s="11"/>
      <c r="M69" s="95"/>
      <c r="N69" s="27"/>
      <c r="O69" s="27"/>
      <c r="P69" s="27"/>
      <c r="Q69" s="27"/>
    </row>
    <row r="70" spans="1:17" s="10" customFormat="1">
      <c r="A70" s="10" t="s">
        <v>155</v>
      </c>
      <c r="B70" s="10" t="s">
        <v>51</v>
      </c>
      <c r="C70" s="10" t="s">
        <v>49</v>
      </c>
      <c r="D70" s="10" t="s">
        <v>200</v>
      </c>
      <c r="E70" s="11"/>
      <c r="F70" s="11"/>
      <c r="G70" s="11"/>
      <c r="H70" s="11"/>
      <c r="I70" s="11"/>
      <c r="J70" s="11"/>
      <c r="K70" s="11"/>
      <c r="L70" s="11">
        <v>2155</v>
      </c>
      <c r="M70" s="95"/>
      <c r="N70" s="27"/>
      <c r="O70" s="27"/>
      <c r="P70" s="27"/>
      <c r="Q70" s="27"/>
    </row>
    <row r="71" spans="1:17" s="10" customFormat="1">
      <c r="A71" s="10" t="s">
        <v>155</v>
      </c>
      <c r="B71" s="10" t="s">
        <v>51</v>
      </c>
      <c r="C71" s="10" t="s">
        <v>49</v>
      </c>
      <c r="D71" s="10" t="s">
        <v>201</v>
      </c>
      <c r="E71" s="11">
        <v>1</v>
      </c>
      <c r="F71" s="11">
        <v>1</v>
      </c>
      <c r="G71" s="11">
        <v>7356</v>
      </c>
      <c r="H71" s="11">
        <v>0</v>
      </c>
      <c r="I71" s="11">
        <v>0</v>
      </c>
      <c r="J71" s="11"/>
      <c r="K71" s="11"/>
      <c r="L71" s="11"/>
      <c r="M71" s="95"/>
      <c r="N71" s="27"/>
      <c r="O71" s="27"/>
      <c r="P71" s="27"/>
      <c r="Q71" s="27"/>
    </row>
    <row r="72" spans="1:17" s="10" customFormat="1">
      <c r="A72" s="10" t="s">
        <v>155</v>
      </c>
      <c r="B72" s="10" t="s">
        <v>51</v>
      </c>
      <c r="C72" s="10" t="s">
        <v>49</v>
      </c>
      <c r="D72" s="10" t="s">
        <v>202</v>
      </c>
      <c r="E72" s="11">
        <v>0</v>
      </c>
      <c r="F72" s="11">
        <v>0</v>
      </c>
      <c r="G72" s="11">
        <v>6780</v>
      </c>
      <c r="H72" s="11">
        <v>0</v>
      </c>
      <c r="I72" s="11">
        <v>0</v>
      </c>
      <c r="J72" s="11"/>
      <c r="K72" s="11"/>
      <c r="L72" s="11"/>
      <c r="M72" s="95"/>
      <c r="N72" s="27"/>
      <c r="O72" s="27"/>
      <c r="P72" s="27"/>
      <c r="Q72" s="27"/>
    </row>
    <row r="73" spans="1:17" s="10" customFormat="1">
      <c r="A73" s="10" t="s">
        <v>155</v>
      </c>
      <c r="B73" s="10" t="s">
        <v>51</v>
      </c>
      <c r="C73" s="10" t="s">
        <v>49</v>
      </c>
      <c r="D73" s="10" t="s">
        <v>203</v>
      </c>
      <c r="E73" s="11">
        <v>0</v>
      </c>
      <c r="F73" s="11">
        <v>0</v>
      </c>
      <c r="G73" s="11">
        <v>7069</v>
      </c>
      <c r="H73" s="11">
        <v>0</v>
      </c>
      <c r="I73" s="11">
        <v>0</v>
      </c>
      <c r="J73" s="11"/>
      <c r="K73" s="11"/>
      <c r="L73" s="11"/>
      <c r="M73" s="95"/>
      <c r="N73" s="27"/>
      <c r="O73" s="27"/>
      <c r="P73" s="27"/>
      <c r="Q73" s="27"/>
    </row>
    <row r="74" spans="1:17" s="10" customFormat="1">
      <c r="A74" s="10" t="s">
        <v>155</v>
      </c>
      <c r="B74" s="10" t="s">
        <v>51</v>
      </c>
      <c r="C74" s="10" t="s">
        <v>49</v>
      </c>
      <c r="D74" s="10" t="s">
        <v>204</v>
      </c>
      <c r="E74" s="11">
        <v>19</v>
      </c>
      <c r="F74" s="11">
        <v>19</v>
      </c>
      <c r="G74" s="11">
        <v>15234400</v>
      </c>
      <c r="H74" s="11">
        <v>0</v>
      </c>
      <c r="I74" s="11">
        <v>0</v>
      </c>
      <c r="J74" s="11"/>
      <c r="K74" s="11"/>
      <c r="L74" s="11"/>
      <c r="M74" s="95"/>
      <c r="N74" s="27"/>
      <c r="O74" s="27"/>
      <c r="P74" s="27"/>
      <c r="Q74" s="27"/>
    </row>
    <row r="75" spans="1:17" s="10" customFormat="1">
      <c r="A75" s="10" t="s">
        <v>155</v>
      </c>
      <c r="B75" s="10" t="s">
        <v>51</v>
      </c>
      <c r="C75" s="10" t="s">
        <v>49</v>
      </c>
      <c r="D75" s="10" t="s">
        <v>205</v>
      </c>
      <c r="E75" s="11"/>
      <c r="F75" s="11"/>
      <c r="G75" s="11"/>
      <c r="H75" s="11"/>
      <c r="I75" s="11"/>
      <c r="J75" s="11"/>
      <c r="K75" s="11"/>
      <c r="L75" s="11">
        <v>2155</v>
      </c>
      <c r="M75" s="95"/>
      <c r="N75" s="27"/>
      <c r="O75" s="27"/>
      <c r="P75" s="27"/>
      <c r="Q75" s="27"/>
    </row>
    <row r="76" spans="1:17" s="10" customFormat="1">
      <c r="A76" s="10" t="s">
        <v>155</v>
      </c>
      <c r="B76" s="10" t="s">
        <v>51</v>
      </c>
      <c r="C76" s="10" t="s">
        <v>49</v>
      </c>
      <c r="D76" s="10" t="s">
        <v>206</v>
      </c>
      <c r="E76" s="11">
        <v>0</v>
      </c>
      <c r="F76" s="11">
        <v>0</v>
      </c>
      <c r="G76" s="11">
        <v>5</v>
      </c>
      <c r="H76" s="11">
        <v>0</v>
      </c>
      <c r="I76" s="11">
        <v>0</v>
      </c>
      <c r="J76" s="11"/>
      <c r="K76" s="11"/>
      <c r="L76" s="11"/>
      <c r="M76" s="95"/>
      <c r="N76" s="27"/>
      <c r="O76" s="27"/>
      <c r="P76" s="27"/>
      <c r="Q76" s="27"/>
    </row>
    <row r="77" spans="1:17" s="10" customFormat="1">
      <c r="A77" s="10" t="s">
        <v>155</v>
      </c>
      <c r="B77" s="10" t="s">
        <v>51</v>
      </c>
      <c r="C77" s="10" t="s">
        <v>49</v>
      </c>
      <c r="D77" s="10" t="s">
        <v>207</v>
      </c>
      <c r="E77" s="11">
        <v>0</v>
      </c>
      <c r="F77" s="11">
        <v>0</v>
      </c>
      <c r="G77" s="11">
        <v>5</v>
      </c>
      <c r="H77" s="11">
        <v>0</v>
      </c>
      <c r="I77" s="11">
        <v>0</v>
      </c>
      <c r="J77" s="11"/>
      <c r="K77" s="11"/>
      <c r="L77" s="11"/>
      <c r="M77" s="95"/>
      <c r="N77" s="27"/>
      <c r="O77" s="27"/>
      <c r="P77" s="27"/>
      <c r="Q77" s="27"/>
    </row>
    <row r="78" spans="1:17" s="10" customFormat="1">
      <c r="A78" s="10" t="s">
        <v>155</v>
      </c>
      <c r="B78" s="10" t="s">
        <v>51</v>
      </c>
      <c r="C78" s="10" t="s">
        <v>49</v>
      </c>
      <c r="D78" s="10" t="s">
        <v>208</v>
      </c>
      <c r="E78" s="11">
        <v>0</v>
      </c>
      <c r="F78" s="11">
        <v>0</v>
      </c>
      <c r="G78" s="11">
        <v>5</v>
      </c>
      <c r="H78" s="11">
        <v>0</v>
      </c>
      <c r="I78" s="11">
        <v>0</v>
      </c>
      <c r="J78" s="11"/>
      <c r="K78" s="11"/>
      <c r="L78" s="11"/>
      <c r="M78" s="95"/>
      <c r="N78" s="27"/>
      <c r="O78" s="27"/>
      <c r="P78" s="27"/>
      <c r="Q78" s="27"/>
    </row>
    <row r="79" spans="1:17" s="10" customFormat="1">
      <c r="A79" s="10" t="s">
        <v>155</v>
      </c>
      <c r="B79" s="10" t="s">
        <v>51</v>
      </c>
      <c r="C79" s="10" t="s">
        <v>49</v>
      </c>
      <c r="D79" s="10" t="s">
        <v>209</v>
      </c>
      <c r="E79" s="11">
        <v>0</v>
      </c>
      <c r="F79" s="11">
        <v>0</v>
      </c>
      <c r="G79" s="11">
        <v>10775</v>
      </c>
      <c r="H79" s="11">
        <v>0</v>
      </c>
      <c r="I79" s="11">
        <v>0</v>
      </c>
      <c r="J79" s="11"/>
      <c r="K79" s="11"/>
      <c r="L79" s="11"/>
      <c r="M79" s="95"/>
      <c r="N79" s="27"/>
      <c r="O79" s="27"/>
      <c r="P79" s="27"/>
      <c r="Q79" s="27"/>
    </row>
    <row r="80" spans="1:17" s="10" customFormat="1">
      <c r="A80" s="10" t="s">
        <v>155</v>
      </c>
      <c r="B80" s="10" t="s">
        <v>51</v>
      </c>
      <c r="C80" s="10" t="s">
        <v>49</v>
      </c>
      <c r="D80" s="10" t="s">
        <v>210</v>
      </c>
      <c r="E80" s="11"/>
      <c r="F80" s="11"/>
      <c r="G80" s="11"/>
      <c r="H80" s="11"/>
      <c r="I80" s="11"/>
      <c r="J80" s="11"/>
      <c r="K80" s="11"/>
      <c r="L80" s="11">
        <v>2155</v>
      </c>
      <c r="M80" s="95"/>
      <c r="N80" s="27"/>
      <c r="O80" s="27"/>
      <c r="P80" s="27"/>
      <c r="Q80" s="27"/>
    </row>
    <row r="81" spans="1:17" s="10" customFormat="1">
      <c r="A81" s="10" t="s">
        <v>155</v>
      </c>
      <c r="B81" s="10" t="s">
        <v>51</v>
      </c>
      <c r="C81" s="10" t="s">
        <v>49</v>
      </c>
      <c r="D81" s="10" t="s">
        <v>211</v>
      </c>
      <c r="E81" s="11">
        <v>0</v>
      </c>
      <c r="F81" s="11">
        <v>0</v>
      </c>
      <c r="G81" s="11">
        <v>7356</v>
      </c>
      <c r="H81" s="11">
        <v>0</v>
      </c>
      <c r="I81" s="11">
        <v>0</v>
      </c>
      <c r="J81" s="11"/>
      <c r="K81" s="11"/>
      <c r="L81" s="11"/>
      <c r="M81" s="95"/>
      <c r="N81" s="27"/>
      <c r="O81" s="27"/>
      <c r="P81" s="27"/>
      <c r="Q81" s="27"/>
    </row>
    <row r="82" spans="1:17" s="10" customFormat="1">
      <c r="A82" s="10" t="s">
        <v>155</v>
      </c>
      <c r="B82" s="10" t="s">
        <v>51</v>
      </c>
      <c r="C82" s="10" t="s">
        <v>49</v>
      </c>
      <c r="D82" s="10" t="s">
        <v>212</v>
      </c>
      <c r="E82" s="11">
        <v>0</v>
      </c>
      <c r="F82" s="11">
        <v>0</v>
      </c>
      <c r="G82" s="11">
        <v>6780</v>
      </c>
      <c r="H82" s="11">
        <v>0</v>
      </c>
      <c r="I82" s="11">
        <v>0</v>
      </c>
      <c r="J82" s="11"/>
      <c r="K82" s="11"/>
      <c r="L82" s="11"/>
      <c r="M82" s="95"/>
      <c r="N82" s="27"/>
      <c r="O82" s="27"/>
      <c r="P82" s="27"/>
      <c r="Q82" s="27"/>
    </row>
    <row r="83" spans="1:17" s="10" customFormat="1">
      <c r="A83" s="10" t="s">
        <v>155</v>
      </c>
      <c r="B83" s="10" t="s">
        <v>51</v>
      </c>
      <c r="C83" s="10" t="s">
        <v>49</v>
      </c>
      <c r="D83" s="10" t="s">
        <v>213</v>
      </c>
      <c r="E83" s="11">
        <v>0</v>
      </c>
      <c r="F83" s="11">
        <v>0</v>
      </c>
      <c r="G83" s="11">
        <v>7069</v>
      </c>
      <c r="H83" s="11">
        <v>0</v>
      </c>
      <c r="I83" s="11">
        <v>0</v>
      </c>
      <c r="J83" s="11"/>
      <c r="K83" s="11"/>
      <c r="L83" s="11"/>
      <c r="M83" s="95"/>
      <c r="N83" s="27"/>
      <c r="O83" s="27"/>
      <c r="P83" s="27"/>
      <c r="Q83" s="27"/>
    </row>
    <row r="84" spans="1:17" s="10" customFormat="1">
      <c r="A84" s="10" t="s">
        <v>155</v>
      </c>
      <c r="B84" s="10" t="s">
        <v>51</v>
      </c>
      <c r="C84" s="10" t="s">
        <v>49</v>
      </c>
      <c r="D84" s="10" t="s">
        <v>214</v>
      </c>
      <c r="E84" s="11">
        <v>0</v>
      </c>
      <c r="F84" s="11">
        <v>0</v>
      </c>
      <c r="G84" s="11">
        <v>15234400</v>
      </c>
      <c r="H84" s="11">
        <v>0</v>
      </c>
      <c r="I84" s="11">
        <v>0</v>
      </c>
      <c r="J84" s="11"/>
      <c r="K84" s="11"/>
      <c r="L84" s="11"/>
      <c r="M84" s="95"/>
      <c r="N84" s="27"/>
      <c r="O84" s="27"/>
      <c r="P84" s="27"/>
      <c r="Q84" s="27"/>
    </row>
    <row r="85" spans="1:17" s="10" customFormat="1">
      <c r="A85" s="10" t="s">
        <v>155</v>
      </c>
      <c r="B85" s="10" t="s">
        <v>51</v>
      </c>
      <c r="C85" s="10" t="s">
        <v>49</v>
      </c>
      <c r="D85" s="10" t="s">
        <v>215</v>
      </c>
      <c r="E85" s="11"/>
      <c r="F85" s="11"/>
      <c r="G85" s="11"/>
      <c r="H85" s="11"/>
      <c r="I85" s="11"/>
      <c r="J85" s="11"/>
      <c r="K85" s="11"/>
      <c r="L85" s="11">
        <v>2155</v>
      </c>
      <c r="M85" s="95"/>
      <c r="N85" s="27"/>
      <c r="O85" s="27"/>
      <c r="P85" s="27"/>
      <c r="Q85" s="27"/>
    </row>
    <row r="86" spans="1:17" s="10" customFormat="1">
      <c r="A86" s="10" t="s">
        <v>155</v>
      </c>
      <c r="B86" s="10" t="s">
        <v>51</v>
      </c>
      <c r="C86" s="10" t="s">
        <v>49</v>
      </c>
      <c r="D86" s="10" t="s">
        <v>216</v>
      </c>
      <c r="E86" s="11">
        <v>1</v>
      </c>
      <c r="F86" s="11">
        <v>2</v>
      </c>
      <c r="G86" s="11">
        <v>37626</v>
      </c>
      <c r="H86" s="11">
        <v>0</v>
      </c>
      <c r="I86" s="11">
        <v>0</v>
      </c>
      <c r="J86" s="11"/>
      <c r="K86" s="11"/>
      <c r="L86" s="11"/>
      <c r="M86" s="95"/>
      <c r="N86" s="27"/>
      <c r="O86" s="27"/>
      <c r="P86" s="27"/>
      <c r="Q86" s="27"/>
    </row>
    <row r="87" spans="1:17" s="10" customFormat="1">
      <c r="A87" s="10" t="s">
        <v>155</v>
      </c>
      <c r="B87" s="10" t="s">
        <v>51</v>
      </c>
      <c r="C87" s="10" t="s">
        <v>49</v>
      </c>
      <c r="D87" s="10" t="s">
        <v>217</v>
      </c>
      <c r="E87" s="11">
        <v>0</v>
      </c>
      <c r="F87" s="11">
        <v>0</v>
      </c>
      <c r="G87" s="11">
        <v>34684</v>
      </c>
      <c r="H87" s="11">
        <v>0</v>
      </c>
      <c r="I87" s="11">
        <v>0</v>
      </c>
      <c r="J87" s="11"/>
      <c r="K87" s="11"/>
      <c r="L87" s="11"/>
      <c r="M87" s="95"/>
      <c r="N87" s="27"/>
      <c r="O87" s="27"/>
      <c r="P87" s="27"/>
      <c r="Q87" s="27"/>
    </row>
    <row r="88" spans="1:17" s="10" customFormat="1">
      <c r="A88" s="10" t="s">
        <v>155</v>
      </c>
      <c r="B88" s="10" t="s">
        <v>51</v>
      </c>
      <c r="C88" s="10" t="s">
        <v>49</v>
      </c>
      <c r="D88" s="10" t="s">
        <v>218</v>
      </c>
      <c r="E88" s="11">
        <v>0</v>
      </c>
      <c r="F88" s="11">
        <v>0</v>
      </c>
      <c r="G88" s="11">
        <v>36180</v>
      </c>
      <c r="H88" s="11">
        <v>0</v>
      </c>
      <c r="I88" s="11">
        <v>0</v>
      </c>
      <c r="J88" s="11"/>
      <c r="K88" s="11"/>
      <c r="L88" s="11"/>
      <c r="M88" s="95"/>
      <c r="N88" s="27"/>
      <c r="O88" s="27"/>
      <c r="P88" s="27"/>
      <c r="Q88" s="27"/>
    </row>
    <row r="89" spans="1:17" s="10" customFormat="1">
      <c r="A89" s="10" t="s">
        <v>155</v>
      </c>
      <c r="B89" s="10" t="s">
        <v>51</v>
      </c>
      <c r="C89" s="10" t="s">
        <v>49</v>
      </c>
      <c r="D89" s="10" t="s">
        <v>219</v>
      </c>
      <c r="E89" s="11">
        <v>19</v>
      </c>
      <c r="F89" s="11">
        <v>22</v>
      </c>
      <c r="G89" s="11">
        <v>77968557</v>
      </c>
      <c r="H89" s="11">
        <v>0</v>
      </c>
      <c r="I89" s="11">
        <v>0</v>
      </c>
      <c r="J89" s="11"/>
      <c r="K89" s="11"/>
      <c r="L89" s="11"/>
      <c r="M89" s="95"/>
      <c r="N89" s="27"/>
      <c r="O89" s="27"/>
      <c r="P89" s="27"/>
      <c r="Q89" s="27"/>
    </row>
    <row r="90" spans="1:17" s="10" customFormat="1">
      <c r="A90" s="10" t="s">
        <v>155</v>
      </c>
      <c r="B90" s="10" t="s">
        <v>51</v>
      </c>
      <c r="C90" s="10" t="s">
        <v>49</v>
      </c>
      <c r="D90" s="10" t="s">
        <v>220</v>
      </c>
      <c r="E90" s="11"/>
      <c r="F90" s="11"/>
      <c r="G90" s="11"/>
      <c r="H90" s="11"/>
      <c r="I90" s="11"/>
      <c r="J90" s="11"/>
      <c r="K90" s="11"/>
      <c r="L90" s="11">
        <v>2155</v>
      </c>
      <c r="M90" s="95"/>
      <c r="N90" s="27"/>
      <c r="O90" s="27"/>
      <c r="P90" s="27"/>
      <c r="Q90" s="27"/>
    </row>
    <row r="91" spans="1:17" s="10" customFormat="1">
      <c r="A91" s="10" t="s">
        <v>155</v>
      </c>
      <c r="B91" s="10" t="s">
        <v>51</v>
      </c>
      <c r="C91" s="10" t="s">
        <v>49</v>
      </c>
      <c r="D91" s="10" t="s">
        <v>221</v>
      </c>
      <c r="E91" s="11">
        <v>2</v>
      </c>
      <c r="F91" s="11">
        <v>11</v>
      </c>
      <c r="G91" s="11">
        <v>825851</v>
      </c>
      <c r="H91" s="11">
        <v>0</v>
      </c>
      <c r="I91" s="11">
        <v>0</v>
      </c>
      <c r="J91" s="11"/>
      <c r="K91" s="11"/>
      <c r="L91" s="11"/>
      <c r="M91" s="95"/>
      <c r="N91" s="27"/>
      <c r="O91" s="27"/>
      <c r="P91" s="27"/>
      <c r="Q91" s="27"/>
    </row>
    <row r="92" spans="1:17" s="10" customFormat="1">
      <c r="A92" s="10" t="s">
        <v>155</v>
      </c>
      <c r="B92" s="10" t="s">
        <v>51</v>
      </c>
      <c r="C92" s="10" t="s">
        <v>49</v>
      </c>
      <c r="D92" s="10" t="s">
        <v>222</v>
      </c>
      <c r="E92" s="11">
        <v>0</v>
      </c>
      <c r="F92" s="11">
        <v>0</v>
      </c>
      <c r="G92" s="11">
        <v>760949</v>
      </c>
      <c r="H92" s="11">
        <v>0</v>
      </c>
      <c r="I92" s="11">
        <v>0</v>
      </c>
      <c r="J92" s="11"/>
      <c r="K92" s="11"/>
      <c r="L92" s="11"/>
      <c r="M92" s="95"/>
      <c r="N92" s="27"/>
      <c r="O92" s="27"/>
      <c r="P92" s="27"/>
      <c r="Q92" s="27"/>
    </row>
    <row r="93" spans="1:17" s="10" customFormat="1">
      <c r="A93" s="10" t="s">
        <v>155</v>
      </c>
      <c r="B93" s="10" t="s">
        <v>51</v>
      </c>
      <c r="C93" s="10" t="s">
        <v>49</v>
      </c>
      <c r="D93" s="10" t="s">
        <v>223</v>
      </c>
      <c r="E93" s="11">
        <v>0</v>
      </c>
      <c r="F93" s="11">
        <v>0</v>
      </c>
      <c r="G93" s="11">
        <v>794121</v>
      </c>
      <c r="H93" s="11">
        <v>0</v>
      </c>
      <c r="I93" s="11">
        <v>0</v>
      </c>
      <c r="J93" s="11"/>
      <c r="K93" s="11"/>
      <c r="L93" s="11"/>
      <c r="M93" s="95"/>
      <c r="N93" s="27"/>
      <c r="O93" s="27"/>
      <c r="P93" s="27"/>
      <c r="Q93" s="27"/>
    </row>
    <row r="94" spans="1:17" s="10" customFormat="1">
      <c r="A94" s="10" t="s">
        <v>155</v>
      </c>
      <c r="B94" s="10" t="s">
        <v>51</v>
      </c>
      <c r="C94" s="10" t="s">
        <v>49</v>
      </c>
      <c r="D94" s="10" t="s">
        <v>224</v>
      </c>
      <c r="E94" s="11">
        <v>36</v>
      </c>
      <c r="F94" s="11">
        <v>115</v>
      </c>
      <c r="G94" s="11">
        <v>1711330880</v>
      </c>
      <c r="H94" s="11">
        <v>0</v>
      </c>
      <c r="I94" s="11">
        <v>0</v>
      </c>
      <c r="J94" s="11"/>
      <c r="K94" s="11"/>
      <c r="L94" s="11"/>
      <c r="M94" s="95"/>
      <c r="N94" s="27"/>
      <c r="O94" s="27"/>
      <c r="P94" s="27"/>
      <c r="Q94" s="27"/>
    </row>
    <row r="95" spans="1:17" s="10" customFormat="1">
      <c r="A95" s="10" t="s">
        <v>155</v>
      </c>
      <c r="B95" s="10" t="s">
        <v>51</v>
      </c>
      <c r="C95" s="10" t="s">
        <v>49</v>
      </c>
      <c r="D95" s="10" t="s">
        <v>225</v>
      </c>
      <c r="E95" s="11"/>
      <c r="F95" s="11"/>
      <c r="G95" s="11"/>
      <c r="H95" s="11"/>
      <c r="I95" s="11"/>
      <c r="J95" s="11"/>
      <c r="K95" s="11"/>
      <c r="L95" s="11">
        <v>2155</v>
      </c>
      <c r="M95" s="95"/>
      <c r="N95" s="27"/>
      <c r="O95" s="27"/>
      <c r="P95" s="27"/>
      <c r="Q95" s="27"/>
    </row>
    <row r="96" spans="1:17" s="10" customFormat="1">
      <c r="A96" s="10" t="s">
        <v>155</v>
      </c>
      <c r="B96" s="10" t="s">
        <v>51</v>
      </c>
      <c r="C96" s="10" t="s">
        <v>49</v>
      </c>
      <c r="D96" s="10" t="s">
        <v>226</v>
      </c>
      <c r="E96" s="11">
        <v>0</v>
      </c>
      <c r="F96" s="11">
        <v>0</v>
      </c>
      <c r="G96" s="11">
        <v>18</v>
      </c>
      <c r="H96" s="11">
        <v>0</v>
      </c>
      <c r="I96" s="11">
        <v>0</v>
      </c>
      <c r="J96" s="11"/>
      <c r="K96" s="11"/>
      <c r="L96" s="11"/>
      <c r="M96" s="95"/>
      <c r="N96" s="27"/>
      <c r="O96" s="27"/>
      <c r="P96" s="27"/>
      <c r="Q96" s="27"/>
    </row>
    <row r="97" spans="1:17" s="10" customFormat="1">
      <c r="A97" s="10" t="s">
        <v>155</v>
      </c>
      <c r="B97" s="10" t="s">
        <v>51</v>
      </c>
      <c r="C97" s="10" t="s">
        <v>49</v>
      </c>
      <c r="D97" s="10" t="s">
        <v>227</v>
      </c>
      <c r="E97" s="11">
        <v>0</v>
      </c>
      <c r="F97" s="11">
        <v>0</v>
      </c>
      <c r="G97" s="11">
        <v>6</v>
      </c>
      <c r="H97" s="11">
        <v>0</v>
      </c>
      <c r="I97" s="11">
        <v>0</v>
      </c>
      <c r="J97" s="11"/>
      <c r="K97" s="11"/>
      <c r="L97" s="11"/>
      <c r="M97" s="95"/>
      <c r="N97" s="27"/>
      <c r="O97" s="27"/>
      <c r="P97" s="27"/>
      <c r="Q97" s="27"/>
    </row>
    <row r="98" spans="1:17" s="10" customFormat="1">
      <c r="A98" s="10" t="s">
        <v>155</v>
      </c>
      <c r="B98" s="10" t="s">
        <v>51</v>
      </c>
      <c r="C98" s="10" t="s">
        <v>49</v>
      </c>
      <c r="D98" s="10" t="s">
        <v>228</v>
      </c>
      <c r="E98" s="11">
        <v>0</v>
      </c>
      <c r="F98" s="11">
        <v>0</v>
      </c>
      <c r="G98" s="11">
        <v>14</v>
      </c>
      <c r="H98" s="11">
        <v>0</v>
      </c>
      <c r="I98" s="11">
        <v>0</v>
      </c>
      <c r="J98" s="11"/>
      <c r="K98" s="11"/>
      <c r="L98" s="11"/>
      <c r="M98" s="95"/>
      <c r="N98" s="27"/>
      <c r="O98" s="27"/>
      <c r="P98" s="27"/>
      <c r="Q98" s="27"/>
    </row>
    <row r="99" spans="1:17" s="10" customFormat="1">
      <c r="A99" s="10" t="s">
        <v>155</v>
      </c>
      <c r="B99" s="10" t="s">
        <v>51</v>
      </c>
      <c r="C99" s="10" t="s">
        <v>49</v>
      </c>
      <c r="D99" s="10" t="s">
        <v>229</v>
      </c>
      <c r="E99" s="11">
        <v>0</v>
      </c>
      <c r="F99" s="11">
        <v>0</v>
      </c>
      <c r="G99" s="11">
        <v>30372</v>
      </c>
      <c r="H99" s="11">
        <v>0</v>
      </c>
      <c r="I99" s="11">
        <v>0</v>
      </c>
      <c r="J99" s="11"/>
      <c r="K99" s="11"/>
      <c r="L99" s="11"/>
      <c r="M99" s="95"/>
      <c r="N99" s="27"/>
      <c r="O99" s="27"/>
      <c r="P99" s="27"/>
      <c r="Q99" s="27"/>
    </row>
    <row r="100" spans="1:17" s="10" customFormat="1">
      <c r="A100" s="10" t="s">
        <v>155</v>
      </c>
      <c r="B100" s="10" t="s">
        <v>51</v>
      </c>
      <c r="C100" s="10" t="s">
        <v>49</v>
      </c>
      <c r="D100" s="10" t="s">
        <v>230</v>
      </c>
      <c r="E100" s="11"/>
      <c r="F100" s="11"/>
      <c r="G100" s="11"/>
      <c r="H100" s="11"/>
      <c r="I100" s="11"/>
      <c r="J100" s="11"/>
      <c r="K100" s="11"/>
      <c r="L100" s="11">
        <v>2155</v>
      </c>
      <c r="M100" s="95"/>
      <c r="N100" s="27"/>
      <c r="O100" s="27"/>
      <c r="P100" s="27"/>
      <c r="Q100" s="27"/>
    </row>
    <row r="101" spans="1:17"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c r="Q101" s="27"/>
    </row>
    <row r="102" spans="1:17"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c r="Q102" s="27"/>
    </row>
    <row r="103" spans="1:17"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c r="Q103" s="27"/>
    </row>
    <row r="104" spans="1:17"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c r="Q104" s="27"/>
    </row>
    <row r="105" spans="1:17" s="10" customFormat="1">
      <c r="A105" s="10" t="s">
        <v>155</v>
      </c>
      <c r="B105" s="10" t="s">
        <v>51</v>
      </c>
      <c r="C105" s="10" t="s">
        <v>49</v>
      </c>
      <c r="D105" s="10" t="s">
        <v>235</v>
      </c>
      <c r="E105" s="11"/>
      <c r="F105" s="11"/>
      <c r="G105" s="11"/>
      <c r="H105" s="11"/>
      <c r="I105" s="11"/>
      <c r="J105" s="11"/>
      <c r="K105" s="11"/>
      <c r="L105" s="11">
        <v>2155</v>
      </c>
      <c r="M105" s="95"/>
      <c r="N105" s="27"/>
      <c r="O105" s="27"/>
      <c r="P105" s="27"/>
      <c r="Q105" s="27"/>
    </row>
    <row r="106" spans="1:17" s="10" customFormat="1">
      <c r="A106" t="s">
        <v>155</v>
      </c>
      <c r="B106" s="10" t="s">
        <v>51</v>
      </c>
      <c r="C106" s="10" t="s">
        <v>49</v>
      </c>
      <c r="D106" s="10" t="s">
        <v>344</v>
      </c>
      <c r="E106" s="11"/>
      <c r="F106" s="11"/>
      <c r="G106" s="11"/>
      <c r="H106" s="11"/>
      <c r="I106" s="11"/>
      <c r="J106" s="11"/>
      <c r="K106" s="10">
        <v>201</v>
      </c>
      <c r="M106" s="95"/>
      <c r="N106" s="27"/>
      <c r="O106" s="27"/>
      <c r="P106" s="27"/>
      <c r="Q106" s="27"/>
    </row>
    <row r="107" spans="1:17" s="10" customFormat="1">
      <c r="A107" t="s">
        <v>155</v>
      </c>
      <c r="B107" s="10" t="s">
        <v>51</v>
      </c>
      <c r="C107" s="10" t="s">
        <v>49</v>
      </c>
      <c r="D107" s="10" t="s">
        <v>334</v>
      </c>
      <c r="E107" s="11"/>
      <c r="F107" s="11"/>
      <c r="G107" s="11"/>
      <c r="H107" s="11"/>
      <c r="I107" s="11"/>
      <c r="J107" s="11"/>
      <c r="K107" s="10">
        <v>396</v>
      </c>
      <c r="M107" s="95"/>
      <c r="N107" s="27"/>
      <c r="O107" s="27"/>
      <c r="P107" s="27"/>
      <c r="Q107" s="27"/>
    </row>
    <row r="108" spans="1:17" s="10" customFormat="1">
      <c r="A108" t="s">
        <v>155</v>
      </c>
      <c r="B108" s="10" t="s">
        <v>51</v>
      </c>
      <c r="C108" s="10" t="s">
        <v>49</v>
      </c>
      <c r="D108" s="10" t="s">
        <v>335</v>
      </c>
      <c r="E108" s="11"/>
      <c r="F108" s="11"/>
      <c r="G108" s="11"/>
      <c r="H108" s="11"/>
      <c r="I108" s="11"/>
      <c r="J108" s="11"/>
      <c r="K108" s="10">
        <v>240</v>
      </c>
      <c r="M108" s="95"/>
      <c r="N108" s="27"/>
      <c r="O108" s="27"/>
      <c r="P108" s="27"/>
      <c r="Q108" s="27"/>
    </row>
    <row r="109" spans="1:17" s="10" customFormat="1">
      <c r="A109" t="s">
        <v>155</v>
      </c>
      <c r="B109" s="10" t="s">
        <v>51</v>
      </c>
      <c r="C109" s="10" t="s">
        <v>49</v>
      </c>
      <c r="D109" s="10" t="s">
        <v>294</v>
      </c>
      <c r="E109" s="11"/>
      <c r="F109" s="11"/>
      <c r="H109" s="11"/>
      <c r="I109" s="11"/>
      <c r="J109" s="11"/>
      <c r="L109" s="11">
        <v>368</v>
      </c>
      <c r="M109" s="95"/>
      <c r="N109" s="27"/>
      <c r="O109" s="27"/>
      <c r="P109" s="27"/>
      <c r="Q109" s="27"/>
    </row>
    <row r="110" spans="1:17"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c r="Q110" s="27"/>
    </row>
    <row r="111" spans="1:17"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c r="Q111" s="27"/>
    </row>
    <row r="112" spans="1:17"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c r="Q112" s="27"/>
    </row>
    <row r="113" spans="1:17"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c r="Q113" s="27"/>
    </row>
    <row r="114" spans="1:17" s="10" customFormat="1">
      <c r="A114" s="10" t="s">
        <v>155</v>
      </c>
      <c r="B114" s="10" t="s">
        <v>51</v>
      </c>
      <c r="C114" s="10" t="s">
        <v>49</v>
      </c>
      <c r="D114" s="22" t="s">
        <v>323</v>
      </c>
      <c r="E114" s="11"/>
      <c r="F114" s="11"/>
      <c r="G114" s="11"/>
      <c r="H114" s="11"/>
      <c r="I114" s="11"/>
      <c r="J114" s="11"/>
      <c r="K114" s="11"/>
      <c r="L114" s="11">
        <v>2155</v>
      </c>
      <c r="M114" s="95"/>
      <c r="N114" s="27"/>
      <c r="O114" s="27"/>
      <c r="P114" s="27"/>
      <c r="Q114" s="27"/>
    </row>
    <row r="115" spans="1:17" s="10" customFormat="1">
      <c r="A115" s="10" t="s">
        <v>155</v>
      </c>
      <c r="B115" s="10" t="s">
        <v>51</v>
      </c>
      <c r="C115" s="10" t="s">
        <v>49</v>
      </c>
      <c r="D115" s="10" t="s">
        <v>348</v>
      </c>
      <c r="E115" s="11"/>
      <c r="F115" s="11"/>
      <c r="G115" s="11"/>
      <c r="H115" s="11"/>
      <c r="I115" s="11"/>
      <c r="J115" s="11"/>
      <c r="K115" s="11">
        <v>1161690624</v>
      </c>
      <c r="L115" s="11"/>
      <c r="M115" s="95"/>
      <c r="N115" s="27"/>
      <c r="O115" s="27"/>
      <c r="P115" s="27"/>
      <c r="Q115" s="27"/>
    </row>
    <row r="116" spans="1:17" s="10" customFormat="1">
      <c r="A116" s="10" t="s">
        <v>155</v>
      </c>
      <c r="B116" s="10" t="s">
        <v>51</v>
      </c>
      <c r="C116" s="10" t="s">
        <v>49</v>
      </c>
      <c r="D116" s="10" t="s">
        <v>349</v>
      </c>
      <c r="E116" s="11"/>
      <c r="F116" s="11"/>
      <c r="G116" s="11"/>
      <c r="H116" s="11"/>
      <c r="I116" s="11"/>
      <c r="J116" s="11"/>
      <c r="K116" s="11">
        <v>1890334750</v>
      </c>
      <c r="L116" s="11"/>
      <c r="M116" s="95"/>
      <c r="N116" s="27"/>
      <c r="O116" s="27"/>
      <c r="P116" s="27"/>
      <c r="Q116" s="27"/>
    </row>
    <row r="117" spans="1:17" s="10" customFormat="1">
      <c r="A117" s="10" t="s">
        <v>155</v>
      </c>
      <c r="B117" s="10" t="s">
        <v>51</v>
      </c>
      <c r="C117" s="10" t="s">
        <v>49</v>
      </c>
      <c r="D117" s="10" t="s">
        <v>350</v>
      </c>
      <c r="E117" s="11"/>
      <c r="F117" s="11"/>
      <c r="G117" s="11"/>
      <c r="H117" s="11"/>
      <c r="I117" s="11"/>
      <c r="J117" s="11"/>
      <c r="K117" s="11">
        <v>1526012687</v>
      </c>
      <c r="L117" s="11"/>
      <c r="M117" s="95"/>
      <c r="N117" s="27"/>
      <c r="O117" s="27"/>
      <c r="P117" s="27"/>
      <c r="Q117" s="27"/>
    </row>
    <row r="118" spans="1:17" s="10" customFormat="1">
      <c r="A118" s="10" t="s">
        <v>155</v>
      </c>
      <c r="B118" s="10" t="s">
        <v>51</v>
      </c>
      <c r="C118" s="10" t="s">
        <v>49</v>
      </c>
      <c r="D118" s="10" t="s">
        <v>351</v>
      </c>
      <c r="E118" s="11"/>
      <c r="F118" s="11"/>
      <c r="G118" s="11"/>
      <c r="H118" s="11"/>
      <c r="I118" s="11"/>
      <c r="J118" s="11"/>
      <c r="K118" s="11"/>
      <c r="L118" s="11">
        <v>2</v>
      </c>
      <c r="M118" s="95"/>
      <c r="N118" s="27"/>
      <c r="O118" s="27"/>
      <c r="P118" s="27"/>
      <c r="Q118" s="27"/>
    </row>
    <row r="119" spans="1:17">
      <c r="A119" s="10" t="s">
        <v>155</v>
      </c>
      <c r="B119" s="10" t="s">
        <v>51</v>
      </c>
      <c r="C119" s="10" t="s">
        <v>49</v>
      </c>
      <c r="D119" t="s">
        <v>435</v>
      </c>
      <c r="L119">
        <v>1</v>
      </c>
    </row>
    <row r="120" spans="1:17">
      <c r="A120" s="10" t="s">
        <v>155</v>
      </c>
      <c r="B120" s="10" t="s">
        <v>51</v>
      </c>
      <c r="C120" s="10" t="s">
        <v>49</v>
      </c>
      <c r="D120" s="10" t="s">
        <v>438</v>
      </c>
      <c r="L120">
        <v>1</v>
      </c>
    </row>
    <row r="121" spans="1:17">
      <c r="A121" s="10" t="s">
        <v>155</v>
      </c>
      <c r="B121" s="10" t="s">
        <v>51</v>
      </c>
      <c r="C121" s="10" t="s">
        <v>49</v>
      </c>
      <c r="D121" t="s">
        <v>444</v>
      </c>
      <c r="J121">
        <v>12</v>
      </c>
    </row>
    <row r="122" spans="1:17">
      <c r="A122" s="10" t="s">
        <v>155</v>
      </c>
      <c r="B122" s="10" t="s">
        <v>51</v>
      </c>
      <c r="C122" s="10" t="s">
        <v>49</v>
      </c>
      <c r="D122" t="s">
        <v>445</v>
      </c>
      <c r="J122">
        <v>8</v>
      </c>
    </row>
    <row r="123" spans="1:17">
      <c r="A123" s="10" t="s">
        <v>155</v>
      </c>
      <c r="B123" s="10" t="s">
        <v>51</v>
      </c>
      <c r="C123" s="10" t="s">
        <v>49</v>
      </c>
      <c r="D123" t="s">
        <v>446</v>
      </c>
      <c r="J123">
        <v>6</v>
      </c>
    </row>
    <row r="124" spans="1:17">
      <c r="A124" s="10" t="s">
        <v>155</v>
      </c>
      <c r="B124" s="10" t="s">
        <v>51</v>
      </c>
      <c r="C124" s="10" t="s">
        <v>49</v>
      </c>
      <c r="D124" t="s">
        <v>447</v>
      </c>
      <c r="J124">
        <v>4</v>
      </c>
    </row>
    <row r="125" spans="1:17">
      <c r="A125" s="10" t="s">
        <v>155</v>
      </c>
      <c r="B125" s="10" t="s">
        <v>51</v>
      </c>
      <c r="C125" s="10" t="s">
        <v>49</v>
      </c>
      <c r="D125" t="s">
        <v>448</v>
      </c>
      <c r="L125">
        <v>3</v>
      </c>
    </row>
    <row r="126" spans="1:17">
      <c r="A126" s="10" t="s">
        <v>155</v>
      </c>
      <c r="B126" s="10" t="s">
        <v>51</v>
      </c>
      <c r="C126" s="10" t="s">
        <v>49</v>
      </c>
      <c r="D126" t="s">
        <v>460</v>
      </c>
      <c r="M126" s="9">
        <v>23.45</v>
      </c>
    </row>
    <row r="127" spans="1:17">
      <c r="A127" s="10" t="s">
        <v>155</v>
      </c>
      <c r="B127" s="10" t="s">
        <v>51</v>
      </c>
      <c r="C127" s="10" t="s">
        <v>49</v>
      </c>
      <c r="D127" t="s">
        <v>461</v>
      </c>
      <c r="M127" s="9">
        <v>12.5</v>
      </c>
    </row>
    <row r="128" spans="1:17">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7">
      <c r="A145" s="10" t="s">
        <v>155</v>
      </c>
      <c r="B145" s="10" t="s">
        <v>51</v>
      </c>
      <c r="C145" s="10" t="s">
        <v>49</v>
      </c>
      <c r="D145" t="s">
        <v>545</v>
      </c>
      <c r="L145">
        <v>10</v>
      </c>
    </row>
    <row r="146" spans="1:17">
      <c r="A146" s="10" t="s">
        <v>155</v>
      </c>
      <c r="B146" s="10" t="s">
        <v>51</v>
      </c>
      <c r="C146" s="10" t="s">
        <v>49</v>
      </c>
      <c r="D146" t="s">
        <v>546</v>
      </c>
      <c r="K146">
        <v>4500</v>
      </c>
      <c r="N146" s="27">
        <v>15</v>
      </c>
      <c r="O146" s="27">
        <v>20</v>
      </c>
      <c r="P146" s="27">
        <v>25</v>
      </c>
    </row>
    <row r="147" spans="1:17">
      <c r="A147" s="10" t="s">
        <v>155</v>
      </c>
      <c r="B147" s="10" t="s">
        <v>51</v>
      </c>
      <c r="C147" s="10" t="s">
        <v>49</v>
      </c>
      <c r="D147" t="s">
        <v>547</v>
      </c>
      <c r="K147">
        <v>34</v>
      </c>
      <c r="N147" s="27">
        <v>4</v>
      </c>
      <c r="O147" s="27">
        <v>5</v>
      </c>
      <c r="P147" s="27">
        <v>6</v>
      </c>
    </row>
    <row r="148" spans="1:17">
      <c r="A148" s="10" t="s">
        <v>155</v>
      </c>
      <c r="B148" s="10" t="s">
        <v>51</v>
      </c>
      <c r="C148" s="10" t="s">
        <v>49</v>
      </c>
      <c r="D148" t="s">
        <v>548</v>
      </c>
      <c r="M148">
        <v>26.34</v>
      </c>
    </row>
    <row r="149" spans="1:17">
      <c r="A149" s="10" t="s">
        <v>155</v>
      </c>
      <c r="B149" s="10" t="s">
        <v>51</v>
      </c>
      <c r="C149" s="10" t="s">
        <v>49</v>
      </c>
      <c r="D149" t="s">
        <v>607</v>
      </c>
      <c r="G149">
        <v>5</v>
      </c>
    </row>
    <row r="150" spans="1:17">
      <c r="A150" s="10" t="s">
        <v>155</v>
      </c>
      <c r="B150" s="10" t="s">
        <v>51</v>
      </c>
      <c r="C150" s="10" t="s">
        <v>49</v>
      </c>
      <c r="D150" t="s">
        <v>608</v>
      </c>
      <c r="G150">
        <v>3</v>
      </c>
    </row>
    <row r="151" spans="1:17">
      <c r="A151" s="10" t="s">
        <v>155</v>
      </c>
      <c r="B151" s="10" t="s">
        <v>51</v>
      </c>
      <c r="C151" s="10" t="s">
        <v>49</v>
      </c>
      <c r="D151" t="s">
        <v>609</v>
      </c>
      <c r="G151">
        <v>2</v>
      </c>
    </row>
    <row r="152" spans="1:17">
      <c r="A152" s="10" t="s">
        <v>155</v>
      </c>
      <c r="B152" s="10" t="s">
        <v>51</v>
      </c>
      <c r="C152" s="10" t="s">
        <v>49</v>
      </c>
      <c r="D152" t="s">
        <v>610</v>
      </c>
      <c r="G152">
        <v>1</v>
      </c>
    </row>
    <row r="153" spans="1:17">
      <c r="A153" s="10" t="s">
        <v>155</v>
      </c>
      <c r="B153" s="10" t="s">
        <v>51</v>
      </c>
      <c r="C153" s="10" t="s">
        <v>49</v>
      </c>
      <c r="D153" t="s">
        <v>611</v>
      </c>
      <c r="L153">
        <v>10</v>
      </c>
    </row>
    <row r="154" spans="1:17">
      <c r="A154" s="10" t="s">
        <v>155</v>
      </c>
      <c r="B154" s="10" t="s">
        <v>51</v>
      </c>
      <c r="C154" s="10" t="s">
        <v>49</v>
      </c>
      <c r="D154" s="10" t="s">
        <v>671</v>
      </c>
      <c r="E154" s="11"/>
      <c r="F154" s="11"/>
      <c r="G154" s="11"/>
      <c r="H154" s="11"/>
      <c r="I154" s="11"/>
      <c r="J154" s="11"/>
      <c r="K154" s="11">
        <v>6104</v>
      </c>
      <c r="L154" s="11">
        <v>2</v>
      </c>
      <c r="M154" s="27"/>
      <c r="Q154" s="27">
        <v>1.9499880000000001</v>
      </c>
    </row>
    <row r="155" spans="1:17">
      <c r="A155" s="10" t="s">
        <v>155</v>
      </c>
      <c r="B155" s="10" t="s">
        <v>51</v>
      </c>
      <c r="C155" s="10" t="s">
        <v>49</v>
      </c>
      <c r="D155" s="10" t="s">
        <v>672</v>
      </c>
      <c r="E155" s="11"/>
      <c r="F155" s="11"/>
      <c r="G155" s="11"/>
      <c r="H155" s="11"/>
      <c r="I155" s="11"/>
      <c r="J155" s="11"/>
      <c r="K155" s="11">
        <v>495</v>
      </c>
      <c r="L155" s="11">
        <v>2</v>
      </c>
      <c r="M155" s="27"/>
      <c r="Q155" s="27">
        <v>1.531164</v>
      </c>
    </row>
    <row r="156" spans="1:17">
      <c r="A156" s="10" t="s">
        <v>155</v>
      </c>
      <c r="B156" s="10" t="s">
        <v>51</v>
      </c>
      <c r="C156" s="10" t="s">
        <v>49</v>
      </c>
      <c r="D156" s="10" t="s">
        <v>673</v>
      </c>
      <c r="E156" s="11"/>
      <c r="F156" s="11"/>
      <c r="G156" s="11"/>
      <c r="H156" s="11"/>
      <c r="I156" s="11"/>
      <c r="J156" s="11"/>
      <c r="K156" s="11">
        <v>3299</v>
      </c>
      <c r="L156" s="11">
        <v>2</v>
      </c>
      <c r="M156" s="27"/>
      <c r="Q156" s="27">
        <v>1.7405759999999999</v>
      </c>
    </row>
    <row r="157" spans="1:17">
      <c r="A157" s="10" t="s">
        <v>155</v>
      </c>
      <c r="B157" s="10" t="s">
        <v>51</v>
      </c>
      <c r="C157" s="10" t="s">
        <v>49</v>
      </c>
      <c r="D157" s="10" t="s">
        <v>674</v>
      </c>
      <c r="E157" s="11"/>
      <c r="F157" s="11"/>
      <c r="G157" s="11"/>
      <c r="H157" s="11"/>
      <c r="I157" s="11"/>
      <c r="J157" s="11"/>
      <c r="K157" s="11">
        <v>2804</v>
      </c>
      <c r="L157" s="11">
        <v>2</v>
      </c>
      <c r="M157" s="27"/>
      <c r="Q157" s="27">
        <v>0.20941199999999999</v>
      </c>
    </row>
    <row r="158" spans="1:17">
      <c r="A158" s="10" t="s">
        <v>155</v>
      </c>
      <c r="B158" s="10" t="s">
        <v>51</v>
      </c>
      <c r="C158" s="10" t="s">
        <v>49</v>
      </c>
      <c r="D158" s="10" t="s">
        <v>675</v>
      </c>
      <c r="E158" s="11"/>
      <c r="F158" s="11"/>
      <c r="G158" s="11"/>
      <c r="H158" s="11"/>
      <c r="I158" s="11"/>
      <c r="J158" s="11"/>
      <c r="K158" s="11">
        <v>6599</v>
      </c>
      <c r="L158" s="11">
        <v>2</v>
      </c>
      <c r="M158" s="27"/>
      <c r="Q158" s="27">
        <v>3.4811519999999998</v>
      </c>
    </row>
    <row r="159" spans="1:17">
      <c r="A159" s="10" t="s">
        <v>155</v>
      </c>
      <c r="B159" s="10" t="s">
        <v>51</v>
      </c>
      <c r="C159" s="10" t="s">
        <v>49</v>
      </c>
      <c r="D159" s="10" t="s">
        <v>676</v>
      </c>
      <c r="Q159"/>
    </row>
    <row r="160" spans="1:17">
      <c r="A160" s="10" t="s">
        <v>155</v>
      </c>
      <c r="B160" s="10" t="s">
        <v>51</v>
      </c>
      <c r="C160" s="10" t="s">
        <v>49</v>
      </c>
      <c r="D160" s="10" t="s">
        <v>677</v>
      </c>
      <c r="E160" s="11"/>
      <c r="F160" s="11"/>
      <c r="G160" s="11"/>
      <c r="H160" s="11"/>
      <c r="I160" s="11"/>
      <c r="J160" s="11"/>
      <c r="K160" s="11">
        <v>1031</v>
      </c>
      <c r="L160" s="11">
        <v>1</v>
      </c>
      <c r="M160" s="27"/>
      <c r="Q160" s="27">
        <v>8.0669253152279339</v>
      </c>
    </row>
    <row r="161" spans="1:17">
      <c r="A161" s="10" t="s">
        <v>155</v>
      </c>
      <c r="B161" s="10" t="s">
        <v>51</v>
      </c>
      <c r="C161" s="10" t="s">
        <v>49</v>
      </c>
      <c r="D161" s="10" t="s">
        <v>678</v>
      </c>
      <c r="E161" s="11"/>
      <c r="F161" s="11"/>
      <c r="G161" s="11"/>
      <c r="H161" s="11"/>
      <c r="I161" s="11"/>
      <c r="J161" s="11"/>
      <c r="K161" s="11">
        <v>1031</v>
      </c>
      <c r="L161" s="11">
        <v>1</v>
      </c>
      <c r="M161" s="27"/>
      <c r="Q161" s="27">
        <v>8.0669253152279339</v>
      </c>
    </row>
    <row r="162" spans="1:17">
      <c r="A162" s="10" t="s">
        <v>155</v>
      </c>
      <c r="B162" s="10" t="s">
        <v>51</v>
      </c>
      <c r="C162" s="10" t="s">
        <v>49</v>
      </c>
      <c r="D162" s="10" t="s">
        <v>679</v>
      </c>
      <c r="E162" s="11"/>
      <c r="F162" s="11"/>
      <c r="G162" s="11"/>
      <c r="H162" s="11"/>
      <c r="I162" s="11"/>
      <c r="J162" s="11"/>
      <c r="K162" s="11">
        <v>1031</v>
      </c>
      <c r="L162" s="11">
        <v>1</v>
      </c>
      <c r="M162" s="27"/>
      <c r="Q162" s="27">
        <v>8.0669253152279339</v>
      </c>
    </row>
    <row r="163" spans="1:17">
      <c r="A163" s="10" t="s">
        <v>155</v>
      </c>
      <c r="B163" s="10" t="s">
        <v>51</v>
      </c>
      <c r="C163" s="10" t="s">
        <v>49</v>
      </c>
      <c r="D163" s="10" t="s">
        <v>680</v>
      </c>
      <c r="E163" s="11"/>
      <c r="F163" s="11"/>
      <c r="G163" s="11"/>
      <c r="H163" s="11"/>
      <c r="I163" s="11"/>
      <c r="J163" s="11"/>
      <c r="K163" s="11">
        <v>0</v>
      </c>
      <c r="L163" s="11">
        <v>1</v>
      </c>
      <c r="M163" s="27"/>
      <c r="Q163" s="27">
        <v>0</v>
      </c>
    </row>
    <row r="164" spans="1:17">
      <c r="A164" s="10" t="s">
        <v>155</v>
      </c>
      <c r="B164" s="10" t="s">
        <v>51</v>
      </c>
      <c r="C164" s="10" t="s">
        <v>49</v>
      </c>
      <c r="D164" s="10" t="s">
        <v>681</v>
      </c>
      <c r="E164" s="11"/>
      <c r="F164" s="11"/>
      <c r="G164" s="11"/>
      <c r="H164" s="11"/>
      <c r="I164" s="11"/>
      <c r="J164" s="11"/>
      <c r="K164" s="11">
        <v>1031</v>
      </c>
      <c r="L164" s="11">
        <v>1</v>
      </c>
      <c r="M164" s="27"/>
      <c r="Q164" s="27">
        <v>8.0669253152279339</v>
      </c>
    </row>
    <row r="165" spans="1:17">
      <c r="A165" s="10" t="s">
        <v>155</v>
      </c>
      <c r="B165" s="10" t="s">
        <v>51</v>
      </c>
      <c r="C165" s="10" t="s">
        <v>49</v>
      </c>
      <c r="D165" s="10" t="s">
        <v>682</v>
      </c>
      <c r="E165" s="11"/>
      <c r="F165" s="11"/>
      <c r="G165" s="11"/>
      <c r="H165" s="11"/>
      <c r="I165" s="11"/>
      <c r="J165" s="11"/>
      <c r="K165" s="11"/>
      <c r="L165" s="11">
        <v>1</v>
      </c>
      <c r="M165" s="27"/>
    </row>
    <row r="166" spans="1:17">
      <c r="A166" s="10" t="s">
        <v>155</v>
      </c>
      <c r="B166" s="10" t="s">
        <v>51</v>
      </c>
      <c r="C166" s="10" t="s">
        <v>49</v>
      </c>
      <c r="D166" s="10" t="s">
        <v>683</v>
      </c>
      <c r="E166" s="11"/>
      <c r="F166" s="11"/>
      <c r="G166" s="11"/>
      <c r="H166" s="11"/>
      <c r="I166" s="11"/>
      <c r="J166" s="11"/>
      <c r="K166" s="11">
        <v>6104</v>
      </c>
      <c r="L166" s="11">
        <v>3</v>
      </c>
      <c r="M166" s="27"/>
      <c r="Q166" s="27">
        <v>1.9499880000000001</v>
      </c>
    </row>
    <row r="167" spans="1:17">
      <c r="A167" s="10" t="s">
        <v>155</v>
      </c>
      <c r="B167" s="10" t="s">
        <v>51</v>
      </c>
      <c r="C167" s="10" t="s">
        <v>49</v>
      </c>
      <c r="D167" s="10" t="s">
        <v>684</v>
      </c>
      <c r="E167" s="11"/>
      <c r="F167" s="11"/>
      <c r="G167" s="11"/>
      <c r="H167" s="11"/>
      <c r="I167" s="11"/>
      <c r="J167" s="11"/>
      <c r="K167" s="11">
        <v>495</v>
      </c>
      <c r="L167" s="11">
        <v>3</v>
      </c>
      <c r="M167" s="27"/>
      <c r="Q167" s="27">
        <v>1.0016050000000001</v>
      </c>
    </row>
    <row r="168" spans="1:17">
      <c r="A168" s="10" t="s">
        <v>155</v>
      </c>
      <c r="B168" s="10" t="s">
        <v>51</v>
      </c>
      <c r="C168" s="10" t="s">
        <v>49</v>
      </c>
      <c r="D168" s="10" t="s">
        <v>685</v>
      </c>
      <c r="E168" s="11"/>
      <c r="F168" s="11"/>
      <c r="G168" s="11"/>
      <c r="H168" s="11"/>
      <c r="I168" s="11"/>
      <c r="J168" s="11"/>
      <c r="K168" s="11">
        <v>2452</v>
      </c>
      <c r="L168" s="11">
        <v>3</v>
      </c>
      <c r="M168" s="27"/>
      <c r="Q168" s="27">
        <v>1.4942523333333335</v>
      </c>
    </row>
    <row r="169" spans="1:17">
      <c r="A169" s="10" t="s">
        <v>155</v>
      </c>
      <c r="B169" s="10" t="s">
        <v>51</v>
      </c>
      <c r="C169" s="10" t="s">
        <v>49</v>
      </c>
      <c r="D169" s="10" t="s">
        <v>686</v>
      </c>
      <c r="E169" s="11"/>
      <c r="F169" s="11"/>
      <c r="G169" s="11"/>
      <c r="H169" s="11"/>
      <c r="I169" s="11"/>
      <c r="J169" s="11"/>
      <c r="K169" s="11">
        <v>2584</v>
      </c>
      <c r="L169" s="11">
        <v>3</v>
      </c>
      <c r="M169" s="27"/>
      <c r="Q169" s="27">
        <v>0.38805449103988199</v>
      </c>
    </row>
    <row r="170" spans="1:17">
      <c r="A170" s="10" t="s">
        <v>155</v>
      </c>
      <c r="B170" s="10" t="s">
        <v>51</v>
      </c>
      <c r="C170" s="10" t="s">
        <v>49</v>
      </c>
      <c r="D170" s="10" t="s">
        <v>687</v>
      </c>
      <c r="E170" s="11"/>
      <c r="F170" s="11"/>
      <c r="G170" s="11"/>
      <c r="H170" s="11"/>
      <c r="I170" s="11"/>
      <c r="J170" s="11"/>
      <c r="K170" s="11">
        <v>7356</v>
      </c>
      <c r="L170" s="11">
        <v>3</v>
      </c>
      <c r="M170" s="27"/>
      <c r="Q170" s="27">
        <v>4.4827570000000003</v>
      </c>
    </row>
    <row r="171" spans="1:17">
      <c r="A171" s="10" t="s">
        <v>155</v>
      </c>
      <c r="B171" s="10" t="s">
        <v>51</v>
      </c>
      <c r="C171" s="10" t="s">
        <v>49</v>
      </c>
      <c r="D171" t="s">
        <v>700</v>
      </c>
      <c r="K171" s="5">
        <v>8345</v>
      </c>
      <c r="L171" s="11">
        <v>3</v>
      </c>
    </row>
    <row r="172" spans="1:17">
      <c r="A172" s="10" t="s">
        <v>155</v>
      </c>
      <c r="B172" s="10" t="s">
        <v>51</v>
      </c>
      <c r="C172" s="10" t="s">
        <v>49</v>
      </c>
      <c r="D172" t="s">
        <v>701</v>
      </c>
      <c r="K172" s="11">
        <v>345</v>
      </c>
      <c r="L172" s="11">
        <v>3</v>
      </c>
    </row>
    <row r="173" spans="1:17">
      <c r="A173" s="10" t="s">
        <v>155</v>
      </c>
      <c r="B173" s="10" t="s">
        <v>51</v>
      </c>
      <c r="C173" s="10" t="s">
        <v>49</v>
      </c>
      <c r="D173" t="s">
        <v>702</v>
      </c>
      <c r="K173" s="11">
        <v>4567</v>
      </c>
      <c r="L173" s="11">
        <v>3</v>
      </c>
    </row>
    <row r="174" spans="1:17">
      <c r="A174" s="10" t="s">
        <v>155</v>
      </c>
      <c r="B174" s="10" t="s">
        <v>51</v>
      </c>
      <c r="C174" s="10" t="s">
        <v>49</v>
      </c>
      <c r="D174" t="s">
        <v>703</v>
      </c>
      <c r="K174" s="11">
        <v>34</v>
      </c>
      <c r="L174" s="11">
        <v>4</v>
      </c>
    </row>
    <row r="175" spans="1:17">
      <c r="A175" s="10" t="s">
        <v>155</v>
      </c>
      <c r="B175" s="10" t="s">
        <v>51</v>
      </c>
      <c r="C175" s="10" t="s">
        <v>49</v>
      </c>
      <c r="D175" t="s">
        <v>711</v>
      </c>
      <c r="K175" s="5">
        <v>7890</v>
      </c>
      <c r="L175" s="11">
        <v>4</v>
      </c>
    </row>
    <row r="176" spans="1:17">
      <c r="A176" s="10" t="s">
        <v>155</v>
      </c>
      <c r="B176" s="10" t="s">
        <v>51</v>
      </c>
      <c r="C176" s="10" t="s">
        <v>49</v>
      </c>
      <c r="D176" t="s">
        <v>712</v>
      </c>
      <c r="K176" s="11">
        <v>234</v>
      </c>
      <c r="L176" s="11">
        <v>4</v>
      </c>
    </row>
    <row r="177" spans="1:12">
      <c r="A177" s="10" t="s">
        <v>155</v>
      </c>
      <c r="B177" s="10" t="s">
        <v>51</v>
      </c>
      <c r="C177" s="10" t="s">
        <v>49</v>
      </c>
      <c r="D177" t="s">
        <v>713</v>
      </c>
      <c r="K177" s="11">
        <v>3456</v>
      </c>
      <c r="L177" s="11">
        <v>4</v>
      </c>
    </row>
    <row r="178" spans="1:12">
      <c r="A178" s="10" t="s">
        <v>155</v>
      </c>
      <c r="B178" s="10" t="s">
        <v>51</v>
      </c>
      <c r="C178" s="10" t="s">
        <v>49</v>
      </c>
      <c r="D178" t="s">
        <v>714</v>
      </c>
      <c r="K178" s="11">
        <v>45</v>
      </c>
      <c r="L178" s="11">
        <v>4</v>
      </c>
    </row>
  </sheetData>
  <autoFilter ref="A1:M170"/>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7" customWidth="1"/>
    <col min="12" max="12" width="12.88671875" style="27" customWidth="1"/>
    <col min="13" max="13" width="14" style="27" customWidth="1"/>
    <col min="14" max="16384" width="8.664062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47</vt:i4>
      </vt:variant>
    </vt:vector>
  </HeadingPairs>
  <TitlesOfParts>
    <vt:vector size="47" baseType="lpstr">
      <vt:lpstr>Global Filters</vt:lpstr>
      <vt:lpstr>OS-Machine Info</vt:lpstr>
      <vt:lpstr>Node Information</vt:lpstr>
      <vt:lpstr>Ring Token Ranges</vt:lpstr>
      <vt:lpstr>Settings-Yamls</vt:lpstr>
      <vt:lpstr>DDL Keyspaces</vt:lpstr>
      <vt:lpstr>DDL Tables</vt:lpstr>
      <vt:lpstr>Read</vt:lpstr>
      <vt:lpstr>Read by Node</vt:lpstr>
      <vt:lpstr>SSTables</vt:lpstr>
      <vt:lpstr>Write</vt:lpstr>
      <vt:lpstr>Write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2017-03-31T01:11:19Z</dcterms:modified>
</cp:coreProperties>
</file>