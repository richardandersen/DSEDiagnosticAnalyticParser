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AntiCompaction" sheetId="51" r:id="rId22"/>
    <sheet name="AntiCompaction by Node" sheetId="53" r:id="rId23"/>
    <sheet name="Droppable" sheetId="26" r:id="rId24"/>
    <sheet name="Storage-Size" sheetId="15" r:id="rId25"/>
    <sheet name="Hints" sheetId="50" r:id="rId26"/>
    <sheet name="Batches" sheetId="33" r:id="rId27"/>
    <sheet name="Histogram - Read" sheetId="36" r:id="rId28"/>
    <sheet name="Histogram - SSTables" sheetId="45" r:id="rId29"/>
    <sheet name="Histogram - Write" sheetId="37" r:id="rId30"/>
    <sheet name="Histogram - Cell Counts" sheetId="38" r:id="rId31"/>
    <sheet name="Histogram - Partition" sheetId="44" r:id="rId32"/>
    <sheet name="Cassandra Log Exceptions" sheetId="47" r:id="rId33"/>
    <sheet name="Cassandra Summary Logs" sheetId="39" r:id="rId34"/>
    <sheet name="Application" sheetId="27" r:id="rId35"/>
    <sheet name="--Marker--" sheetId="42" r:id="rId36"/>
    <sheet name="Read Repair History" sheetId="49" r:id="rId37"/>
    <sheet name="CFStats" sheetId="4" r:id="rId38"/>
    <sheet name="NodeStats" sheetId="16" r:id="rId39"/>
    <sheet name="TableHistogram" sheetId="32" r:id="rId40"/>
  </sheets>
  <definedNames>
    <definedName name="_xlnm._FilterDatabase" localSheetId="33" hidden="1">'Cassandra Summary Logs'!$A$2:$H$2</definedName>
    <definedName name="_xlnm._FilterDatabase" localSheetId="37" hidden="1">CFStats!$A$1:$K$68</definedName>
    <definedName name="_xlnm._FilterDatabase" localSheetId="5" hidden="1">'DDL Keyspaces'!$A$1:$E$1</definedName>
    <definedName name="_xlnm._FilterDatabase" localSheetId="38" hidden="1">NodeStats!$A$1:$M$130</definedName>
    <definedName name="_xlnm._FilterDatabase" localSheetId="4" hidden="1">'Settings-Yamls'!$A$1:$E$1</definedName>
    <definedName name="_xlnm._FilterDatabase" localSheetId="39"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945" r:id="rId41"/>
    <pivotCache cacheId="946" r:id="rId42"/>
    <pivotCache cacheId="947" r:id="rId43"/>
    <pivotCache cacheId="948" r:id="rId44"/>
    <pivotCache cacheId="949" r:id="rId45"/>
    <pivotCache cacheId="950" r:id="rId46"/>
    <pivotCache cacheId="951" r:id="rId47"/>
  </pivotCaches>
  <extLst>
    <ext xmlns:x14="http://schemas.microsoft.com/office/spreadsheetml/2009/9/main" uri="{BBE1A952-AA13-448e-AADC-164F8A28A991}">
      <x14:slicerCaches>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<sst xmlns="http://schemas.openxmlformats.org/spreadsheetml/2006/main" count="3882" uniqueCount="645">
  <si>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</si>
  <si>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</si>
  <si>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</si>
  <si>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</si>
  <si>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</si>
  <si>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</si>
  <si>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</si>
  <si>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</si>
  <si>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</si>
  <si>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</si>
  <si>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</si>
  <si>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</si>
  <si>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</si>
  <si>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</si>
  <si>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</si>
  <si>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</si>
  <si>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</si>
  <si>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</si>
  <si>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</si>
  <si>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</si>
  <si>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</si>
  <si>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</si>
  <si>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</si>
  <si>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</si>
  <si>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</si>
  <si>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</si>
  <si>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</si>
  <si>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</si>
  <si>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</si>
  <si>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</si>
  <si>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</si>
  <si>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</si>
  <si>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</si>
  <si>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</si>
  <si>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</si>
  <si>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</si>
  <si>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</si>
  <si>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</si>
  <si>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</si>
  <si>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</si>
  <si>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</si>
  <si>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</si>
  <si>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</si>
  <si>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</si>
  <si>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</si>
  <si>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</si>
  <si>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</si>
  <si>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</si>
  <si>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</si>
  <si>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</si>
  <si>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</si>
  <si>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</si>
  <si>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</si>
  <si>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</si>
  <si>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</si>
  <si>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</si>
  <si>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</si>
  <si>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</si>
  <si>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</si>
  <si>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</si>
  <si>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</si>
  <si>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</si>
  <si>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</si>
  <si>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</si>
  <si>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</si>
  <si>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</si>
  <si>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</si>
  <si>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</si>
  <si>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</si>
  <si>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</si>
  <si>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</si>
  <si>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</si>
  <si>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</si>
  <si>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</si>
  <si>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</si>
  <si>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</si>
  <si>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</si>
  <si>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</si>
  <si>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</si>
  <si>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</si>
  <si>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</si>
  <si>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</si>
  <si>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</si>
  <si>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</si>
  <si>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</si>
  <si>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</si>
  <si>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</si>
  <si>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</si>
  <si>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</si>
  <si>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</si>
  <si>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</si>
  <si>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</si>
  <si>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</si>
  <si>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</si>
  <si>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</si>
  <si>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</si>
  <si>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</si>
  <si>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</si>
  <si>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</si>
  <si>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</si>
  <si>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</si>
  <si>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</si>
  <si>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</si>
  <si>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</si>
  <si>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</si>
  <si>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</si>
  <si>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</si>
  <si>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</si>
  <si>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</si>
  <si>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</si>
  <si>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</si>
  <si>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</si>
  <si>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</si>
  <si>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</si>
  <si>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</si>
  <si>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</si>
  <si>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</si>
  <si>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</si>
  <si>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</si>
  <si>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</si>
  <si>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</si>
  <si>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</si>
  <si>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</si>
  <si>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</si>
  <si>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</si>
  <si>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</si>
  <si>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</si>
  <si>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</si>
  <si>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</si>
  <si>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</si>
  <si>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</si>
  <si>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</si>
  <si>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</si>
  <si>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</si>
  <si>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</si>
  <si>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</si>
  <si>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</si>
  <si>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</si>
  <si>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</si>
  <si>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</si>
  <si>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</si>
  <si>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</si>
  <si>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</si>
  <si>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</si>
  <si>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</si>
  <si>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</si>
  <si>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</si>
  <si>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</si>
  <si>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</si>
  <si>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</si>
  <si>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</si>
  <si>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</si>
  <si>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</si>
  <si>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</si>
  <si>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</si>
  <si>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</si>
  <si>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</si>
  <si>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</si>
  <si>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</si>
  <si>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</si>
  <si>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</si>
  <si>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</si>
  <si>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</si>
  <si>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</si>
  <si>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</si>
  <si>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</si>
  <si>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</si>
  <si>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</si>
  <si>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</si>
  <si>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</si>
  <si>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</si>
  <si>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</si>
  <si>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</si>
  <si>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</si>
  <si>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</si>
  <si>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</si>
  <si>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</si>
  <si>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</si>
  <si>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</si>
  <si>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</si>
  <si>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</si>
  <si>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</si>
  <si>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</si>
  <si>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</si>
  <si>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</si>
  <si>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</si>
  <si>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</si>
  <si>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</si>
  <si>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</si>
  <si>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</si>
  <si>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</si>
  <si>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</si>
  <si>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</si>
  <si>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</si>
  <si>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</si>
  <si>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</si>
  <si>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</si>
  <si>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</si>
  <si>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</si>
  <si>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</si>
  <si>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</si>
  <si>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</si>
  <si>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</si>
  <si>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</si>
  <si>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</si>
  <si>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</si>
  <si>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</si>
  <si>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</si>
  <si>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</si>
  <si>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</si>
  <si>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</si>
  <si>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</si>
  <si>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</si>
  <si>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</si>
  <si>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</si>
  <si>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</si>
  <si>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</si>
  <si>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</si>
  <si>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</si>
  <si>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</si>
  <si>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</si>
  <si>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</si>
  <si>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</si>
  <si>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</si>
  <si>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</si>
  <si>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</si>
  <si>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</si>
  <si>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</si>
  <si>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</si>
  <si>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</si>
  <si>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</si>
  <si>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</si>
  <si>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</si>
  <si>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</si>
  <si>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</si>
  <si>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</si>
  <si>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</si>
  <si>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</si>
  <si>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</si>
  <si>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</si>
  <si>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</si>
  <si>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</si>
  <si>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</si>
  <si>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</si>
  <si>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</si>
  <si>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</si>
  <si>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</si>
  <si>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</si>
  <si>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</si>
  <si>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</si>
  <si>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</si>
  <si>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</si>
  <si>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</si>
  <si>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</si>
  <si>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</si>
  <si>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</si>
  <si>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</si>
  <si>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</si>
  <si>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</si>
  <si>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</si>
  <si>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</si>
  <si>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</si>
  <si>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</si>
  <si>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</si>
  <si>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</si>
  <si>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</si>
  <si>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</si>
  <si>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</si>
  <si>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</si>
  <si>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</si>
  <si>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</si>
  <si>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</si>
  <si>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</si>
  <si>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</si>
  <si>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</si>
  <si>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</si>
  <si>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</si>
  <si>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</si>
  <si>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</si>
  <si>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</si>
  <si>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</si>
  <si>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</si>
  <si>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</si>
  <si>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</si>
  <si>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</si>
  <si>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</si>
  <si>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</si>
  <si>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</si>
  <si>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</si>
  <si>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</si>
  <si>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</si>
  <si>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</si>
  <si>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</si>
  <si>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</si>
  <si>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</si>
  <si>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</si>
  <si>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</si>
  <si>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</si>
  <si>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</si>
  <si>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</si>
  <si>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</si>
  <si>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</si>
  <si>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</si>
  <si>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</si>
  <si>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</si>
  <si>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</si>
  <si>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</si>
  <si>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</si>
  <si>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</si>
  <si>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</si>
  <si>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</si>
  <si>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</si>
  <si>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</si>
  <si>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</si>
  <si>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</si>
  <si>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</si>
  <si>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</si>
  <si>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</si>
  <si>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</si>
  <si>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</si>
  <si>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</si>
  <si>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</si>
  <si>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</si>
  <si>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</si>
  <si>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</si>
  <si>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</si>
  <si>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</si>
  <si>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</si>
  <si>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</si>
  <si>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</si>
  <si>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</si>
  <si>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</si>
  <si>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</si>
  <si>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</si>
  <si>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</si>
  <si>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</si>
  <si>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</si>
  <si>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</si>
  <si>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</si>
  <si>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</si>
  <si>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</si>
  <si>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</si>
  <si>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</si>
  <si>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</si>
  <si>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</si>
  <si>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</si>
  <si>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</si>
  <si>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</si>
  <si>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</si>
  <si>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</si>
  <si>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</si>
  <si>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</si>
  <si>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</si>
  <si>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</si>
  <si>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</si>
  <si>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</si>
  <si>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</si>
  <si>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</si>
  <si>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</si>
  <si>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</si>
  <si>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</si>
  <si>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</si>
  <si>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</si>
  <si>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</si>
  <si>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</si>
  <si>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</si>
  <si>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</si>
  <si>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</si>
  <si>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</si>
  <si>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</si>
  <si>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</si>
  <si>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</si>
  <si>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</si>
  <si>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</si>
  <si>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</si>
  <si>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</si>
  <si>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</si>
  <si>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</si>
  <si>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</si>
  <si>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</si>
  <si>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</si>
  <si>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</si>
  <si>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</si>
  <si>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</si>
  <si>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</si>
  <si>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</si>
  <si>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</si>
  <si>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</si>
  <si>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</si>
  <si>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</si>
  <si>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</si>
  <si>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</si>
  <si>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</si>
  <si>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</si>
  <si>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</si>
  <si>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</si>
  <si>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</si>
  <si>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</si>
  <si>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</si>
  <si>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</si>
  <si>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</si>
  <si>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</si>
  <si>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</si>
  <si>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</si>
  <si>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</si>
  <si>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</si>
  <si>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</si>
  <si>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</si>
  <si>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</si>
  <si>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</si>
  <si>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</si>
  <si>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</si>
  <si>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</si>
  <si>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</si>
  <si>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</si>
  <si>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</si>
  <si>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</si>
  <si>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</si>
  <si>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</si>
  <si>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</si>
  <si>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</si>
  <si>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</si>
  <si>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</si>
  <si>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</si>
  <si>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</si>
  <si>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</si>
  <si>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</si>
  <si>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</si>
  <si>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</si>
  <si>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</si>
  <si>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</si>
  <si>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</si>
  <si>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</si>
  <si>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</si>
  <si>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</si>
  <si>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</si>
  <si>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</si>
  <si>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</si>
  <si>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</si>
  <si>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</si>
  <si>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</si>
  <si>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</si>
  <si>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</si>
  <si>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</si>
  <si>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</si>
  <si>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</si>
  <si>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</si>
  <si>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</si>
  <si>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</si>
  <si>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</si>
  <si>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</si>
  <si>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</si>
  <si>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</si>
  <si>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</si>
  <si>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</si>
  <si>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</si>
  <si>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</si>
  <si>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</si>
  <si>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</si>
  <si>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</si>
  <si>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</si>
  <si>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</si>
  <si>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</si>
  <si>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</si>
  <si>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</si>
  <si>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</si>
  <si>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</si>
  <si>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</si>
  <si>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</si>
  <si>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</si>
  <si>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</si>
  <si>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</si>
  <si>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</si>
  <si>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</si>
  <si>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</si>
  <si>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</si>
  <si>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</si>
  <si>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</si>
  <si>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</si>
  <si>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</si>
  <si>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</si>
  <si>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</si>
  <si>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</si>
  <si>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</si>
  <si>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</si>
  <si>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</si>
  <si>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</si>
  <si>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</si>
  <si>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</si>
  <si>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</si>
  <si>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</si>
  <si>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</si>
  <si>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</si>
  <si>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</si>
  <si>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</si>
  <si>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</si>
  <si>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</si>
  <si>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</si>
  <si>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</si>
  <si>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</si>
  <si>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</si>
  <si>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</si>
  <si>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</si>
  <si>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</si>
  <si>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</si>
  <si>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</si>
  <si>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</si>
  <si>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</si>
  <si>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</si>
  <si>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</si>
  <si>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</si>
  <si>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</si>
  <si>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</si>
  <si>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</si>
  <si>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</si>
  <si>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</si>
  <si>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</si>
  <si>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</si>
  <si>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</si>
  <si>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</si>
  <si>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</si>
  <si>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</si>
  <si>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</si>
  <si>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</si>
  <si>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</si>
  <si>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</si>
  <si>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</si>
  <si>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</si>
  <si>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</si>
  <si>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</si>
  <si>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</si>
  <si>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</si>
  <si>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</si>
  <si>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</si>
  <si>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</si>
  <si>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</si>
  <si>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</si>
  <si>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</si>
  <si>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</si>
  <si>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</si>
  <si>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</si>
  <si>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</si>
  <si>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</si>
  <si>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</si>
  <si>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</si>
  <si>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</si>
  <si>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</si>
  <si>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</si>
  <si>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</si>
  <si>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</si>
  <si>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</si>
  <si>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</si>
  <si>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</si>
  <si>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</si>
  <si>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</si>
  <si>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</si>
  <si>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</si>
  <si>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</si>
  <si>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</si>
  <si>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</si>
  <si>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</si>
  <si>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</si>
  <si>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</si>
  <si>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</si>
  <si>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</si>
  <si>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</si>
  <si>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</si>
  <si>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</si>
  <si>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</si>
  <si>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</si>
  <si>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</si>
  <si>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</si>
  <si>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</si>
  <si>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</si>
  <si>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</si>
  <si>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</si>
  <si>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</si>
  <si>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</si>
  <si>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</si>
  <si>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</si>
  <si>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</si>
  <si>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</si>
  <si>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</si>
  <si>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</si>
  <si>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</si>
  <si>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</si>
  <si>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</si>
  <si>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</si>
  <si>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</si>
  <si>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</si>
  <si>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</si>
  <si>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</si>
  <si>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</si>
  <si>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</si>
  <si>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</si>
  <si>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</si>
  <si>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</si>
  <si>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</si>
  <si>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</si>
  <si>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</si>
  <si>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</si>
  <si>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</si>
  <si>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</si>
  <si>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</si>
  <si>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</si>
  <si>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</si>
  <si>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</si>
  <si>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</si>
  <si>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</si>
  <si>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</si>
  <si>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</si>
  <si>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</si>
  <si>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</si>
  <si>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</si>
  <si>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</si>
  <si>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</si>
  <si>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</si>
  <si>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</si>
  <si>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</si>
  <si>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</si>
  <si>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10.12.50.10</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</si>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</sst>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87">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cellXfs>
  <cellStyles count="2">
    <cellStyle name="Normal" xfId="0" builtinId="0"/>
    <cellStyle name="Normal 2" xfId="1"/>
  </cellStyles>
  <dxfs count="362">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openxmlformats.org/officeDocument/2006/relationships/pivotCacheDefinition" Target="pivotCache/pivotCacheDefinition7.xml"/><Relationship Id="rId50" Type="http://schemas.microsoft.com/office/2007/relationships/slicerCache" Target="slicerCaches/slicerCache3.xml"/><Relationship Id="rId55" Type="http://schemas.microsoft.com/office/2007/relationships/slicerCache" Target="slicerCaches/slicerCache8.xml"/><Relationship Id="rId63" Type="http://schemas.microsoft.com/office/2007/relationships/slicerCache" Target="slicerCaches/slicerCache16.xml"/><Relationship Id="rId68" Type="http://schemas.microsoft.com/office/2007/relationships/slicerCache" Target="slicerCaches/slicerCache21.xml"/><Relationship Id="rId76" Type="http://schemas.microsoft.com/office/2006/relationships/vbaProject" Target="vbaProject.bin"/><Relationship Id="rId7" Type="http://schemas.openxmlformats.org/officeDocument/2006/relationships/worksheet" Target="worksheets/sheet7.xml"/><Relationship Id="rId71" Type="http://schemas.microsoft.com/office/2007/relationships/slicerCache" Target="slicerCaches/slicerCache24.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5.xml"/><Relationship Id="rId53" Type="http://schemas.microsoft.com/office/2007/relationships/slicerCache" Target="slicerCaches/slicerCache6.xml"/><Relationship Id="rId58" Type="http://schemas.microsoft.com/office/2007/relationships/slicerCache" Target="slicerCaches/slicerCache11.xml"/><Relationship Id="rId66" Type="http://schemas.microsoft.com/office/2007/relationships/slicerCache" Target="slicerCaches/slicerCache19.xml"/><Relationship Id="rId7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2.xml"/><Relationship Id="rId57" Type="http://schemas.microsoft.com/office/2007/relationships/slicerCache" Target="slicerCaches/slicerCache10.xml"/><Relationship Id="rId61" Type="http://schemas.microsoft.com/office/2007/relationships/slicerCache" Target="slicerCaches/slicerCache1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4.xml"/><Relationship Id="rId52" Type="http://schemas.microsoft.com/office/2007/relationships/slicerCache" Target="slicerCaches/slicerCache5.xml"/><Relationship Id="rId60" Type="http://schemas.microsoft.com/office/2007/relationships/slicerCache" Target="slicerCaches/slicerCache13.xml"/><Relationship Id="rId65" Type="http://schemas.microsoft.com/office/2007/relationships/slicerCache" Target="slicerCaches/slicerCache18.xml"/><Relationship Id="rId7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3.xml"/><Relationship Id="rId48" Type="http://schemas.microsoft.com/office/2007/relationships/slicerCache" Target="slicerCaches/slicerCache1.xml"/><Relationship Id="rId56" Type="http://schemas.microsoft.com/office/2007/relationships/slicerCache" Target="slicerCaches/slicerCache9.xml"/><Relationship Id="rId64" Type="http://schemas.microsoft.com/office/2007/relationships/slicerCache" Target="slicerCaches/slicerCache17.xml"/><Relationship Id="rId69" Type="http://schemas.microsoft.com/office/2007/relationships/slicerCache" Target="slicerCaches/slicerCache22.xml"/><Relationship Id="rId8" Type="http://schemas.openxmlformats.org/officeDocument/2006/relationships/worksheet" Target="worksheets/sheet8.xml"/><Relationship Id="rId51" Type="http://schemas.microsoft.com/office/2007/relationships/slicerCache" Target="slicerCaches/slicerCache4.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6.xml"/><Relationship Id="rId59" Type="http://schemas.microsoft.com/office/2007/relationships/slicerCache" Target="slicerCaches/slicerCache12.xml"/><Relationship Id="rId67" Type="http://schemas.microsoft.com/office/2007/relationships/slicerCache" Target="slicerCaches/slicerCache20.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 Id="rId54" Type="http://schemas.microsoft.com/office/2007/relationships/slicerCache" Target="slicerCaches/slicerCache7.xml"/><Relationship Id="rId62" Type="http://schemas.microsoft.com/office/2007/relationships/slicerCache" Target="slicerCaches/slicerCache15.xml"/><Relationship Id="rId70" Type="http://schemas.microsoft.com/office/2007/relationships/slicerCache" Target="slicerCaches/slicerCache23.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6.79437152778"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10.12.50.10"/>
        <m/>
        <s v="0.0.0.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36.432389236114"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91">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4"/>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r>
    <x v="3"/>
    <x v="1"/>
    <x v="1"/>
    <x v="1"/>
    <x v="0"/>
    <x v="88"/>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LatencyMax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LatencyMax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TPReadNbr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61">
      <pivotArea collapsedLevelsAreSubtotals="1" fieldPosition="0">
        <references count="2">
          <reference field="4294967294" count="1" selected="0">
            <x v="0"/>
          </reference>
          <reference field="2" count="1">
            <x v="0"/>
          </reference>
        </references>
      </pivotArea>
    </format>
    <format dxfId="36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Count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TPWriteNbrbyNode" cacheId="94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8">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9"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8"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SlowQueryOccurrences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5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95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m="1" x="2"/>
        <item sd="0" x="1"/>
        <item sd="0" x="0"/>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v="1"/>
    </i>
    <i>
      <x v="2"/>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57">
      <pivotArea field="3" type="button" dataOnly="0" labelOnly="1" outline="0" axis="axisRow" fieldPosition="0"/>
    </format>
    <format dxfId="356">
      <pivotArea dataOnly="0" labelOnly="1" outline="0" fieldPosition="0">
        <references count="1">
          <reference field="4294967294" count="9">
            <x v="0"/>
            <x v="1"/>
            <x v="2"/>
            <x v="3"/>
            <x v="5"/>
            <x v="7"/>
            <x v="9"/>
            <x v="10"/>
            <x v="11"/>
          </reference>
        </references>
      </pivotArea>
    </format>
    <format dxfId="355">
      <pivotArea outline="0" fieldPosition="0">
        <references count="1">
          <reference field="4294967294" count="1">
            <x v="6"/>
          </reference>
        </references>
      </pivotArea>
    </format>
    <format dxfId="354">
      <pivotArea outline="0" fieldPosition="0">
        <references count="1">
          <reference field="4294967294" count="1">
            <x v="8"/>
          </reference>
        </references>
      </pivotArea>
    </format>
    <format dxfId="353">
      <pivotArea dataOnly="0" labelOnly="1" outline="0" fieldPosition="0">
        <references count="1">
          <reference field="4294967294" count="1">
            <x v="8"/>
          </reference>
        </references>
      </pivotArea>
    </format>
    <format dxfId="352">
      <pivotArea dataOnly="0" labelOnly="1" outline="0" fieldPosition="0">
        <references count="1">
          <reference field="4294967294" count="1">
            <x v="6"/>
          </reference>
        </references>
      </pivotArea>
    </format>
    <format dxfId="351">
      <pivotArea collapsedLevelsAreSubtotals="1" fieldPosition="0">
        <references count="2">
          <reference field="4294967294" count="1" selected="0">
            <x v="3"/>
          </reference>
          <reference field="3" count="1">
            <x v="0"/>
          </reference>
        </references>
      </pivotArea>
    </format>
    <format dxfId="350">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0">
      <pivotArea dataOnly="0" labelOnly="1" outline="0" axis="axisValues" fieldPosition="0"/>
    </format>
    <format dxfId="339">
      <pivotArea dataOnly="0" outline="0" axis="axisValues" fieldPosition="0"/>
    </format>
    <format dxfId="3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3">
      <pivotArea dataOnly="0" labelOnly="1" outline="0" fieldPosition="0">
        <references count="1">
          <reference field="4294967294" count="1">
            <x v="0"/>
          </reference>
        </references>
      </pivotArea>
    </format>
    <format dxfId="34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2"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6"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6">
      <pivotArea dataOnly="0" labelOnly="1" outline="0" fieldPosition="0">
        <references count="1">
          <reference field="4294967294" count="1">
            <x v="0"/>
          </reference>
        </references>
      </pivotArea>
    </format>
    <format dxfId="34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9">
      <pivotArea dataOnly="0" labelOnly="1" outline="0" fieldPosition="0">
        <references count="1">
          <reference field="4294967294" count="1">
            <x v="1"/>
          </reference>
        </references>
      </pivotArea>
    </format>
    <format dxfId="34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7">
      <pivotArea dataOnly="0" labelOnly="1" outline="0" axis="axisValues" fieldPosition="0"/>
    </format>
    <format dxfId="326">
      <pivotArea dataOnly="0"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6"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0">
      <pivotArea dataOnly="0" labelOnly="1" outline="0" fieldPosition="0">
        <references count="1">
          <reference field="4294967294" count="1">
            <x v="1"/>
          </reference>
        </references>
      </pivotArea>
    </format>
    <format dxfId="32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2"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3" cacheId="9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3">
      <pivotArea dataOnly="0" labelOnly="1" outline="0" fieldPosition="0">
        <references count="1">
          <reference field="4294967294" count="1">
            <x v="0"/>
          </reference>
        </references>
      </pivotArea>
    </format>
    <format dxfId="33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4"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7">
      <pivotArea dataOnly="0" labelOnly="1" outline="0" fieldPosition="0">
        <references count="1">
          <reference field="4294967294" count="1">
            <x v="1"/>
          </reference>
        </references>
      </pivotArea>
    </format>
    <format dxfId="33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0"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9"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5"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2"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9"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8"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7"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8"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9"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7"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8"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2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9"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7"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7"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0"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9"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8"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3"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0"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4"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7"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5"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8"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3"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1"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2"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2"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5"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3" cacheId="94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3"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2">
      <pivotArea dataOnly="0" labelOnly="1" outline="0" axis="axisValues" fieldPosition="0"/>
    </format>
    <format dxfId="311">
      <pivotArea dataOnly="0"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2"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6"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5"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5">
      <pivotArea dataOnly="0" labelOnly="1" outline="0" axis="axisValues" fieldPosition="0"/>
    </format>
    <format dxfId="314">
      <pivotArea dataOnly="0" outline="0" axis="axisValues" fieldPosition="0"/>
    </format>
    <format dxfId="31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4"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7">
      <pivotArea dataOnly="0" labelOnly="1" outline="0" axis="axisValues" fieldPosition="0"/>
    </format>
    <format dxfId="31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 cacheId="9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9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8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89"/>
        <item m="1" x="90"/>
        <item x="77"/>
        <item x="78"/>
        <item x="79"/>
        <item x="80"/>
        <item x="81"/>
        <item x="82"/>
        <item x="83"/>
        <item x="84"/>
        <item x="85"/>
        <item x="86"/>
        <item x="87"/>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9">
      <pivotArea dataOnly="0" labelOnly="1" outline="0" axis="axisValues" fieldPosition="0"/>
    </format>
    <format dxfId="3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4"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91">
      <pivotArea dataOnly="0" labelOnly="1" outline="0" fieldPosition="0">
        <references count="1">
          <reference field="4294967294" count="3">
            <x v="3"/>
            <x v="4"/>
            <x v="5"/>
          </reference>
        </references>
      </pivotArea>
    </format>
    <format dxfId="290">
      <pivotArea dataOnly="0" labelOnly="1" outline="0" fieldPosition="0">
        <references count="1">
          <reference field="4294967294" count="3">
            <x v="9"/>
            <x v="10"/>
            <x v="11"/>
          </reference>
        </references>
      </pivotArea>
    </format>
    <format dxfId="289">
      <pivotArea dataOnly="0" labelOnly="1" outline="0" fieldPosition="0">
        <references count="1">
          <reference field="4294967294" count="3">
            <x v="15"/>
            <x v="16"/>
            <x v="17"/>
          </reference>
        </references>
      </pivotArea>
    </format>
    <format dxfId="288">
      <pivotArea field="4" type="button" dataOnly="0" labelOnly="1" outline="0" axis="axisPage" fieldPosition="2"/>
    </format>
    <format dxfId="287">
      <pivotArea dataOnly="0" labelOnly="1" fieldPosition="0">
        <references count="1">
          <reference field="4" count="1">
            <x v="0"/>
          </reference>
        </references>
      </pivotArea>
    </format>
    <format dxfId="286">
      <pivotArea dataOnly="0" labelOnly="1" outline="0" fieldPosition="0">
        <references count="1">
          <reference field="4294967294" count="1">
            <x v="0"/>
          </reference>
        </references>
      </pivotArea>
    </format>
    <format dxfId="285">
      <pivotArea field="4" type="button" dataOnly="0" labelOnly="1" outline="0" axis="axisPage" fieldPosition="2"/>
    </format>
    <format dxfId="284">
      <pivotArea field="2" type="button" dataOnly="0" labelOnly="1" outline="0" axis="axisRow" fieldPosition="0"/>
    </format>
    <format dxfId="283">
      <pivotArea dataOnly="0" labelOnly="1" fieldPosition="0">
        <references count="1">
          <reference field="2" count="1">
            <x v="0"/>
          </reference>
        </references>
      </pivotArea>
    </format>
    <format dxfId="282">
      <pivotArea dataOnly="0" labelOnly="1" grandRow="1" outline="0" fieldPosition="0"/>
    </format>
    <format dxfId="281">
      <pivotArea outline="0" collapsedLevelsAreSubtotals="1" fieldPosition="0">
        <references count="1">
          <reference field="4294967294" count="1" selected="0">
            <x v="3"/>
          </reference>
        </references>
      </pivotArea>
    </format>
    <format dxfId="280">
      <pivotArea dataOnly="0" labelOnly="1" outline="0" fieldPosition="0">
        <references count="1">
          <reference field="4294967294" count="1">
            <x v="3"/>
          </reference>
        </references>
      </pivotArea>
    </format>
    <format dxfId="279">
      <pivotArea outline="0" collapsedLevelsAreSubtotals="1" fieldPosition="0">
        <references count="1">
          <reference field="4294967294" count="1" selected="0">
            <x v="6"/>
          </reference>
        </references>
      </pivotArea>
    </format>
    <format dxfId="278">
      <pivotArea dataOnly="0" labelOnly="1" outline="0" fieldPosition="0">
        <references count="1">
          <reference field="4294967294" count="1">
            <x v="6"/>
          </reference>
        </references>
      </pivotArea>
    </format>
    <format dxfId="277">
      <pivotArea outline="0" collapsedLevelsAreSubtotals="1" fieldPosition="0">
        <references count="1">
          <reference field="4294967294" count="1" selected="0">
            <x v="9"/>
          </reference>
        </references>
      </pivotArea>
    </format>
    <format dxfId="276">
      <pivotArea dataOnly="0" labelOnly="1" outline="0" fieldPosition="0">
        <references count="1">
          <reference field="4294967294" count="1">
            <x v="9"/>
          </reference>
        </references>
      </pivotArea>
    </format>
    <format dxfId="275">
      <pivotArea outline="0" collapsedLevelsAreSubtotals="1" fieldPosition="0">
        <references count="1">
          <reference field="4294967294" count="1" selected="0">
            <x v="12"/>
          </reference>
        </references>
      </pivotArea>
    </format>
    <format dxfId="274">
      <pivotArea dataOnly="0" labelOnly="1" outline="0" fieldPosition="0">
        <references count="1">
          <reference field="4294967294" count="1">
            <x v="12"/>
          </reference>
        </references>
      </pivotArea>
    </format>
    <format dxfId="273">
      <pivotArea outline="0" collapsedLevelsAreSubtotals="1" fieldPosition="0">
        <references count="1">
          <reference field="4294967294" count="1" selected="0">
            <x v="15"/>
          </reference>
        </references>
      </pivotArea>
    </format>
    <format dxfId="272">
      <pivotArea dataOnly="0" labelOnly="1" outline="0" fieldPosition="0">
        <references count="1">
          <reference field="4294967294" count="1">
            <x v="15"/>
          </reference>
        </references>
      </pivotArea>
    </format>
    <format dxfId="271">
      <pivotArea outline="0" collapsedLevelsAreSubtotals="1" fieldPosition="0">
        <references count="1">
          <reference field="4294967294" count="1" selected="0">
            <x v="17"/>
          </reference>
        </references>
      </pivotArea>
    </format>
    <format dxfId="27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0"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09">
      <pivotArea outline="0" collapsedLevelsAreSubtotals="1" fieldPosition="0">
        <references count="1">
          <reference field="4294967294" count="1" selected="0">
            <x v="3"/>
          </reference>
        </references>
      </pivotArea>
    </format>
    <format dxfId="308">
      <pivotArea dataOnly="0" labelOnly="1" outline="0" fieldPosition="0">
        <references count="1">
          <reference field="4294967294" count="1">
            <x v="3"/>
          </reference>
        </references>
      </pivotArea>
    </format>
    <format dxfId="307">
      <pivotArea outline="0" collapsedLevelsAreSubtotals="1" fieldPosition="0">
        <references count="1">
          <reference field="4294967294" count="1" selected="0">
            <x v="6"/>
          </reference>
        </references>
      </pivotArea>
    </format>
    <format dxfId="306">
      <pivotArea dataOnly="0" labelOnly="1" outline="0" fieldPosition="0">
        <references count="1">
          <reference field="4294967294" count="1">
            <x v="6"/>
          </reference>
        </references>
      </pivotArea>
    </format>
    <format dxfId="305">
      <pivotArea outline="0" collapsedLevelsAreSubtotals="1" fieldPosition="0">
        <references count="1">
          <reference field="4294967294" count="1" selected="0">
            <x v="9"/>
          </reference>
        </references>
      </pivotArea>
    </format>
    <format dxfId="304">
      <pivotArea dataOnly="0" labelOnly="1" outline="0" fieldPosition="0">
        <references count="1">
          <reference field="4294967294" count="1">
            <x v="9"/>
          </reference>
        </references>
      </pivotArea>
    </format>
    <format dxfId="303">
      <pivotArea outline="0" collapsedLevelsAreSubtotals="1" fieldPosition="0">
        <references count="1">
          <reference field="4294967294" count="1" selected="0">
            <x v="12"/>
          </reference>
        </references>
      </pivotArea>
    </format>
    <format dxfId="302">
      <pivotArea dataOnly="0" labelOnly="1" outline="0" fieldPosition="0">
        <references count="1">
          <reference field="4294967294" count="1">
            <x v="12"/>
          </reference>
        </references>
      </pivotArea>
    </format>
    <format dxfId="301">
      <pivotArea outline="0" collapsedLevelsAreSubtotals="1" fieldPosition="0">
        <references count="1">
          <reference field="4294967294" count="1" selected="0">
            <x v="15"/>
          </reference>
        </references>
      </pivotArea>
    </format>
    <format dxfId="300">
      <pivotArea dataOnly="0" labelOnly="1" outline="0" fieldPosition="0">
        <references count="1">
          <reference field="4294967294" count="1">
            <x v="15"/>
          </reference>
        </references>
      </pivotArea>
    </format>
    <format dxfId="299">
      <pivotArea dataOnly="0" labelOnly="1" outline="0" fieldPosition="0">
        <references count="1">
          <reference field="4294967294" count="3">
            <x v="3"/>
            <x v="4"/>
            <x v="5"/>
          </reference>
        </references>
      </pivotArea>
    </format>
    <format dxfId="298">
      <pivotArea dataOnly="0" labelOnly="1" outline="0" fieldPosition="0">
        <references count="1">
          <reference field="4294967294" count="3">
            <x v="9"/>
            <x v="10"/>
            <x v="11"/>
          </reference>
        </references>
      </pivotArea>
    </format>
    <format dxfId="297">
      <pivotArea dataOnly="0" labelOnly="1" outline="0" fieldPosition="0">
        <references count="1">
          <reference field="4294967294" count="3">
            <x v="15"/>
            <x v="16"/>
            <x v="17"/>
          </reference>
        </references>
      </pivotArea>
    </format>
    <format dxfId="296">
      <pivotArea field="4" type="button" dataOnly="0" labelOnly="1" outline="0" axis="axisRow" fieldPosition="0"/>
    </format>
    <format dxfId="295">
      <pivotArea dataOnly="0" labelOnly="1" fieldPosition="0">
        <references count="1">
          <reference field="4" count="1">
            <x v="0"/>
          </reference>
        </references>
      </pivotArea>
    </format>
    <format dxfId="294">
      <pivotArea dataOnly="0" labelOnly="1" grandRow="1" outline="0" fieldPosition="0"/>
    </format>
    <format dxfId="293">
      <pivotArea dataOnly="0" labelOnly="1" outline="0" fieldPosition="0">
        <references count="1">
          <reference field="4294967294" count="1">
            <x v="0"/>
          </reference>
        </references>
      </pivotArea>
    </format>
    <format dxfId="29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0"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4"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0"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71">
      <pivotArea outline="0" collapsedLevelsAreSubtotals="1" fieldPosition="0">
        <references count="1">
          <reference field="4294967294" count="1" selected="0">
            <x v="3"/>
          </reference>
        </references>
      </pivotArea>
    </format>
    <format dxfId="170">
      <pivotArea dataOnly="0" labelOnly="1" outline="0" fieldPosition="0">
        <references count="1">
          <reference field="4294967294" count="1">
            <x v="3"/>
          </reference>
        </references>
      </pivotArea>
    </format>
    <format dxfId="169">
      <pivotArea outline="0" collapsedLevelsAreSubtotals="1" fieldPosition="0">
        <references count="1">
          <reference field="4294967294" count="1" selected="0">
            <x v="6"/>
          </reference>
        </references>
      </pivotArea>
    </format>
    <format dxfId="168">
      <pivotArea dataOnly="0" labelOnly="1" outline="0" fieldPosition="0">
        <references count="1">
          <reference field="4294967294" count="1">
            <x v="6"/>
          </reference>
        </references>
      </pivotArea>
    </format>
    <format dxfId="167">
      <pivotArea outline="0" collapsedLevelsAreSubtotals="1" fieldPosition="0">
        <references count="1">
          <reference field="4294967294" count="1" selected="0">
            <x v="9"/>
          </reference>
        </references>
      </pivotArea>
    </format>
    <format dxfId="166">
      <pivotArea dataOnly="0" labelOnly="1" outline="0" fieldPosition="0">
        <references count="1">
          <reference field="4294967294" count="1">
            <x v="9"/>
          </reference>
        </references>
      </pivotArea>
    </format>
    <format dxfId="165">
      <pivotArea outline="0" collapsedLevelsAreSubtotals="1" fieldPosition="0">
        <references count="1">
          <reference field="4294967294" count="1" selected="0">
            <x v="12"/>
          </reference>
        </references>
      </pivotArea>
    </format>
    <format dxfId="164">
      <pivotArea dataOnly="0" labelOnly="1" outline="0" fieldPosition="0">
        <references count="1">
          <reference field="4294967294" count="1">
            <x v="12"/>
          </reference>
        </references>
      </pivotArea>
    </format>
    <format dxfId="163">
      <pivotArea outline="0" collapsedLevelsAreSubtotals="1" fieldPosition="0">
        <references count="1">
          <reference field="4294967294" count="1" selected="0">
            <x v="15"/>
          </reference>
        </references>
      </pivotArea>
    </format>
    <format dxfId="162">
      <pivotArea dataOnly="0" labelOnly="1" outline="0" fieldPosition="0">
        <references count="1">
          <reference field="4294967294" count="1">
            <x v="15"/>
          </reference>
        </references>
      </pivotArea>
    </format>
    <format dxfId="161">
      <pivotArea dataOnly="0" labelOnly="1" outline="0" fieldPosition="0">
        <references count="1">
          <reference field="4294967294" count="3">
            <x v="3"/>
            <x v="4"/>
            <x v="5"/>
          </reference>
        </references>
      </pivotArea>
    </format>
    <format dxfId="160">
      <pivotArea dataOnly="0" labelOnly="1" outline="0" fieldPosition="0">
        <references count="1">
          <reference field="4294967294" count="3">
            <x v="9"/>
            <x v="10"/>
            <x v="11"/>
          </reference>
        </references>
      </pivotArea>
    </format>
    <format dxfId="159">
      <pivotArea dataOnly="0" labelOnly="1" outline="0" fieldPosition="0">
        <references count="1">
          <reference field="4294967294" count="3">
            <x v="15"/>
            <x v="16"/>
            <x v="17"/>
          </reference>
        </references>
      </pivotArea>
    </format>
    <format dxfId="158">
      <pivotArea field="4" type="button" dataOnly="0" labelOnly="1" outline="0" axis="axisRow" fieldPosition="0"/>
    </format>
    <format dxfId="157">
      <pivotArea dataOnly="0" labelOnly="1" fieldPosition="0">
        <references count="1">
          <reference field="4" count="1">
            <x v="0"/>
          </reference>
        </references>
      </pivotArea>
    </format>
    <format dxfId="156">
      <pivotArea dataOnly="0" labelOnly="1" grandRow="1" outline="0" fieldPosition="0"/>
    </format>
    <format dxfId="155">
      <pivotArea dataOnly="0" labelOnly="1" outline="0" fieldPosition="0">
        <references count="1">
          <reference field="4294967294" count="1">
            <x v="0"/>
          </reference>
        </references>
      </pivotArea>
    </format>
    <format dxfId="15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4"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3">
      <pivotArea dataOnly="0" labelOnly="1" outline="0" fieldPosition="0">
        <references count="1">
          <reference field="4294967294" count="3">
            <x v="3"/>
            <x v="4"/>
            <x v="5"/>
          </reference>
        </references>
      </pivotArea>
    </format>
    <format dxfId="192">
      <pivotArea dataOnly="0" labelOnly="1" outline="0" fieldPosition="0">
        <references count="1">
          <reference field="4294967294" count="3">
            <x v="9"/>
            <x v="10"/>
            <x v="11"/>
          </reference>
        </references>
      </pivotArea>
    </format>
    <format dxfId="191">
      <pivotArea dataOnly="0" labelOnly="1" outline="0" fieldPosition="0">
        <references count="1">
          <reference field="4294967294" count="3">
            <x v="15"/>
            <x v="16"/>
            <x v="17"/>
          </reference>
        </references>
      </pivotArea>
    </format>
    <format dxfId="190">
      <pivotArea field="4" type="button" dataOnly="0" labelOnly="1" outline="0" axis="axisPage" fieldPosition="2"/>
    </format>
    <format dxfId="189">
      <pivotArea dataOnly="0" labelOnly="1" fieldPosition="0">
        <references count="1">
          <reference field="4" count="1">
            <x v="0"/>
          </reference>
        </references>
      </pivotArea>
    </format>
    <format dxfId="188">
      <pivotArea dataOnly="0" labelOnly="1" outline="0" fieldPosition="0">
        <references count="1">
          <reference field="4294967294" count="1">
            <x v="0"/>
          </reference>
        </references>
      </pivotArea>
    </format>
    <format dxfId="187">
      <pivotArea field="4" type="button" dataOnly="0" labelOnly="1" outline="0" axis="axisPage" fieldPosition="2"/>
    </format>
    <format dxfId="186">
      <pivotArea field="2" type="button" dataOnly="0" labelOnly="1" outline="0" axis="axisRow" fieldPosition="0"/>
    </format>
    <format dxfId="185">
      <pivotArea dataOnly="0" labelOnly="1" fieldPosition="0">
        <references count="1">
          <reference field="2" count="1">
            <x v="0"/>
          </reference>
        </references>
      </pivotArea>
    </format>
    <format dxfId="184">
      <pivotArea dataOnly="0" labelOnly="1" grandRow="1" outline="0" fieldPosition="0"/>
    </format>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outline="0" collapsedLevelsAreSubtotals="1" fieldPosition="0">
        <references count="1">
          <reference field="4294967294" count="1" selected="0">
            <x v="17"/>
          </reference>
        </references>
      </pivotArea>
    </format>
    <format dxfId="17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4"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17">
      <pivotArea dataOnly="0" labelOnly="1" outline="0" fieldPosition="0">
        <references count="1">
          <reference field="4294967294" count="3">
            <x v="3"/>
            <x v="4"/>
            <x v="5"/>
          </reference>
        </references>
      </pivotArea>
    </format>
    <format dxfId="116">
      <pivotArea dataOnly="0" labelOnly="1" outline="0" fieldPosition="0">
        <references count="1">
          <reference field="4294967294" count="3">
            <x v="9"/>
            <x v="10"/>
            <x v="11"/>
          </reference>
        </references>
      </pivotArea>
    </format>
    <format dxfId="115">
      <pivotArea dataOnly="0" labelOnly="1" outline="0" fieldPosition="0">
        <references count="1">
          <reference field="4294967294" count="3">
            <x v="15"/>
            <x v="16"/>
            <x v="17"/>
          </reference>
        </references>
      </pivotArea>
    </format>
    <format dxfId="114">
      <pivotArea field="4" type="button" dataOnly="0" labelOnly="1" outline="0" axis="axisPage" fieldPosition="2"/>
    </format>
    <format dxfId="113">
      <pivotArea dataOnly="0" labelOnly="1" fieldPosition="0">
        <references count="1">
          <reference field="4" count="1">
            <x v="0"/>
          </reference>
        </references>
      </pivotArea>
    </format>
    <format dxfId="112">
      <pivotArea dataOnly="0" labelOnly="1" outline="0" fieldPosition="0">
        <references count="1">
          <reference field="4294967294" count="1">
            <x v="0"/>
          </reference>
        </references>
      </pivotArea>
    </format>
    <format dxfId="111">
      <pivotArea field="4" type="button" dataOnly="0" labelOnly="1" outline="0" axis="axisPage" fieldPosition="2"/>
    </format>
    <format dxfId="110">
      <pivotArea field="2" type="button" dataOnly="0" labelOnly="1" outline="0" axis="axisRow" fieldPosition="0"/>
    </format>
    <format dxfId="109">
      <pivotArea dataOnly="0" labelOnly="1" fieldPosition="0">
        <references count="1">
          <reference field="2" count="1">
            <x v="0"/>
          </reference>
        </references>
      </pivotArea>
    </format>
    <format dxfId="108">
      <pivotArea dataOnly="0" labelOnly="1" grandRow="1" outline="0" fieldPosition="0"/>
    </format>
    <format dxfId="107">
      <pivotArea outline="0" collapsedLevelsAreSubtotals="1" fieldPosition="0">
        <references count="1">
          <reference field="4294967294" count="1" selected="0">
            <x v="3"/>
          </reference>
        </references>
      </pivotArea>
    </format>
    <format dxfId="106">
      <pivotArea dataOnly="0" labelOnly="1" outline="0" fieldPosition="0">
        <references count="1">
          <reference field="4294967294" count="1">
            <x v="3"/>
          </reference>
        </references>
      </pivotArea>
    </format>
    <format dxfId="105">
      <pivotArea outline="0" collapsedLevelsAreSubtotals="1" fieldPosition="0">
        <references count="1">
          <reference field="4294967294" count="1" selected="0">
            <x v="6"/>
          </reference>
        </references>
      </pivotArea>
    </format>
    <format dxfId="104">
      <pivotArea dataOnly="0" labelOnly="1" outline="0" fieldPosition="0">
        <references count="1">
          <reference field="4294967294" count="1">
            <x v="6"/>
          </reference>
        </references>
      </pivotArea>
    </format>
    <format dxfId="103">
      <pivotArea outline="0" collapsedLevelsAreSubtotals="1" fieldPosition="0">
        <references count="1">
          <reference field="4294967294" count="1" selected="0">
            <x v="9"/>
          </reference>
        </references>
      </pivotArea>
    </format>
    <format dxfId="102">
      <pivotArea dataOnly="0" labelOnly="1" outline="0" fieldPosition="0">
        <references count="1">
          <reference field="4294967294" count="1">
            <x v="9"/>
          </reference>
        </references>
      </pivotArea>
    </format>
    <format dxfId="101">
      <pivotArea outline="0" collapsedLevelsAreSubtotals="1" fieldPosition="0">
        <references count="1">
          <reference field="4294967294" count="1" selected="0">
            <x v="12"/>
          </reference>
        </references>
      </pivotArea>
    </format>
    <format dxfId="100">
      <pivotArea dataOnly="0" labelOnly="1" outline="0" fieldPosition="0">
        <references count="1">
          <reference field="4294967294" count="1">
            <x v="12"/>
          </reference>
        </references>
      </pivotArea>
    </format>
    <format dxfId="99">
      <pivotArea outline="0" collapsedLevelsAreSubtotals="1" fieldPosition="0">
        <references count="1">
          <reference field="4294967294" count="1" selected="0">
            <x v="15"/>
          </reference>
        </references>
      </pivotArea>
    </format>
    <format dxfId="98">
      <pivotArea dataOnly="0" labelOnly="1" outline="0" fieldPosition="0">
        <references count="1">
          <reference field="4294967294" count="1">
            <x v="15"/>
          </reference>
        </references>
      </pivotArea>
    </format>
    <format dxfId="97">
      <pivotArea outline="0" collapsedLevelsAreSubtotals="1" fieldPosition="0">
        <references count="1">
          <reference field="4294967294" count="1" selected="0">
            <x v="17"/>
          </reference>
        </references>
      </pivotArea>
    </format>
    <format dxfId="96">
      <pivotArea dataOnly="0" labelOnly="1" outline="0" fieldPosition="0">
        <references count="1">
          <reference field="4294967294" count="1">
            <x v="17"/>
          </reference>
        </references>
      </pivotArea>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0"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53">
      <pivotArea outline="0" collapsedLevelsAreSubtotals="1" fieldPosition="0">
        <references count="1">
          <reference field="4294967294" count="1" selected="0">
            <x v="3"/>
          </reference>
        </references>
      </pivotArea>
    </format>
    <format dxfId="152">
      <pivotArea dataOnly="0" labelOnly="1" outline="0" fieldPosition="0">
        <references count="1">
          <reference field="4294967294" count="1">
            <x v="3"/>
          </reference>
        </references>
      </pivotArea>
    </format>
    <format dxfId="151">
      <pivotArea outline="0" collapsedLevelsAreSubtotals="1" fieldPosition="0">
        <references count="1">
          <reference field="4294967294" count="1" selected="0">
            <x v="6"/>
          </reference>
        </references>
      </pivotArea>
    </format>
    <format dxfId="150">
      <pivotArea dataOnly="0" labelOnly="1" outline="0" fieldPosition="0">
        <references count="1">
          <reference field="4294967294" count="1">
            <x v="6"/>
          </reference>
        </references>
      </pivotArea>
    </format>
    <format dxfId="149">
      <pivotArea outline="0" collapsedLevelsAreSubtotals="1" fieldPosition="0">
        <references count="1">
          <reference field="4294967294" count="1" selected="0">
            <x v="9"/>
          </reference>
        </references>
      </pivotArea>
    </format>
    <format dxfId="148">
      <pivotArea dataOnly="0" labelOnly="1" outline="0" fieldPosition="0">
        <references count="1">
          <reference field="4294967294" count="1">
            <x v="9"/>
          </reference>
        </references>
      </pivotArea>
    </format>
    <format dxfId="147">
      <pivotArea outline="0" collapsedLevelsAreSubtotals="1" fieldPosition="0">
        <references count="1">
          <reference field="4294967294" count="1" selected="0">
            <x v="12"/>
          </reference>
        </references>
      </pivotArea>
    </format>
    <format dxfId="146">
      <pivotArea dataOnly="0" labelOnly="1" outline="0" fieldPosition="0">
        <references count="1">
          <reference field="4294967294" count="1">
            <x v="12"/>
          </reference>
        </references>
      </pivotArea>
    </format>
    <format dxfId="145">
      <pivotArea outline="0" collapsedLevelsAreSubtotals="1" fieldPosition="0">
        <references count="1">
          <reference field="4294967294" count="1" selected="0">
            <x v="15"/>
          </reference>
        </references>
      </pivotArea>
    </format>
    <format dxfId="144">
      <pivotArea dataOnly="0" labelOnly="1" outline="0" fieldPosition="0">
        <references count="1">
          <reference field="4294967294" count="1">
            <x v="15"/>
          </reference>
        </references>
      </pivotArea>
    </format>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Row" fieldPosition="0"/>
    </format>
    <format dxfId="139">
      <pivotArea dataOnly="0" labelOnly="1" fieldPosition="0">
        <references count="1">
          <reference field="4" count="1">
            <x v="0"/>
          </reference>
        </references>
      </pivotArea>
    </format>
    <format dxfId="138">
      <pivotArea dataOnly="0" labelOnly="1" grandRow="1" outline="0" fieldPosition="0"/>
    </format>
    <format dxfId="137">
      <pivotArea dataOnly="0" labelOnly="1" outline="0" fieldPosition="0">
        <references count="1">
          <reference field="4294967294" count="1">
            <x v="0"/>
          </reference>
        </references>
      </pivotArea>
    </format>
    <format dxfId="136">
      <pivotArea field="4" type="button" dataOnly="0" labelOnly="1" outline="0" axis="axisRow" fieldPosition="0"/>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6"/>
          </reference>
        </references>
      </pivotArea>
    </format>
    <format dxfId="128">
      <pivotArea outline="0" fieldPosition="0">
        <references count="1">
          <reference field="4294967294" count="1">
            <x v="7"/>
          </reference>
        </references>
      </pivotArea>
    </format>
    <format dxfId="127">
      <pivotArea outline="0" fieldPosition="0">
        <references count="1">
          <reference field="4294967294" count="1">
            <x v="8"/>
          </reference>
        </references>
      </pivotArea>
    </format>
    <format dxfId="126">
      <pivotArea outline="0" fieldPosition="0">
        <references count="1">
          <reference field="4294967294" count="1">
            <x v="9"/>
          </reference>
        </references>
      </pivotArea>
    </format>
    <format dxfId="125">
      <pivotArea outline="0" fieldPosition="0">
        <references count="1">
          <reference field="4294967294" count="1">
            <x v="10"/>
          </reference>
        </references>
      </pivotArea>
    </format>
    <format dxfId="124">
      <pivotArea outline="0" fieldPosition="0">
        <references count="1">
          <reference field="4294967294" count="1">
            <x v="11"/>
          </reference>
        </references>
      </pivotArea>
    </format>
    <format dxfId="123">
      <pivotArea outline="0" fieldPosition="0">
        <references count="1">
          <reference field="4294967294" count="1">
            <x v="12"/>
          </reference>
        </references>
      </pivotArea>
    </format>
    <format dxfId="122">
      <pivotArea outline="0" fieldPosition="0">
        <references count="1">
          <reference field="4294967294" count="1">
            <x v="13"/>
          </reference>
        </references>
      </pivotArea>
    </format>
    <format dxfId="121">
      <pivotArea outline="0" fieldPosition="0">
        <references count="1">
          <reference field="4294967294" count="1">
            <x v="14"/>
          </reference>
        </references>
      </pivotArea>
    </format>
    <format dxfId="120">
      <pivotArea outline="0" fieldPosition="0">
        <references count="1">
          <reference field="4294967294" count="1">
            <x v="15"/>
          </reference>
        </references>
      </pivotArea>
    </format>
    <format dxfId="119">
      <pivotArea outline="0" fieldPosition="0">
        <references count="1">
          <reference field="4294967294" count="1">
            <x v="16"/>
          </reference>
        </references>
      </pivotArea>
    </format>
    <format dxfId="11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0"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4" cacheId="9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2" cacheId="94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4" cacheId="94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 cacheId="94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rinterSettings" Target="../printerSettings/printerSettings10.bin"/><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3.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4.bin"/><Relationship Id="rId4" Type="http://schemas.openxmlformats.org/officeDocument/2006/relationships/pivotTable" Target="../pivotTables/pivotTable60.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3.xml"/><Relationship Id="rId7" Type="http://schemas.openxmlformats.org/officeDocument/2006/relationships/printerSettings" Target="../printerSettings/printerSettings15.bin"/><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4" Type="http://schemas.openxmlformats.org/officeDocument/2006/relationships/pivotTable" Target="../pivotTables/pivotTable6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9.xml"/><Relationship Id="rId7" Type="http://schemas.openxmlformats.org/officeDocument/2006/relationships/printerSettings" Target="../printerSettings/printerSettings16.bin"/><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75.xml"/><Relationship Id="rId2" Type="http://schemas.openxmlformats.org/officeDocument/2006/relationships/pivotTable" Target="../pivotTables/pivotTable74.xml"/><Relationship Id="rId1" Type="http://schemas.openxmlformats.org/officeDocument/2006/relationships/pivotTable" Target="../pivotTables/pivotTable73.xml"/><Relationship Id="rId6" Type="http://schemas.openxmlformats.org/officeDocument/2006/relationships/printerSettings" Target="../printerSettings/printerSettings17.bin"/><Relationship Id="rId5" Type="http://schemas.openxmlformats.org/officeDocument/2006/relationships/pivotTable" Target="../pivotTables/pivotTable77.xml"/><Relationship Id="rId4" Type="http://schemas.openxmlformats.org/officeDocument/2006/relationships/pivotTable" Target="../pivotTables/pivotTable76.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0.xml"/><Relationship Id="rId2" Type="http://schemas.openxmlformats.org/officeDocument/2006/relationships/pivotTable" Target="../pivotTables/pivotTable79.xml"/><Relationship Id="rId1" Type="http://schemas.openxmlformats.org/officeDocument/2006/relationships/pivotTable" Target="../pivotTables/pivotTable78.xml"/><Relationship Id="rId6" Type="http://schemas.openxmlformats.org/officeDocument/2006/relationships/printerSettings" Target="../printerSettings/printerSettings18.bin"/><Relationship Id="rId5" Type="http://schemas.openxmlformats.org/officeDocument/2006/relationships/pivotTable" Target="../pivotTables/pivotTable82.xml"/><Relationship Id="rId4" Type="http://schemas.openxmlformats.org/officeDocument/2006/relationships/pivotTable" Target="../pivotTables/pivotTable81.xml"/></Relationships>
</file>

<file path=xl/worksheets/_rels/sheet24.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11" Type="http://schemas.openxmlformats.org/officeDocument/2006/relationships/printerSettings" Target="../printerSettings/printerSettings19.bin"/><Relationship Id="rId5" Type="http://schemas.openxmlformats.org/officeDocument/2006/relationships/pivotTable" Target="../pivotTables/pivotTable87.xml"/><Relationship Id="rId10" Type="http://schemas.openxmlformats.org/officeDocument/2006/relationships/pivotTable" Target="../pivotTables/pivotTable92.xml"/><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9.xml"/><Relationship Id="rId7" Type="http://schemas.openxmlformats.org/officeDocument/2006/relationships/printerSettings" Target="../printerSettings/printerSettings22.bin"/><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ivotTable" Target="../pivotTables/pivotTable102.xml"/><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04.xml"/><Relationship Id="rId1" Type="http://schemas.openxmlformats.org/officeDocument/2006/relationships/pivotTable" Target="../pivotTables/pivotTable103.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06.xml"/><Relationship Id="rId1" Type="http://schemas.openxmlformats.org/officeDocument/2006/relationships/pivotTable" Target="../pivotTables/pivotTable105.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08.xml"/><Relationship Id="rId1" Type="http://schemas.openxmlformats.org/officeDocument/2006/relationships/pivotTable" Target="../pivotTables/pivotTable107.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10.xml"/><Relationship Id="rId1" Type="http://schemas.openxmlformats.org/officeDocument/2006/relationships/pivotTable" Target="../pivotTables/pivotTable109.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12.xml"/><Relationship Id="rId1" Type="http://schemas.openxmlformats.org/officeDocument/2006/relationships/pivotTable" Target="../pivotTables/pivotTable111.xml"/></Relationships>
</file>

<file path=xl/worksheets/_rels/sheet33.xml.rels><?xml version="1.0" encoding="UTF-8" standalone="yes"?>
<Relationships xmlns="http://schemas.openxmlformats.org/package/2006/relationships"><Relationship Id="rId3" Type="http://schemas.openxmlformats.org/officeDocument/2006/relationships/pivotTable" Target="../pivotTables/pivotTable115.xml"/><Relationship Id="rId2" Type="http://schemas.openxmlformats.org/officeDocument/2006/relationships/pivotTable" Target="../pivotTables/pivotTable114.xml"/><Relationship Id="rId1" Type="http://schemas.openxmlformats.org/officeDocument/2006/relationships/pivotTable" Target="../pivotTables/pivotTable113.xml"/><Relationship Id="rId4"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44" t="s">
        <v>521</v>
      </c>
      <c r="C5" s="144"/>
      <c r="D5" s="144"/>
      <c r="F5" s="144" t="s">
        <v>522</v>
      </c>
      <c r="G5" s="144"/>
      <c r="H5" s="144"/>
      <c r="J5" s="144" t="s">
        <v>365</v>
      </c>
      <c r="K5" s="144"/>
      <c r="L5" s="144"/>
      <c r="N5" s="144" t="s">
        <v>515</v>
      </c>
      <c r="O5" s="144"/>
      <c r="P5" s="144"/>
      <c r="Q5" s="145"/>
      <c r="R5" s="145"/>
      <c r="S5" s="145"/>
      <c r="T5" s="145"/>
      <c r="U5" s="145"/>
      <c r="V5" s="145"/>
      <c r="W5" s="145"/>
      <c r="X5" s="145"/>
      <c r="Y5" s="145"/>
      <c r="Z5" s="14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50" t="s">
        <v>236</v>
      </c>
      <c r="K1" s="148" t="s">
        <v>236</v>
      </c>
      <c r="L1" s="148" t="s">
        <v>236</v>
      </c>
      <c r="M1" s="149" t="s">
        <v>236</v>
      </c>
      <c r="N1" s="146" t="s">
        <v>237</v>
      </c>
      <c r="O1" s="147" t="s">
        <v>237</v>
      </c>
      <c r="P1" s="147" t="s">
        <v>237</v>
      </c>
      <c r="Q1" s="147" t="s">
        <v>237</v>
      </c>
      <c r="R1" s="147" t="s">
        <v>237</v>
      </c>
      <c r="S1" s="151" t="s">
        <v>237</v>
      </c>
      <c r="T1" s="152" t="s">
        <v>238</v>
      </c>
      <c r="U1" s="153" t="s">
        <v>238</v>
      </c>
      <c r="V1" s="153" t="s">
        <v>238</v>
      </c>
      <c r="W1" s="153" t="s">
        <v>238</v>
      </c>
      <c r="X1" s="154" t="s">
        <v>238</v>
      </c>
      <c r="Y1" s="155" t="s">
        <v>239</v>
      </c>
      <c r="Z1" s="153" t="s">
        <v>239</v>
      </c>
      <c r="AA1" s="148" t="s">
        <v>239</v>
      </c>
      <c r="AB1" s="154" t="s">
        <v>239</v>
      </c>
      <c r="AC1" s="155" t="s">
        <v>240</v>
      </c>
      <c r="AD1" s="148" t="s">
        <v>240</v>
      </c>
      <c r="AE1" s="148" t="s">
        <v>240</v>
      </c>
      <c r="AF1" s="149" t="s">
        <v>240</v>
      </c>
      <c r="AG1" s="152" t="s">
        <v>241</v>
      </c>
      <c r="AH1" s="153" t="s">
        <v>241</v>
      </c>
      <c r="AI1" s="153" t="s">
        <v>241</v>
      </c>
      <c r="AJ1" s="153" t="s">
        <v>241</v>
      </c>
      <c r="AK1" s="156" t="s">
        <v>241</v>
      </c>
      <c r="AL1" s="146" t="s">
        <v>242</v>
      </c>
      <c r="AM1" s="147" t="s">
        <v>242</v>
      </c>
      <c r="AN1" s="147" t="s">
        <v>242</v>
      </c>
      <c r="AO1" s="147" t="s">
        <v>242</v>
      </c>
      <c r="AP1" s="147" t="s">
        <v>242</v>
      </c>
      <c r="AQ1" s="148" t="s">
        <v>242</v>
      </c>
      <c r="AR1" s="148" t="s">
        <v>242</v>
      </c>
      <c r="AS1" s="149"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52" t="s">
        <v>89</v>
      </c>
      <c r="H1" s="157" t="s">
        <v>89</v>
      </c>
      <c r="I1" s="157" t="s">
        <v>89</v>
      </c>
      <c r="J1" s="156" t="s">
        <v>89</v>
      </c>
      <c r="K1" s="14"/>
      <c r="L1" s="158" t="s">
        <v>431</v>
      </c>
      <c r="M1" s="159" t="s">
        <v>431</v>
      </c>
      <c r="N1" s="159" t="s">
        <v>431</v>
      </c>
      <c r="O1" s="159"/>
      <c r="P1" s="159"/>
      <c r="Q1" s="160"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61" t="s">
        <v>377</v>
      </c>
      <c r="D1" s="162"/>
      <c r="E1" s="162"/>
      <c r="F1" s="162"/>
      <c r="G1" s="162"/>
      <c r="H1" s="162"/>
      <c r="I1" s="162"/>
      <c r="J1" s="162"/>
      <c r="L1" s="161" t="s">
        <v>365</v>
      </c>
      <c r="M1" s="162"/>
      <c r="N1" s="162"/>
      <c r="O1" s="162"/>
      <c r="P1" s="162"/>
      <c r="Q1" s="162"/>
      <c r="R1" s="162"/>
      <c r="S1" s="61"/>
      <c r="T1" s="161" t="s">
        <v>629</v>
      </c>
      <c r="U1" s="162"/>
      <c r="V1" s="162"/>
      <c r="W1" s="162"/>
    </row>
    <row r="2" spans="1:23">
      <c r="A2" s="30"/>
      <c r="B2" s="31"/>
      <c r="C2" s="142" t="s">
        <v>0</v>
      </c>
      <c r="D2" s="143" t="s">
        <v>16</v>
      </c>
      <c r="E2" s="53"/>
      <c r="F2" s="53"/>
      <c r="G2" s="142" t="s">
        <v>0</v>
      </c>
      <c r="H2" s="143" t="s">
        <v>16</v>
      </c>
      <c r="I2" s="53"/>
      <c r="J2" s="61"/>
      <c r="K2" s="61"/>
      <c r="L2" s="107" t="s">
        <v>0</v>
      </c>
      <c r="M2" s="108" t="s">
        <v>16</v>
      </c>
      <c r="N2" s="61"/>
      <c r="O2" s="61"/>
      <c r="P2" s="107" t="s">
        <v>0</v>
      </c>
      <c r="Q2" s="108" t="s">
        <v>16</v>
      </c>
      <c r="R2" s="61"/>
      <c r="S2" s="61"/>
      <c r="T2" s="142" t="s">
        <v>0</v>
      </c>
      <c r="U2" s="143" t="s">
        <v>16</v>
      </c>
      <c r="V2" s="138"/>
    </row>
    <row r="3" spans="1:23">
      <c r="A3" s="30"/>
      <c r="B3" s="30"/>
      <c r="C3" s="142" t="s">
        <v>1</v>
      </c>
      <c r="D3" s="143" t="s">
        <v>16</v>
      </c>
      <c r="G3" s="142" t="s">
        <v>1</v>
      </c>
      <c r="H3" s="143" t="s">
        <v>16</v>
      </c>
      <c r="L3" s="107" t="s">
        <v>1</v>
      </c>
      <c r="M3" s="108" t="s">
        <v>16</v>
      </c>
      <c r="P3" s="107" t="s">
        <v>1</v>
      </c>
      <c r="Q3" s="108" t="s">
        <v>16</v>
      </c>
      <c r="R3" s="57"/>
      <c r="T3" s="142" t="s">
        <v>1</v>
      </c>
      <c r="U3" s="143" t="s">
        <v>16</v>
      </c>
      <c r="V3" s="139"/>
    </row>
    <row r="4" spans="1:23">
      <c r="A4" s="30"/>
      <c r="B4" s="30"/>
      <c r="C4" s="142" t="s">
        <v>52</v>
      </c>
      <c r="D4" s="143" t="s">
        <v>16</v>
      </c>
      <c r="G4" s="142" t="s">
        <v>52</v>
      </c>
      <c r="H4" s="143" t="s">
        <v>16</v>
      </c>
      <c r="L4" s="107" t="s">
        <v>52</v>
      </c>
      <c r="M4" s="108" t="s">
        <v>16</v>
      </c>
      <c r="P4" s="107" t="s">
        <v>52</v>
      </c>
      <c r="Q4" s="108" t="s">
        <v>16</v>
      </c>
      <c r="R4" s="57"/>
      <c r="T4" s="142" t="s">
        <v>52</v>
      </c>
      <c r="U4" s="143" t="s">
        <v>16</v>
      </c>
      <c r="V4" s="139"/>
    </row>
    <row r="5" spans="1:23">
      <c r="A5" s="30"/>
      <c r="B5" s="30"/>
      <c r="C5" s="142" t="s">
        <v>3</v>
      </c>
      <c r="D5" s="143" t="s">
        <v>10</v>
      </c>
      <c r="G5" s="142" t="s">
        <v>3</v>
      </c>
      <c r="H5" s="143" t="s">
        <v>9</v>
      </c>
      <c r="L5" s="107" t="s">
        <v>3</v>
      </c>
      <c r="M5" s="108" t="s">
        <v>441</v>
      </c>
      <c r="P5" s="107" t="s">
        <v>3</v>
      </c>
      <c r="Q5" s="108" t="s">
        <v>367</v>
      </c>
      <c r="R5" s="57"/>
      <c r="T5" s="142" t="s">
        <v>3</v>
      </c>
      <c r="U5" s="143" t="s">
        <v>26</v>
      </c>
      <c r="V5" s="139"/>
    </row>
    <row r="6" spans="1:23">
      <c r="A6" s="30"/>
      <c r="B6" s="30"/>
      <c r="R6" s="57"/>
      <c r="T6" s="139"/>
      <c r="U6" s="139"/>
      <c r="V6" s="139"/>
    </row>
    <row r="7" spans="1:23">
      <c r="A7" s="24" t="s">
        <v>330</v>
      </c>
      <c r="B7" s="24" t="s">
        <v>94</v>
      </c>
      <c r="C7" s="142" t="s">
        <v>2</v>
      </c>
      <c r="D7" s="143" t="s">
        <v>302</v>
      </c>
      <c r="E7" s="143" t="s">
        <v>415</v>
      </c>
      <c r="G7" s="142" t="s">
        <v>2</v>
      </c>
      <c r="H7" s="143" t="s">
        <v>380</v>
      </c>
      <c r="I7" s="143" t="s">
        <v>376</v>
      </c>
      <c r="J7" s="143" t="s">
        <v>381</v>
      </c>
      <c r="L7" s="107" t="s">
        <v>2</v>
      </c>
      <c r="M7" s="108" t="s">
        <v>375</v>
      </c>
      <c r="N7" s="108" t="s">
        <v>415</v>
      </c>
      <c r="P7" s="107" t="s">
        <v>2</v>
      </c>
      <c r="Q7" s="108" t="s">
        <v>302</v>
      </c>
      <c r="R7" s="108" t="s">
        <v>415</v>
      </c>
      <c r="T7" s="142" t="s">
        <v>2</v>
      </c>
      <c r="U7" s="143" t="s">
        <v>626</v>
      </c>
      <c r="V7" s="143" t="s">
        <v>627</v>
      </c>
      <c r="W7" s="143" t="s">
        <v>628</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4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4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9" customWidth="1"/>
    <col min="13" max="13" width="11.42578125" style="139" customWidth="1"/>
    <col min="14" max="14" width="26" style="139" customWidth="1"/>
    <col min="15" max="15" width="20.42578125" style="139" customWidth="1"/>
    <col min="16" max="16" width="19.85546875" style="57" customWidth="1"/>
    <col min="17" max="17" width="9.140625" style="139"/>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61" t="s">
        <v>377</v>
      </c>
      <c r="C1" s="162"/>
      <c r="D1" s="162"/>
      <c r="E1" s="162"/>
      <c r="F1" s="162"/>
      <c r="G1" s="162"/>
      <c r="H1" s="61"/>
      <c r="I1" s="161" t="s">
        <v>365</v>
      </c>
      <c r="J1" s="162"/>
      <c r="K1" s="162"/>
      <c r="L1" s="138"/>
      <c r="M1" s="161" t="s">
        <v>629</v>
      </c>
      <c r="N1" s="162"/>
      <c r="O1" s="162"/>
      <c r="P1" s="162"/>
      <c r="Q1" s="138"/>
      <c r="R1" s="165" t="s">
        <v>488</v>
      </c>
      <c r="S1" s="166"/>
      <c r="T1" s="162"/>
      <c r="U1" s="162"/>
      <c r="V1" s="162"/>
      <c r="W1" s="162"/>
      <c r="X1" s="162"/>
      <c r="Y1" s="162"/>
      <c r="Z1" s="162"/>
      <c r="AA1" s="162"/>
      <c r="AB1" s="162"/>
      <c r="AC1" s="162"/>
    </row>
    <row r="2" spans="1:29">
      <c r="A2" s="31"/>
      <c r="B2" s="142" t="s">
        <v>0</v>
      </c>
      <c r="C2" s="143" t="s">
        <v>16</v>
      </c>
      <c r="D2" s="31"/>
      <c r="E2" s="31"/>
      <c r="F2" s="163" t="s">
        <v>0</v>
      </c>
      <c r="G2" s="164" t="s">
        <v>16</v>
      </c>
      <c r="I2" s="107" t="s">
        <v>0</v>
      </c>
      <c r="J2" s="108" t="s">
        <v>16</v>
      </c>
      <c r="K2" s="61"/>
      <c r="L2" s="138"/>
      <c r="M2" s="142" t="s">
        <v>0</v>
      </c>
      <c r="N2" s="143" t="s">
        <v>16</v>
      </c>
      <c r="R2" s="62"/>
      <c r="S2" s="62"/>
      <c r="T2" s="62"/>
      <c r="U2" s="62"/>
      <c r="V2" s="62"/>
      <c r="W2" s="62"/>
      <c r="X2" s="62"/>
      <c r="Y2" s="62"/>
      <c r="Z2" s="62"/>
      <c r="AA2" s="62"/>
      <c r="AB2" s="62"/>
      <c r="AC2" s="62"/>
    </row>
    <row r="3" spans="1:29">
      <c r="A3" s="31"/>
      <c r="B3" s="142" t="s">
        <v>1</v>
      </c>
      <c r="C3" s="143" t="s">
        <v>16</v>
      </c>
      <c r="D3" s="31"/>
      <c r="E3" s="31"/>
      <c r="F3" s="163" t="s">
        <v>1</v>
      </c>
      <c r="G3" s="164" t="s">
        <v>16</v>
      </c>
      <c r="I3" s="107" t="s">
        <v>1</v>
      </c>
      <c r="J3" s="108" t="s">
        <v>16</v>
      </c>
      <c r="K3" s="61"/>
      <c r="L3" s="138"/>
      <c r="M3" s="142" t="s">
        <v>1</v>
      </c>
      <c r="N3" s="143" t="s">
        <v>16</v>
      </c>
      <c r="O3" s="138"/>
      <c r="P3" s="139"/>
      <c r="R3" s="62"/>
      <c r="S3" s="63"/>
      <c r="T3" s="63"/>
      <c r="U3" s="63"/>
      <c r="V3" s="63"/>
      <c r="W3" s="63"/>
      <c r="X3" s="63"/>
      <c r="Y3" s="63"/>
      <c r="Z3" s="63"/>
      <c r="AA3" s="63"/>
      <c r="AB3" s="63"/>
      <c r="AC3" s="63"/>
    </row>
    <row r="4" spans="1:29">
      <c r="A4" s="31"/>
      <c r="B4" s="142" t="s">
        <v>2</v>
      </c>
      <c r="C4" s="143" t="s">
        <v>16</v>
      </c>
      <c r="F4" s="142" t="s">
        <v>2</v>
      </c>
      <c r="G4" s="143" t="s">
        <v>16</v>
      </c>
      <c r="I4" s="107" t="s">
        <v>2</v>
      </c>
      <c r="J4" s="108" t="s">
        <v>16</v>
      </c>
      <c r="M4" s="142" t="s">
        <v>2</v>
      </c>
      <c r="N4" s="143" t="s">
        <v>16</v>
      </c>
      <c r="P4" s="139"/>
      <c r="R4" s="31"/>
      <c r="S4" s="31"/>
      <c r="X4" s="31"/>
      <c r="Y4" s="31"/>
    </row>
    <row r="5" spans="1:29">
      <c r="A5" s="31"/>
      <c r="B5" s="142" t="s">
        <v>52</v>
      </c>
      <c r="C5" s="143" t="s">
        <v>16</v>
      </c>
      <c r="F5" s="142" t="s">
        <v>52</v>
      </c>
      <c r="G5" s="143" t="s">
        <v>16</v>
      </c>
      <c r="I5" s="107" t="s">
        <v>52</v>
      </c>
      <c r="J5" s="108" t="s">
        <v>16</v>
      </c>
      <c r="M5" s="142" t="s">
        <v>52</v>
      </c>
      <c r="N5" s="143" t="s">
        <v>16</v>
      </c>
      <c r="P5" s="139"/>
      <c r="R5" s="134" t="s">
        <v>0</v>
      </c>
      <c r="S5" s="135" t="s">
        <v>16</v>
      </c>
      <c r="X5" s="134" t="s">
        <v>0</v>
      </c>
      <c r="Y5" s="135" t="s">
        <v>16</v>
      </c>
    </row>
    <row r="6" spans="1:29">
      <c r="A6" s="31"/>
      <c r="B6" s="142" t="s">
        <v>3</v>
      </c>
      <c r="C6" s="143" t="s">
        <v>10</v>
      </c>
      <c r="F6" s="142" t="s">
        <v>3</v>
      </c>
      <c r="G6" s="143" t="s">
        <v>9</v>
      </c>
      <c r="I6" s="107" t="s">
        <v>3</v>
      </c>
      <c r="J6" s="108" t="s">
        <v>367</v>
      </c>
      <c r="M6" s="142" t="s">
        <v>3</v>
      </c>
      <c r="N6" s="143" t="s">
        <v>26</v>
      </c>
      <c r="P6" s="139"/>
      <c r="R6" s="134" t="s">
        <v>3</v>
      </c>
      <c r="S6" s="135" t="s">
        <v>310</v>
      </c>
      <c r="X6" s="134" t="s">
        <v>3</v>
      </c>
      <c r="Y6" s="135" t="s">
        <v>310</v>
      </c>
    </row>
    <row r="7" spans="1:29">
      <c r="A7" s="31"/>
      <c r="P7" s="139"/>
    </row>
    <row r="8" spans="1:29">
      <c r="A8" s="24" t="s">
        <v>122</v>
      </c>
      <c r="B8" s="142" t="s">
        <v>296</v>
      </c>
      <c r="C8" s="143" t="s">
        <v>302</v>
      </c>
      <c r="D8" s="143" t="s">
        <v>415</v>
      </c>
      <c r="F8" s="142" t="s">
        <v>296</v>
      </c>
      <c r="G8" t="s">
        <v>382</v>
      </c>
      <c r="I8" s="107" t="s">
        <v>2</v>
      </c>
      <c r="J8" s="108" t="s">
        <v>302</v>
      </c>
      <c r="K8" s="108" t="s">
        <v>415</v>
      </c>
      <c r="M8" s="142" t="s">
        <v>2</v>
      </c>
      <c r="N8" s="143" t="s">
        <v>630</v>
      </c>
      <c r="O8" s="143" t="s">
        <v>627</v>
      </c>
      <c r="P8" s="143" t="s">
        <v>628</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61" t="s">
        <v>377</v>
      </c>
      <c r="D1" s="162"/>
      <c r="E1" s="162"/>
      <c r="F1" s="162"/>
      <c r="G1" s="162"/>
      <c r="H1" s="162"/>
      <c r="I1" s="162"/>
      <c r="J1" s="162"/>
      <c r="K1" s="61"/>
      <c r="L1" s="161" t="s">
        <v>365</v>
      </c>
      <c r="M1" s="162"/>
      <c r="N1" s="162"/>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42" t="s">
        <v>0</v>
      </c>
      <c r="D2" s="143" t="s">
        <v>16</v>
      </c>
      <c r="E2" s="53"/>
      <c r="F2" s="53"/>
      <c r="G2" s="142" t="s">
        <v>0</v>
      </c>
      <c r="H2" s="14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42" t="s">
        <v>1</v>
      </c>
      <c r="D3" s="143" t="s">
        <v>16</v>
      </c>
      <c r="G3" s="142" t="s">
        <v>1</v>
      </c>
      <c r="H3" s="143" t="s">
        <v>16</v>
      </c>
      <c r="L3" s="107" t="s">
        <v>1</v>
      </c>
      <c r="M3" s="108" t="s">
        <v>16</v>
      </c>
    </row>
    <row r="4" spans="1:40">
      <c r="A4" s="30"/>
      <c r="B4" s="30"/>
      <c r="C4" s="142" t="s">
        <v>52</v>
      </c>
      <c r="D4" s="143" t="s">
        <v>16</v>
      </c>
      <c r="G4" s="142" t="s">
        <v>52</v>
      </c>
      <c r="H4" s="143" t="s">
        <v>16</v>
      </c>
      <c r="L4" s="107" t="s">
        <v>52</v>
      </c>
      <c r="M4" s="108" t="s">
        <v>16</v>
      </c>
    </row>
    <row r="5" spans="1:40">
      <c r="A5" s="30"/>
      <c r="B5" s="30"/>
      <c r="C5" s="142" t="s">
        <v>3</v>
      </c>
      <c r="D5" s="143" t="s">
        <v>12</v>
      </c>
      <c r="G5" s="142" t="s">
        <v>3</v>
      </c>
      <c r="H5" s="143" t="s">
        <v>11</v>
      </c>
      <c r="L5" s="107" t="s">
        <v>3</v>
      </c>
      <c r="M5" s="108" t="s">
        <v>366</v>
      </c>
    </row>
    <row r="6" spans="1:40">
      <c r="A6" s="30"/>
      <c r="B6" s="30"/>
    </row>
    <row r="7" spans="1:40">
      <c r="A7" s="24" t="s">
        <v>330</v>
      </c>
      <c r="B7" s="24" t="s">
        <v>94</v>
      </c>
      <c r="C7" s="142" t="s">
        <v>2</v>
      </c>
      <c r="D7" s="143" t="s">
        <v>302</v>
      </c>
      <c r="E7" s="143" t="s">
        <v>415</v>
      </c>
      <c r="G7" s="142" t="s">
        <v>2</v>
      </c>
      <c r="H7" s="143" t="s">
        <v>378</v>
      </c>
      <c r="I7" s="143" t="s">
        <v>379</v>
      </c>
      <c r="J7" s="14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43">
        <v>2</v>
      </c>
      <c r="K8" s="5"/>
      <c r="L8" s="4" t="s">
        <v>50</v>
      </c>
      <c r="M8" s="9">
        <v>4.4999999999999998E-2</v>
      </c>
      <c r="N8" s="9">
        <v>0</v>
      </c>
      <c r="O8" s="5"/>
    </row>
    <row r="9" spans="1:40">
      <c r="C9" s="4" t="s">
        <v>18</v>
      </c>
      <c r="D9" s="9">
        <v>0.03</v>
      </c>
      <c r="E9" s="9">
        <v>0</v>
      </c>
      <c r="G9" s="4" t="s">
        <v>18</v>
      </c>
      <c r="H9" s="5">
        <v>2</v>
      </c>
      <c r="I9" s="5">
        <v>2</v>
      </c>
      <c r="J9" s="14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61" t="s">
        <v>377</v>
      </c>
      <c r="C1" s="162"/>
      <c r="D1" s="162"/>
      <c r="E1" s="162"/>
      <c r="F1" s="162"/>
      <c r="G1" s="162"/>
      <c r="H1" s="61"/>
      <c r="I1" s="161" t="s">
        <v>365</v>
      </c>
      <c r="J1" s="162"/>
      <c r="K1" s="162"/>
      <c r="L1" s="61"/>
      <c r="M1" s="165" t="s">
        <v>489</v>
      </c>
      <c r="N1" s="166"/>
      <c r="O1" s="162"/>
      <c r="P1" s="162"/>
      <c r="Q1" s="162"/>
      <c r="R1" s="162"/>
      <c r="S1" s="162"/>
      <c r="T1" s="162"/>
      <c r="U1" s="162"/>
      <c r="V1" s="162"/>
    </row>
    <row r="2" spans="1:22" s="31" customFormat="1">
      <c r="B2" s="142" t="s">
        <v>0</v>
      </c>
      <c r="C2" s="143" t="s">
        <v>16</v>
      </c>
      <c r="F2" s="163" t="s">
        <v>0</v>
      </c>
      <c r="G2" s="164" t="s">
        <v>16</v>
      </c>
      <c r="H2" s="57"/>
      <c r="I2" s="107" t="s">
        <v>0</v>
      </c>
      <c r="J2" s="108" t="s">
        <v>16</v>
      </c>
      <c r="L2" s="57"/>
      <c r="M2" s="62"/>
      <c r="N2" s="62"/>
      <c r="O2" s="62"/>
      <c r="P2" s="62"/>
      <c r="Q2" s="62"/>
      <c r="R2" s="62"/>
      <c r="S2" s="62"/>
      <c r="T2" s="62"/>
      <c r="U2" s="62"/>
      <c r="V2" s="62"/>
    </row>
    <row r="3" spans="1:22" s="31" customFormat="1">
      <c r="B3" s="142" t="s">
        <v>1</v>
      </c>
      <c r="C3" s="143" t="s">
        <v>16</v>
      </c>
      <c r="F3" s="163" t="s">
        <v>1</v>
      </c>
      <c r="G3" s="164" t="s">
        <v>16</v>
      </c>
      <c r="H3" s="57"/>
      <c r="I3" s="107" t="s">
        <v>1</v>
      </c>
      <c r="J3" s="108" t="s">
        <v>16</v>
      </c>
      <c r="K3" s="61"/>
      <c r="L3" s="57"/>
      <c r="M3" s="62"/>
      <c r="N3" s="63"/>
      <c r="O3" s="63"/>
      <c r="P3" s="63"/>
      <c r="Q3" s="63"/>
      <c r="R3" s="63"/>
      <c r="S3" s="63"/>
      <c r="T3" s="63"/>
      <c r="U3" s="63"/>
      <c r="V3" s="63"/>
    </row>
    <row r="4" spans="1:22">
      <c r="A4" s="31"/>
      <c r="B4" s="142" t="s">
        <v>2</v>
      </c>
      <c r="C4" s="143" t="s">
        <v>16</v>
      </c>
      <c r="F4" s="142" t="s">
        <v>2</v>
      </c>
      <c r="G4" s="143" t="s">
        <v>16</v>
      </c>
      <c r="I4" s="107" t="s">
        <v>2</v>
      </c>
      <c r="J4" s="108" t="s">
        <v>16</v>
      </c>
      <c r="M4" s="31"/>
      <c r="N4" s="31"/>
    </row>
    <row r="5" spans="1:22">
      <c r="A5" s="31"/>
      <c r="B5" s="142" t="s">
        <v>52</v>
      </c>
      <c r="C5" s="143" t="s">
        <v>16</v>
      </c>
      <c r="F5" s="142" t="s">
        <v>52</v>
      </c>
      <c r="G5" s="143" t="s">
        <v>16</v>
      </c>
      <c r="I5" s="107" t="s">
        <v>52</v>
      </c>
      <c r="J5" s="108" t="s">
        <v>16</v>
      </c>
      <c r="M5" s="134" t="s">
        <v>0</v>
      </c>
      <c r="N5" s="135" t="s">
        <v>16</v>
      </c>
      <c r="S5" s="107" t="s">
        <v>0</v>
      </c>
      <c r="T5" s="108" t="s">
        <v>16</v>
      </c>
    </row>
    <row r="6" spans="1:22">
      <c r="A6" s="31"/>
      <c r="B6" s="142" t="s">
        <v>3</v>
      </c>
      <c r="C6" s="143" t="s">
        <v>12</v>
      </c>
      <c r="F6" s="142" t="s">
        <v>3</v>
      </c>
      <c r="G6" s="143" t="s">
        <v>11</v>
      </c>
      <c r="I6" s="107" t="s">
        <v>3</v>
      </c>
      <c r="J6" s="108" t="s">
        <v>366</v>
      </c>
      <c r="M6" s="134" t="s">
        <v>3</v>
      </c>
      <c r="N6" s="135" t="s">
        <v>310</v>
      </c>
      <c r="S6" s="107" t="s">
        <v>3</v>
      </c>
      <c r="T6" s="108" t="s">
        <v>310</v>
      </c>
    </row>
    <row r="7" spans="1:22">
      <c r="A7" s="31"/>
    </row>
    <row r="8" spans="1:22">
      <c r="A8" s="24" t="s">
        <v>122</v>
      </c>
      <c r="B8" s="142" t="s">
        <v>2</v>
      </c>
      <c r="C8" s="143" t="s">
        <v>302</v>
      </c>
      <c r="D8" s="143" t="s">
        <v>415</v>
      </c>
      <c r="F8" s="14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67" t="s">
        <v>146</v>
      </c>
      <c r="C2" s="168"/>
      <c r="D2" s="168"/>
      <c r="E2" s="168"/>
      <c r="F2" s="168"/>
      <c r="G2" s="168"/>
      <c r="H2" s="168"/>
      <c r="I2" s="168"/>
      <c r="J2" s="168"/>
      <c r="K2" s="168"/>
      <c r="L2" s="161" t="s">
        <v>377</v>
      </c>
      <c r="M2" s="162"/>
      <c r="N2" s="162"/>
      <c r="O2" s="53"/>
    </row>
    <row r="3" spans="1:15">
      <c r="A3" s="30"/>
      <c r="B3" s="54"/>
      <c r="C3" s="55"/>
      <c r="D3" s="55"/>
      <c r="E3" s="55"/>
      <c r="F3" s="55"/>
      <c r="G3" s="55"/>
      <c r="H3" s="55"/>
      <c r="I3" s="55"/>
      <c r="J3" s="55"/>
      <c r="K3" s="55"/>
      <c r="L3" s="142" t="s">
        <v>0</v>
      </c>
      <c r="M3" s="143" t="s">
        <v>16</v>
      </c>
      <c r="N3" s="53"/>
      <c r="O3" s="49"/>
    </row>
    <row r="4" spans="1:15">
      <c r="A4" s="30"/>
      <c r="B4" s="142" t="s">
        <v>0</v>
      </c>
      <c r="C4" s="143" t="s">
        <v>16</v>
      </c>
      <c r="D4" s="33"/>
      <c r="E4" s="33"/>
      <c r="F4" s="142" t="s">
        <v>0</v>
      </c>
      <c r="G4" s="143" t="s">
        <v>16</v>
      </c>
      <c r="I4" s="142" t="s">
        <v>0</v>
      </c>
      <c r="J4" s="143" t="s">
        <v>16</v>
      </c>
      <c r="K4" s="33"/>
      <c r="L4" s="142" t="s">
        <v>1</v>
      </c>
      <c r="M4" s="143" t="s">
        <v>16</v>
      </c>
    </row>
    <row r="5" spans="1:15">
      <c r="A5" s="30"/>
      <c r="B5" s="142" t="s">
        <v>1</v>
      </c>
      <c r="C5" s="143" t="s">
        <v>16</v>
      </c>
      <c r="D5" s="33"/>
      <c r="E5" s="33"/>
      <c r="F5" s="142" t="s">
        <v>1</v>
      </c>
      <c r="G5" s="143" t="s">
        <v>16</v>
      </c>
      <c r="I5" s="142" t="s">
        <v>1</v>
      </c>
      <c r="J5" s="143" t="s">
        <v>16</v>
      </c>
      <c r="K5" s="33"/>
      <c r="L5" s="142" t="s">
        <v>52</v>
      </c>
      <c r="M5" s="143" t="s">
        <v>16</v>
      </c>
    </row>
    <row r="6" spans="1:15">
      <c r="A6" s="30"/>
      <c r="B6" s="142" t="s">
        <v>3</v>
      </c>
      <c r="C6" s="143" t="s">
        <v>113</v>
      </c>
      <c r="D6" s="33"/>
      <c r="E6" s="33"/>
      <c r="F6" s="142" t="s">
        <v>3</v>
      </c>
      <c r="G6" s="143" t="s">
        <v>115</v>
      </c>
      <c r="I6" s="142" t="s">
        <v>3</v>
      </c>
      <c r="J6" s="143" t="s">
        <v>144</v>
      </c>
      <c r="K6" s="33"/>
      <c r="L6" s="142" t="s">
        <v>3</v>
      </c>
      <c r="M6" s="143" t="s">
        <v>15</v>
      </c>
    </row>
    <row r="7" spans="1:15">
      <c r="A7" s="30"/>
    </row>
    <row r="8" spans="1:15">
      <c r="A8" s="24" t="s">
        <v>330</v>
      </c>
      <c r="B8" s="142" t="s">
        <v>2</v>
      </c>
      <c r="C8" s="143" t="s">
        <v>299</v>
      </c>
      <c r="D8" s="143" t="s">
        <v>418</v>
      </c>
      <c r="F8" s="142" t="s">
        <v>2</v>
      </c>
      <c r="G8" t="s">
        <v>298</v>
      </c>
      <c r="I8" s="142" t="s">
        <v>2</v>
      </c>
      <c r="J8" t="s">
        <v>297</v>
      </c>
      <c r="L8" s="142" t="s">
        <v>2</v>
      </c>
      <c r="M8" s="143" t="s">
        <v>300</v>
      </c>
      <c r="N8" s="14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67" t="s">
        <v>146</v>
      </c>
      <c r="C1" s="168"/>
      <c r="D1" s="168"/>
      <c r="E1" s="168"/>
      <c r="F1" s="168"/>
      <c r="G1" s="168"/>
      <c r="H1" s="168"/>
      <c r="I1" s="168"/>
      <c r="J1" s="168"/>
      <c r="K1" s="168"/>
      <c r="L1" s="161" t="s">
        <v>377</v>
      </c>
      <c r="M1" s="162"/>
      <c r="N1" s="162"/>
    </row>
    <row r="2" spans="1:14">
      <c r="A2" s="31"/>
      <c r="B2" s="54"/>
      <c r="C2" s="55"/>
      <c r="D2" s="55"/>
      <c r="E2" s="55"/>
      <c r="F2" s="55"/>
      <c r="G2" s="55"/>
      <c r="H2" s="55"/>
      <c r="I2" s="55"/>
      <c r="J2" s="55"/>
      <c r="K2" s="55"/>
      <c r="L2" s="142" t="s">
        <v>0</v>
      </c>
      <c r="M2" s="143" t="s">
        <v>16</v>
      </c>
      <c r="N2" s="53"/>
    </row>
    <row r="3" spans="1:14">
      <c r="A3" s="31"/>
      <c r="B3" s="142" t="s">
        <v>0</v>
      </c>
      <c r="C3" s="143" t="s">
        <v>16</v>
      </c>
      <c r="F3" s="142" t="s">
        <v>0</v>
      </c>
      <c r="G3" s="143" t="s">
        <v>16</v>
      </c>
      <c r="I3" s="142" t="s">
        <v>0</v>
      </c>
      <c r="J3" s="143" t="s">
        <v>16</v>
      </c>
      <c r="L3" s="142" t="s">
        <v>1</v>
      </c>
      <c r="M3" s="143" t="s">
        <v>16</v>
      </c>
    </row>
    <row r="4" spans="1:14">
      <c r="A4" s="31"/>
      <c r="B4" s="142" t="s">
        <v>1</v>
      </c>
      <c r="C4" s="143" t="s">
        <v>16</v>
      </c>
      <c r="D4" s="33"/>
      <c r="E4" s="33"/>
      <c r="F4" s="142" t="s">
        <v>1</v>
      </c>
      <c r="G4" s="143" t="s">
        <v>16</v>
      </c>
      <c r="I4" s="142" t="s">
        <v>1</v>
      </c>
      <c r="J4" s="143" t="s">
        <v>16</v>
      </c>
      <c r="K4" s="33"/>
      <c r="L4" s="142" t="s">
        <v>2</v>
      </c>
      <c r="M4" s="143" t="s">
        <v>16</v>
      </c>
    </row>
    <row r="5" spans="1:14">
      <c r="A5" s="31"/>
      <c r="B5" s="142" t="s">
        <v>2</v>
      </c>
      <c r="C5" s="143" t="s">
        <v>16</v>
      </c>
      <c r="D5" s="33"/>
      <c r="E5" s="33"/>
      <c r="F5" s="142" t="s">
        <v>2</v>
      </c>
      <c r="G5" s="143" t="s">
        <v>16</v>
      </c>
      <c r="I5" s="142" t="s">
        <v>2</v>
      </c>
      <c r="J5" s="143" t="s">
        <v>16</v>
      </c>
      <c r="K5" s="33"/>
      <c r="L5" s="142" t="s">
        <v>52</v>
      </c>
      <c r="M5" s="143" t="s">
        <v>16</v>
      </c>
    </row>
    <row r="6" spans="1:14">
      <c r="A6" s="31"/>
      <c r="B6" s="142" t="s">
        <v>3</v>
      </c>
      <c r="C6" s="143" t="s">
        <v>113</v>
      </c>
      <c r="D6" s="33"/>
      <c r="E6" s="33"/>
      <c r="F6" s="142" t="s">
        <v>3</v>
      </c>
      <c r="G6" s="143" t="s">
        <v>115</v>
      </c>
      <c r="I6" s="142" t="s">
        <v>3</v>
      </c>
      <c r="J6" s="143" t="s">
        <v>144</v>
      </c>
      <c r="K6" s="33"/>
      <c r="L6" s="142" t="s">
        <v>3</v>
      </c>
      <c r="M6" s="143" t="s">
        <v>15</v>
      </c>
    </row>
    <row r="7" spans="1:14">
      <c r="A7" s="31"/>
    </row>
    <row r="8" spans="1:14">
      <c r="A8" s="24" t="s">
        <v>122</v>
      </c>
      <c r="B8" s="142" t="s">
        <v>296</v>
      </c>
      <c r="C8" s="143" t="s">
        <v>299</v>
      </c>
      <c r="D8" s="143" t="s">
        <v>415</v>
      </c>
      <c r="F8" s="142" t="s">
        <v>296</v>
      </c>
      <c r="G8" t="s">
        <v>298</v>
      </c>
      <c r="I8" s="142" t="s">
        <v>296</v>
      </c>
      <c r="J8" t="s">
        <v>297</v>
      </c>
      <c r="L8" s="142" t="s">
        <v>296</v>
      </c>
      <c r="M8" s="143" t="s">
        <v>300</v>
      </c>
      <c r="N8" s="14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65" t="s">
        <v>308</v>
      </c>
      <c r="C3" s="145"/>
      <c r="D3" s="145"/>
      <c r="E3" s="145"/>
      <c r="F3" s="145"/>
      <c r="G3" s="145"/>
      <c r="H3" s="145"/>
      <c r="I3" s="145"/>
      <c r="J3" s="145"/>
      <c r="K3" s="145"/>
      <c r="M3" s="165" t="s">
        <v>475</v>
      </c>
      <c r="N3" s="162"/>
      <c r="O3" s="162"/>
      <c r="P3" s="162"/>
      <c r="Q3" s="162"/>
      <c r="R3" s="162"/>
      <c r="S3" s="162"/>
    </row>
    <row r="4" spans="1:19">
      <c r="A4" s="31"/>
      <c r="B4" s="165"/>
      <c r="C4" s="145"/>
      <c r="D4" s="145"/>
      <c r="E4" s="145"/>
      <c r="F4" s="145"/>
      <c r="G4" s="145"/>
      <c r="H4" s="145"/>
      <c r="I4" s="145"/>
      <c r="J4" s="145"/>
      <c r="K4" s="145"/>
      <c r="M4" s="96"/>
      <c r="N4" s="142" t="s">
        <v>0</v>
      </c>
      <c r="O4" s="143" t="s">
        <v>16</v>
      </c>
      <c r="P4" s="96"/>
      <c r="Q4" s="142" t="s">
        <v>0</v>
      </c>
      <c r="R4" s="143" t="s">
        <v>16</v>
      </c>
      <c r="S4" s="33"/>
    </row>
    <row r="5" spans="1:19">
      <c r="A5" s="31"/>
      <c r="B5" s="134" t="s">
        <v>0</v>
      </c>
      <c r="C5" s="135" t="s">
        <v>16</v>
      </c>
      <c r="E5" s="134" t="s">
        <v>0</v>
      </c>
      <c r="F5" s="135" t="s">
        <v>16</v>
      </c>
      <c r="I5" s="134" t="s">
        <v>0</v>
      </c>
      <c r="J5" s="135" t="s">
        <v>16</v>
      </c>
      <c r="K5" s="52"/>
      <c r="M5" s="96"/>
      <c r="N5" s="142" t="s">
        <v>1</v>
      </c>
      <c r="O5" s="143" t="s">
        <v>16</v>
      </c>
      <c r="P5" s="96"/>
      <c r="Q5" s="142" t="s">
        <v>1</v>
      </c>
      <c r="R5" s="143" t="s">
        <v>16</v>
      </c>
      <c r="S5" s="33"/>
    </row>
    <row r="6" spans="1:19">
      <c r="A6" s="31"/>
      <c r="B6" s="134" t="s">
        <v>3</v>
      </c>
      <c r="C6" s="135" t="s">
        <v>294</v>
      </c>
      <c r="E6" s="134" t="s">
        <v>3</v>
      </c>
      <c r="F6" s="135" t="s">
        <v>334</v>
      </c>
      <c r="I6" s="134" t="s">
        <v>3</v>
      </c>
      <c r="J6" s="135" t="s">
        <v>335</v>
      </c>
      <c r="K6" s="52"/>
      <c r="M6" s="96"/>
      <c r="N6" s="142" t="s">
        <v>3</v>
      </c>
      <c r="O6" s="143" t="s">
        <v>466</v>
      </c>
      <c r="P6" s="96"/>
      <c r="Q6" s="142" t="s">
        <v>3</v>
      </c>
      <c r="R6" s="14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42" t="s">
        <v>2</v>
      </c>
      <c r="O8" t="s">
        <v>472</v>
      </c>
      <c r="P8" s="96"/>
      <c r="Q8" s="142" t="s">
        <v>2</v>
      </c>
      <c r="R8" s="143" t="s">
        <v>473</v>
      </c>
      <c r="S8" s="14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69" t="s">
        <v>528</v>
      </c>
      <c r="C4" s="170"/>
      <c r="D4" s="170"/>
      <c r="E4" s="170"/>
      <c r="F4" s="170"/>
      <c r="G4" s="170"/>
      <c r="H4" s="170"/>
      <c r="I4" s="170"/>
      <c r="J4" s="170"/>
      <c r="K4" s="170"/>
      <c r="M4" s="169" t="s">
        <v>529</v>
      </c>
      <c r="N4" s="170"/>
      <c r="O4" s="170"/>
      <c r="P4" s="170"/>
      <c r="Q4" s="170"/>
      <c r="R4" s="170"/>
      <c r="S4" s="170"/>
      <c r="T4" s="170"/>
      <c r="U4" s="170"/>
      <c r="V4" s="170"/>
      <c r="X4" s="169" t="s">
        <v>301</v>
      </c>
      <c r="Y4" s="170"/>
      <c r="Z4" s="170"/>
      <c r="AA4" s="170"/>
      <c r="AB4" s="170"/>
      <c r="AC4" s="170"/>
      <c r="AD4" s="170"/>
      <c r="AE4" s="170"/>
      <c r="AF4" s="170"/>
      <c r="AG4" s="170"/>
      <c r="AH4" s="145"/>
      <c r="AI4" s="145"/>
      <c r="AJ4" s="145"/>
    </row>
    <row r="5" spans="1:36">
      <c r="A5" s="45"/>
      <c r="B5" s="134" t="s">
        <v>0</v>
      </c>
      <c r="C5" s="135" t="s">
        <v>16</v>
      </c>
      <c r="D5" s="33"/>
      <c r="G5" s="33"/>
      <c r="H5" s="134" t="s">
        <v>0</v>
      </c>
      <c r="I5" s="135" t="s">
        <v>16</v>
      </c>
      <c r="M5" s="134" t="s">
        <v>0</v>
      </c>
      <c r="N5" s="135" t="s">
        <v>16</v>
      </c>
      <c r="O5" s="33"/>
      <c r="R5" s="33"/>
      <c r="S5" s="134" t="s">
        <v>0</v>
      </c>
      <c r="T5" s="135" t="s">
        <v>16</v>
      </c>
      <c r="X5" s="136" t="s">
        <v>575</v>
      </c>
      <c r="Y5" s="13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36" t="s">
        <v>0</v>
      </c>
      <c r="Y6" s="13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37" t="s">
        <v>625</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498</v>
      </c>
      <c r="Y9" s="5"/>
      <c r="Z9" s="131"/>
      <c r="AA9" s="131"/>
      <c r="AB9" s="137"/>
      <c r="AC9" s="5"/>
      <c r="AD9" s="5"/>
      <c r="AE9" s="5"/>
      <c r="AF9" s="5"/>
      <c r="AG9" s="5"/>
      <c r="AH9" s="5"/>
      <c r="AI9" s="5"/>
      <c r="AJ9" s="5"/>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620</v>
      </c>
      <c r="Y10" s="5">
        <v>2</v>
      </c>
      <c r="Z10" s="131">
        <v>4.9768518518518521E-4</v>
      </c>
      <c r="AA10" s="131">
        <v>3.3564814814814818E-4</v>
      </c>
      <c r="AB10" s="137">
        <v>0</v>
      </c>
      <c r="AC10" s="5">
        <v>1</v>
      </c>
      <c r="AD10" s="5">
        <v>0</v>
      </c>
      <c r="AE10" s="5"/>
      <c r="AF10" s="5">
        <v>3</v>
      </c>
      <c r="AG10" s="5">
        <v>69156</v>
      </c>
      <c r="AH10" s="5">
        <v>0</v>
      </c>
      <c r="AI10" s="5">
        <v>0</v>
      </c>
      <c r="AJ10" s="5">
        <v>1</v>
      </c>
    </row>
    <row r="11" spans="1:36">
      <c r="X11" s="4" t="s">
        <v>18</v>
      </c>
      <c r="Y11" s="5">
        <v>2</v>
      </c>
      <c r="Z11" s="131">
        <v>4.9768518518518521E-4</v>
      </c>
      <c r="AA11" s="131">
        <v>3.3564814814814818E-4</v>
      </c>
      <c r="AB11" s="13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0" sqref="A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71" t="s">
        <v>147</v>
      </c>
      <c r="C2" s="168"/>
      <c r="D2" s="168"/>
      <c r="E2" s="168"/>
      <c r="F2" s="168"/>
      <c r="G2" s="168"/>
      <c r="H2" s="168"/>
      <c r="I2" s="172"/>
      <c r="J2" s="86"/>
      <c r="K2" s="161" t="s">
        <v>365</v>
      </c>
      <c r="L2" s="145"/>
      <c r="M2" s="57"/>
      <c r="N2" s="161" t="s">
        <v>377</v>
      </c>
      <c r="O2" s="145"/>
      <c r="P2" s="145"/>
      <c r="Q2" s="145"/>
      <c r="R2" s="145"/>
      <c r="S2" s="145"/>
      <c r="T2" s="145"/>
      <c r="U2" s="145"/>
      <c r="V2" s="145"/>
      <c r="W2" s="145"/>
      <c r="X2" s="145"/>
      <c r="Y2" s="145"/>
    </row>
    <row r="3" spans="1:26" s="31" customFormat="1">
      <c r="A3" s="30"/>
      <c r="B3" s="142" t="s">
        <v>150</v>
      </c>
      <c r="C3" s="143" t="s">
        <v>16</v>
      </c>
      <c r="D3" s="55"/>
      <c r="E3" s="142" t="s">
        <v>150</v>
      </c>
      <c r="F3" s="143" t="s">
        <v>16</v>
      </c>
      <c r="G3" s="55"/>
      <c r="H3" s="142" t="s">
        <v>150</v>
      </c>
      <c r="I3" s="143" t="s">
        <v>16</v>
      </c>
      <c r="J3" s="86"/>
      <c r="K3" s="111" t="s">
        <v>150</v>
      </c>
      <c r="L3" s="112" t="s">
        <v>365</v>
      </c>
      <c r="M3" s="57"/>
      <c r="N3" s="142" t="s">
        <v>0</v>
      </c>
      <c r="O3" s="143" t="s">
        <v>16</v>
      </c>
      <c r="R3" s="142" t="s">
        <v>0</v>
      </c>
      <c r="S3" s="143" t="s">
        <v>16</v>
      </c>
      <c r="T3" s="34"/>
      <c r="V3" s="142" t="s">
        <v>0</v>
      </c>
      <c r="W3" s="143" t="s">
        <v>16</v>
      </c>
    </row>
    <row r="4" spans="1:26">
      <c r="A4" s="30"/>
      <c r="B4" s="142" t="s">
        <v>0</v>
      </c>
      <c r="C4" s="143" t="s">
        <v>16</v>
      </c>
      <c r="D4" s="33"/>
      <c r="E4" s="142" t="s">
        <v>0</v>
      </c>
      <c r="F4" s="143" t="s">
        <v>16</v>
      </c>
      <c r="G4" s="33"/>
      <c r="H4" s="142" t="s">
        <v>0</v>
      </c>
      <c r="I4" s="143" t="s">
        <v>16</v>
      </c>
      <c r="K4" s="111" t="s">
        <v>0</v>
      </c>
      <c r="L4" s="112" t="s">
        <v>16</v>
      </c>
      <c r="N4" s="142" t="s">
        <v>1</v>
      </c>
      <c r="O4" s="143" t="s">
        <v>16</v>
      </c>
      <c r="Q4" s="8"/>
      <c r="R4" s="142" t="s">
        <v>1</v>
      </c>
      <c r="S4" s="143" t="s">
        <v>16</v>
      </c>
      <c r="T4"/>
      <c r="V4" s="142" t="s">
        <v>1</v>
      </c>
      <c r="W4" s="143" t="s">
        <v>16</v>
      </c>
      <c r="Z4" s="8"/>
    </row>
    <row r="5" spans="1:26">
      <c r="A5" s="30"/>
      <c r="B5" s="142" t="s">
        <v>1</v>
      </c>
      <c r="C5" s="143" t="s">
        <v>16</v>
      </c>
      <c r="D5" s="33"/>
      <c r="E5" s="142" t="s">
        <v>1</v>
      </c>
      <c r="F5" s="143" t="s">
        <v>16</v>
      </c>
      <c r="G5" s="33"/>
      <c r="H5" s="142" t="s">
        <v>1</v>
      </c>
      <c r="I5" s="143" t="s">
        <v>16</v>
      </c>
      <c r="K5" s="111" t="s">
        <v>1</v>
      </c>
      <c r="L5" s="112" t="s">
        <v>16</v>
      </c>
      <c r="N5" s="142" t="s">
        <v>52</v>
      </c>
      <c r="O5" s="143" t="s">
        <v>16</v>
      </c>
      <c r="Q5" s="8"/>
      <c r="R5" s="142" t="s">
        <v>52</v>
      </c>
      <c r="S5" s="143" t="s">
        <v>16</v>
      </c>
      <c r="T5"/>
      <c r="V5" s="142" t="s">
        <v>52</v>
      </c>
      <c r="W5" s="143" t="s">
        <v>16</v>
      </c>
      <c r="Z5" s="8"/>
    </row>
    <row r="6" spans="1:26">
      <c r="A6" s="30"/>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26">
      <c r="A7" s="30"/>
      <c r="Q7" s="8"/>
      <c r="T7"/>
      <c r="Z7" s="8"/>
    </row>
    <row r="8" spans="1:26" ht="30">
      <c r="A8" s="24" t="s">
        <v>330</v>
      </c>
      <c r="B8" s="142" t="s">
        <v>2</v>
      </c>
      <c r="C8" t="s">
        <v>439</v>
      </c>
      <c r="E8" s="142" t="s">
        <v>2</v>
      </c>
      <c r="F8" s="32" t="s">
        <v>388</v>
      </c>
      <c r="H8" s="142" t="s">
        <v>2</v>
      </c>
      <c r="I8" s="32" t="s">
        <v>440</v>
      </c>
      <c r="J8" s="32"/>
      <c r="K8" s="111" t="s">
        <v>2</v>
      </c>
      <c r="L8" t="s">
        <v>439</v>
      </c>
      <c r="N8" s="142" t="s">
        <v>2</v>
      </c>
      <c r="O8" s="32" t="s">
        <v>385</v>
      </c>
      <c r="P8" s="32" t="s">
        <v>415</v>
      </c>
      <c r="Q8" s="8"/>
      <c r="R8" s="142" t="s">
        <v>2</v>
      </c>
      <c r="S8" s="32" t="s">
        <v>386</v>
      </c>
      <c r="T8" s="32" t="s">
        <v>419</v>
      </c>
      <c r="V8" s="142" t="s">
        <v>2</v>
      </c>
      <c r="W8" s="14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71" t="s">
        <v>387</v>
      </c>
      <c r="C1" s="168"/>
      <c r="D1" s="168"/>
      <c r="E1" s="168"/>
      <c r="F1" s="168"/>
      <c r="G1" s="168"/>
      <c r="H1" s="168"/>
      <c r="I1" s="172"/>
      <c r="J1" s="86"/>
      <c r="K1" s="161" t="s">
        <v>365</v>
      </c>
      <c r="L1" s="162"/>
      <c r="M1" s="86"/>
      <c r="N1" s="173" t="s">
        <v>377</v>
      </c>
      <c r="O1" s="162"/>
      <c r="P1" s="162"/>
      <c r="Q1" s="162"/>
      <c r="R1" s="162"/>
      <c r="S1" s="162"/>
      <c r="T1" s="162"/>
      <c r="U1" s="162"/>
      <c r="V1" s="162"/>
      <c r="W1" s="162"/>
      <c r="X1" s="162"/>
      <c r="Y1" s="162"/>
    </row>
    <row r="2" spans="1:36">
      <c r="A2" s="31"/>
      <c r="B2" s="142" t="s">
        <v>150</v>
      </c>
      <c r="C2" s="143" t="s">
        <v>16</v>
      </c>
      <c r="D2" s="55"/>
      <c r="E2" s="142" t="s">
        <v>150</v>
      </c>
      <c r="F2" s="143" t="s">
        <v>16</v>
      </c>
      <c r="G2" s="55"/>
      <c r="H2" s="142" t="s">
        <v>150</v>
      </c>
      <c r="I2" s="143" t="s">
        <v>16</v>
      </c>
      <c r="K2" s="111" t="s">
        <v>150</v>
      </c>
      <c r="L2" s="112" t="s">
        <v>365</v>
      </c>
      <c r="M2" s="86"/>
      <c r="N2" s="142" t="s">
        <v>0</v>
      </c>
      <c r="O2" s="143" t="s">
        <v>16</v>
      </c>
      <c r="P2" s="31"/>
      <c r="Q2" s="31"/>
      <c r="R2" s="142" t="s">
        <v>0</v>
      </c>
      <c r="S2" s="143" t="s">
        <v>16</v>
      </c>
      <c r="T2" s="31"/>
      <c r="U2" s="31"/>
      <c r="V2" s="142" t="s">
        <v>0</v>
      </c>
      <c r="W2" s="143" t="s">
        <v>16</v>
      </c>
      <c r="X2" s="86"/>
      <c r="Y2" s="86"/>
      <c r="Z2" s="86"/>
      <c r="AA2" s="86"/>
      <c r="AB2" s="86"/>
      <c r="AC2" s="86"/>
      <c r="AD2" s="86"/>
      <c r="AE2" s="86"/>
      <c r="AF2" s="86"/>
      <c r="AG2" s="86"/>
      <c r="AH2" s="86"/>
      <c r="AI2" s="86"/>
      <c r="AJ2" s="86"/>
    </row>
    <row r="3" spans="1:36" s="31" customFormat="1">
      <c r="B3" s="142" t="s">
        <v>0</v>
      </c>
      <c r="C3" s="143" t="s">
        <v>16</v>
      </c>
      <c r="E3" s="142" t="s">
        <v>0</v>
      </c>
      <c r="F3" s="143" t="s">
        <v>16</v>
      </c>
      <c r="H3" s="142" t="s">
        <v>0</v>
      </c>
      <c r="I3" s="143" t="s">
        <v>16</v>
      </c>
      <c r="J3" s="86"/>
      <c r="K3" s="111" t="s">
        <v>0</v>
      </c>
      <c r="L3" s="112" t="s">
        <v>16</v>
      </c>
      <c r="M3" s="86"/>
      <c r="N3" s="142" t="s">
        <v>1</v>
      </c>
      <c r="O3" s="143" t="s">
        <v>16</v>
      </c>
      <c r="R3" s="142" t="s">
        <v>1</v>
      </c>
      <c r="S3" s="143" t="s">
        <v>16</v>
      </c>
      <c r="T3" s="34"/>
      <c r="V3" s="142" t="s">
        <v>1</v>
      </c>
      <c r="W3" s="143" t="s">
        <v>16</v>
      </c>
      <c r="X3" s="86"/>
      <c r="Y3" s="86"/>
      <c r="Z3" s="86"/>
      <c r="AA3" s="86"/>
      <c r="AB3" s="86"/>
      <c r="AC3" s="86"/>
      <c r="AD3" s="86"/>
      <c r="AE3" s="86"/>
      <c r="AF3" s="86"/>
      <c r="AG3" s="86"/>
      <c r="AH3" s="86"/>
      <c r="AI3" s="86"/>
      <c r="AJ3" s="86"/>
    </row>
    <row r="4" spans="1:36">
      <c r="A4" s="31"/>
      <c r="B4" s="142" t="s">
        <v>1</v>
      </c>
      <c r="C4" s="143" t="s">
        <v>16</v>
      </c>
      <c r="D4" s="33"/>
      <c r="E4" s="142" t="s">
        <v>1</v>
      </c>
      <c r="F4" s="143" t="s">
        <v>16</v>
      </c>
      <c r="G4" s="33"/>
      <c r="H4" s="142" t="s">
        <v>1</v>
      </c>
      <c r="I4" s="143" t="s">
        <v>16</v>
      </c>
      <c r="K4" s="111" t="s">
        <v>1</v>
      </c>
      <c r="L4" s="112" t="s">
        <v>16</v>
      </c>
      <c r="N4" s="142" t="s">
        <v>2</v>
      </c>
      <c r="O4" s="143" t="s">
        <v>16</v>
      </c>
      <c r="Q4" s="8"/>
      <c r="R4" s="142" t="s">
        <v>2</v>
      </c>
      <c r="S4" s="143" t="s">
        <v>16</v>
      </c>
      <c r="T4"/>
      <c r="V4" s="142" t="s">
        <v>2</v>
      </c>
      <c r="W4" s="143" t="s">
        <v>16</v>
      </c>
      <c r="X4" s="86"/>
      <c r="Z4" s="86"/>
      <c r="AA4" s="86"/>
      <c r="AB4" s="86"/>
      <c r="AC4" s="86"/>
      <c r="AD4" s="86"/>
      <c r="AE4" s="86"/>
      <c r="AF4" s="86"/>
      <c r="AG4" s="86"/>
      <c r="AH4" s="86"/>
      <c r="AI4" s="86"/>
      <c r="AJ4" s="86"/>
    </row>
    <row r="5" spans="1:36">
      <c r="A5" s="31"/>
      <c r="B5" s="142" t="s">
        <v>2</v>
      </c>
      <c r="C5" s="143" t="s">
        <v>16</v>
      </c>
      <c r="D5" s="33"/>
      <c r="E5" s="142" t="s">
        <v>2</v>
      </c>
      <c r="F5" s="143" t="s">
        <v>16</v>
      </c>
      <c r="G5" s="33"/>
      <c r="H5" s="142" t="s">
        <v>2</v>
      </c>
      <c r="I5" s="143" t="s">
        <v>16</v>
      </c>
      <c r="K5" s="111" t="s">
        <v>2</v>
      </c>
      <c r="L5" s="112" t="s">
        <v>16</v>
      </c>
      <c r="N5" s="142" t="s">
        <v>52</v>
      </c>
      <c r="O5" s="143" t="s">
        <v>16</v>
      </c>
      <c r="Q5" s="8"/>
      <c r="R5" s="142" t="s">
        <v>52</v>
      </c>
      <c r="S5" s="143" t="s">
        <v>16</v>
      </c>
      <c r="T5"/>
      <c r="V5" s="142" t="s">
        <v>52</v>
      </c>
      <c r="W5" s="143" t="s">
        <v>16</v>
      </c>
      <c r="Z5" s="8"/>
    </row>
    <row r="6" spans="1:36">
      <c r="A6" s="31"/>
      <c r="B6" s="142" t="s">
        <v>3</v>
      </c>
      <c r="C6" s="143" t="s">
        <v>109</v>
      </c>
      <c r="D6" s="33"/>
      <c r="E6" s="142" t="s">
        <v>3</v>
      </c>
      <c r="F6" s="143" t="s">
        <v>143</v>
      </c>
      <c r="G6" s="33"/>
      <c r="H6" s="142" t="s">
        <v>3</v>
      </c>
      <c r="I6" s="143" t="s">
        <v>112</v>
      </c>
      <c r="K6" s="111" t="s">
        <v>3</v>
      </c>
      <c r="L6" s="112" t="s">
        <v>109</v>
      </c>
      <c r="N6" s="142" t="s">
        <v>3</v>
      </c>
      <c r="O6" s="143" t="s">
        <v>13</v>
      </c>
      <c r="Q6" s="8"/>
      <c r="R6" s="142" t="s">
        <v>3</v>
      </c>
      <c r="S6" s="143" t="s">
        <v>14</v>
      </c>
      <c r="T6"/>
      <c r="V6" s="142" t="s">
        <v>3</v>
      </c>
      <c r="W6" s="143" t="s">
        <v>8</v>
      </c>
      <c r="Z6" s="8"/>
    </row>
    <row r="7" spans="1:36">
      <c r="A7" s="31"/>
      <c r="Q7" s="8"/>
      <c r="T7"/>
      <c r="Z7" s="8"/>
    </row>
    <row r="8" spans="1:36" ht="30">
      <c r="A8" s="24" t="s">
        <v>122</v>
      </c>
      <c r="B8" s="142" t="s">
        <v>2</v>
      </c>
      <c r="C8" t="s">
        <v>385</v>
      </c>
      <c r="E8" s="142" t="s">
        <v>2</v>
      </c>
      <c r="F8" s="32" t="s">
        <v>388</v>
      </c>
      <c r="H8" s="142" t="s">
        <v>2</v>
      </c>
      <c r="I8" s="32" t="s">
        <v>386</v>
      </c>
      <c r="J8" s="32"/>
      <c r="K8" s="111" t="s">
        <v>2</v>
      </c>
      <c r="L8" t="s">
        <v>385</v>
      </c>
      <c r="N8" s="142" t="s">
        <v>2</v>
      </c>
      <c r="O8" s="32" t="s">
        <v>385</v>
      </c>
      <c r="P8" s="32" t="s">
        <v>386</v>
      </c>
      <c r="Q8" s="8"/>
      <c r="R8" s="142" t="s">
        <v>2</v>
      </c>
      <c r="S8" s="32" t="s">
        <v>386</v>
      </c>
      <c r="T8" s="32" t="s">
        <v>419</v>
      </c>
      <c r="V8" s="142" t="s">
        <v>2</v>
      </c>
      <c r="W8" s="14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67" t="s">
        <v>490</v>
      </c>
      <c r="C4" s="162"/>
      <c r="D4" s="162"/>
      <c r="E4" s="162"/>
      <c r="F4" s="162"/>
      <c r="G4" s="162"/>
      <c r="H4" s="162"/>
      <c r="I4" s="162"/>
      <c r="J4" s="162"/>
      <c r="K4" s="162"/>
      <c r="L4" s="162"/>
      <c r="M4" s="162"/>
      <c r="N4" s="162"/>
      <c r="O4" s="162"/>
      <c r="P4" s="162"/>
      <c r="Q4" s="162"/>
      <c r="R4" s="162"/>
      <c r="S4" s="162"/>
      <c r="T4" s="162"/>
      <c r="U4" s="162"/>
      <c r="V4" s="162"/>
      <c r="W4" s="162"/>
      <c r="X4" s="162"/>
      <c r="Y4" s="162"/>
      <c r="Z4" s="162"/>
      <c r="AA4" s="37"/>
      <c r="AB4" s="37"/>
    </row>
    <row r="5" spans="1:28">
      <c r="A5" s="45"/>
      <c r="B5" s="134" t="s">
        <v>0</v>
      </c>
      <c r="C5" s="135" t="s">
        <v>16</v>
      </c>
      <c r="D5" s="33"/>
      <c r="E5" s="134" t="s">
        <v>0</v>
      </c>
      <c r="F5" s="135" t="s">
        <v>16</v>
      </c>
      <c r="G5" s="33"/>
      <c r="H5" s="134" t="s">
        <v>0</v>
      </c>
      <c r="I5" s="135" t="s">
        <v>16</v>
      </c>
      <c r="K5" s="134" t="s">
        <v>0</v>
      </c>
      <c r="L5" s="135" t="s">
        <v>16</v>
      </c>
      <c r="M5" s="174" t="s">
        <v>552</v>
      </c>
      <c r="N5" s="145"/>
      <c r="S5" s="134" t="s">
        <v>0</v>
      </c>
      <c r="T5" s="135" t="s">
        <v>16</v>
      </c>
      <c r="U5" s="174" t="s">
        <v>553</v>
      </c>
      <c r="V5" s="145"/>
      <c r="W5" s="145"/>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67" t="s">
        <v>301</v>
      </c>
      <c r="C4" s="162"/>
      <c r="D4" s="162"/>
      <c r="E4" s="162"/>
      <c r="F4" s="162"/>
      <c r="G4" s="162"/>
      <c r="H4" s="162"/>
      <c r="I4" s="162"/>
      <c r="J4" s="162"/>
      <c r="K4" s="162"/>
      <c r="L4" s="162"/>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67" t="s">
        <v>301</v>
      </c>
      <c r="D2" s="162"/>
      <c r="E2" s="162"/>
      <c r="F2" s="162"/>
      <c r="G2" s="162"/>
      <c r="H2" s="162"/>
      <c r="I2" s="162"/>
      <c r="J2" s="162"/>
      <c r="K2" s="162"/>
      <c r="L2" s="162"/>
      <c r="M2" s="162"/>
      <c r="N2" s="162"/>
      <c r="O2" s="162"/>
      <c r="P2" s="162"/>
      <c r="Q2" s="162"/>
      <c r="R2" s="162"/>
      <c r="S2" s="162"/>
      <c r="T2" s="162"/>
      <c r="U2" s="162"/>
    </row>
    <row r="3" spans="1:21">
      <c r="A3" s="30"/>
      <c r="B3" s="30"/>
      <c r="C3" s="142" t="s">
        <v>0</v>
      </c>
      <c r="D3" s="143" t="s">
        <v>16</v>
      </c>
      <c r="F3" s="142" t="s">
        <v>0</v>
      </c>
      <c r="G3" s="143" t="s">
        <v>16</v>
      </c>
      <c r="I3" s="142" t="s">
        <v>0</v>
      </c>
      <c r="J3" s="143" t="s">
        <v>16</v>
      </c>
      <c r="L3" s="142" t="s">
        <v>0</v>
      </c>
      <c r="M3" s="143" t="s">
        <v>16</v>
      </c>
      <c r="O3" s="142" t="s">
        <v>0</v>
      </c>
      <c r="P3" s="143" t="s">
        <v>16</v>
      </c>
      <c r="Q3" s="33"/>
      <c r="R3" s="33"/>
      <c r="S3" s="142" t="s">
        <v>0</v>
      </c>
      <c r="T3" s="143" t="s">
        <v>16</v>
      </c>
      <c r="U3" s="33"/>
    </row>
    <row r="4" spans="1:21">
      <c r="A4" s="30"/>
      <c r="B4" s="30"/>
      <c r="C4" s="142" t="s">
        <v>1</v>
      </c>
      <c r="D4" s="143" t="s">
        <v>16</v>
      </c>
      <c r="F4" s="142" t="s">
        <v>1</v>
      </c>
      <c r="G4" s="143" t="s">
        <v>16</v>
      </c>
      <c r="I4" s="142" t="s">
        <v>1</v>
      </c>
      <c r="J4" s="143" t="s">
        <v>16</v>
      </c>
      <c r="L4" s="142" t="s">
        <v>1</v>
      </c>
      <c r="M4" s="143" t="s">
        <v>16</v>
      </c>
      <c r="O4" s="142" t="s">
        <v>1</v>
      </c>
      <c r="P4" s="143" t="s">
        <v>16</v>
      </c>
      <c r="Q4" s="33"/>
      <c r="R4" s="33"/>
      <c r="S4" s="142" t="s">
        <v>1</v>
      </c>
      <c r="T4" s="143" t="s">
        <v>16</v>
      </c>
      <c r="U4" s="33"/>
    </row>
    <row r="5" spans="1:21">
      <c r="A5" s="30"/>
      <c r="B5" s="30"/>
      <c r="C5" s="142" t="s">
        <v>3</v>
      </c>
      <c r="D5" s="143" t="s">
        <v>142</v>
      </c>
      <c r="F5" s="142" t="s">
        <v>3</v>
      </c>
      <c r="G5" s="143" t="s">
        <v>151</v>
      </c>
      <c r="I5" s="142" t="s">
        <v>3</v>
      </c>
      <c r="J5" s="143" t="s">
        <v>153</v>
      </c>
      <c r="L5" s="142" t="s">
        <v>3</v>
      </c>
      <c r="M5" s="143" t="s">
        <v>154</v>
      </c>
      <c r="O5" s="142" t="s">
        <v>3</v>
      </c>
      <c r="P5" s="143" t="s">
        <v>413</v>
      </c>
      <c r="S5" s="142" t="s">
        <v>3</v>
      </c>
      <c r="T5" s="143" t="s">
        <v>414</v>
      </c>
    </row>
    <row r="6" spans="1:21">
      <c r="A6" s="30"/>
      <c r="B6" s="30"/>
    </row>
    <row r="7" spans="1:21">
      <c r="A7" s="24" t="s">
        <v>330</v>
      </c>
      <c r="B7" s="24" t="s">
        <v>94</v>
      </c>
      <c r="C7" s="142" t="s">
        <v>2</v>
      </c>
      <c r="D7" t="s">
        <v>295</v>
      </c>
      <c r="F7" s="142" t="s">
        <v>2</v>
      </c>
      <c r="G7" t="s">
        <v>305</v>
      </c>
      <c r="I7" s="142" t="s">
        <v>2</v>
      </c>
      <c r="J7" t="s">
        <v>306</v>
      </c>
      <c r="L7" s="142" t="s">
        <v>2</v>
      </c>
      <c r="M7" t="s">
        <v>307</v>
      </c>
      <c r="O7" s="142" t="s">
        <v>2</v>
      </c>
      <c r="P7" s="143" t="s">
        <v>341</v>
      </c>
      <c r="Q7" s="143" t="s">
        <v>415</v>
      </c>
      <c r="S7" s="14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67" t="s">
        <v>301</v>
      </c>
      <c r="C2" s="162"/>
      <c r="D2" s="162"/>
      <c r="E2" s="162"/>
      <c r="F2" s="162"/>
      <c r="G2" s="162"/>
      <c r="H2" s="162"/>
      <c r="I2" s="162"/>
      <c r="J2" s="162"/>
      <c r="K2" s="162"/>
      <c r="L2" s="162"/>
      <c r="M2" s="162"/>
      <c r="N2" s="162"/>
      <c r="O2" s="162"/>
      <c r="P2" s="162"/>
      <c r="Q2" s="162"/>
      <c r="R2" s="162"/>
      <c r="S2" s="162"/>
      <c r="T2" s="162"/>
    </row>
    <row r="3" spans="1:20" s="31" customFormat="1">
      <c r="B3" s="142" t="s">
        <v>0</v>
      </c>
      <c r="C3" s="143" t="s">
        <v>16</v>
      </c>
      <c r="E3" s="142" t="s">
        <v>0</v>
      </c>
      <c r="F3" s="143" t="s">
        <v>16</v>
      </c>
      <c r="H3" s="142" t="s">
        <v>0</v>
      </c>
      <c r="I3" s="143" t="s">
        <v>16</v>
      </c>
      <c r="K3" s="142" t="s">
        <v>0</v>
      </c>
      <c r="L3" s="143" t="s">
        <v>16</v>
      </c>
      <c r="N3" s="142" t="s">
        <v>0</v>
      </c>
      <c r="O3" s="143" t="s">
        <v>16</v>
      </c>
      <c r="R3" s="142" t="s">
        <v>0</v>
      </c>
      <c r="S3" s="143" t="s">
        <v>16</v>
      </c>
    </row>
    <row r="4" spans="1:20">
      <c r="A4" s="30"/>
      <c r="B4" s="142" t="s">
        <v>1</v>
      </c>
      <c r="C4" s="143" t="s">
        <v>16</v>
      </c>
      <c r="E4" s="142" t="s">
        <v>1</v>
      </c>
      <c r="F4" s="143" t="s">
        <v>16</v>
      </c>
      <c r="H4" s="142" t="s">
        <v>1</v>
      </c>
      <c r="I4" s="143" t="s">
        <v>16</v>
      </c>
      <c r="K4" s="142" t="s">
        <v>1</v>
      </c>
      <c r="L4" s="143" t="s">
        <v>16</v>
      </c>
      <c r="N4" s="142" t="s">
        <v>1</v>
      </c>
      <c r="O4" s="143" t="s">
        <v>16</v>
      </c>
      <c r="P4" s="33"/>
      <c r="Q4" s="33"/>
      <c r="R4" s="142" t="s">
        <v>1</v>
      </c>
      <c r="S4" s="143" t="s">
        <v>16</v>
      </c>
      <c r="T4" s="33"/>
    </row>
    <row r="5" spans="1:20">
      <c r="A5" s="30"/>
      <c r="B5" s="142" t="s">
        <v>2</v>
      </c>
      <c r="C5" s="143" t="s">
        <v>16</v>
      </c>
      <c r="E5" s="142" t="s">
        <v>2</v>
      </c>
      <c r="F5" s="143" t="s">
        <v>16</v>
      </c>
      <c r="H5" s="142" t="s">
        <v>2</v>
      </c>
      <c r="I5" s="143" t="s">
        <v>16</v>
      </c>
      <c r="K5" s="142" t="s">
        <v>2</v>
      </c>
      <c r="L5" s="143" t="s">
        <v>16</v>
      </c>
      <c r="N5" s="142" t="s">
        <v>2</v>
      </c>
      <c r="O5" s="143" t="s">
        <v>16</v>
      </c>
      <c r="P5" s="33"/>
      <c r="Q5" s="33"/>
      <c r="R5" s="142" t="s">
        <v>2</v>
      </c>
      <c r="S5" s="143" t="s">
        <v>16</v>
      </c>
      <c r="T5" s="33"/>
    </row>
    <row r="6" spans="1:20">
      <c r="A6" s="30"/>
      <c r="B6" s="142" t="s">
        <v>3</v>
      </c>
      <c r="C6" s="143" t="s">
        <v>142</v>
      </c>
      <c r="E6" s="142" t="s">
        <v>3</v>
      </c>
      <c r="F6" s="143" t="s">
        <v>151</v>
      </c>
      <c r="H6" s="142" t="s">
        <v>3</v>
      </c>
      <c r="I6" s="143" t="s">
        <v>153</v>
      </c>
      <c r="K6" s="142" t="s">
        <v>3</v>
      </c>
      <c r="L6" s="143" t="s">
        <v>154</v>
      </c>
      <c r="N6" s="142" t="s">
        <v>3</v>
      </c>
      <c r="O6" s="143" t="s">
        <v>413</v>
      </c>
      <c r="R6" s="142" t="s">
        <v>3</v>
      </c>
      <c r="S6" s="143" t="s">
        <v>414</v>
      </c>
    </row>
    <row r="7" spans="1:20">
      <c r="A7" s="30"/>
    </row>
    <row r="8" spans="1:20">
      <c r="A8" s="24" t="s">
        <v>122</v>
      </c>
      <c r="B8" s="142" t="s">
        <v>2</v>
      </c>
      <c r="C8" t="s">
        <v>295</v>
      </c>
      <c r="E8" s="142" t="s">
        <v>2</v>
      </c>
      <c r="F8" t="s">
        <v>305</v>
      </c>
      <c r="H8" s="142" t="s">
        <v>2</v>
      </c>
      <c r="I8" t="s">
        <v>306</v>
      </c>
      <c r="K8" s="142" t="s">
        <v>2</v>
      </c>
      <c r="L8" t="s">
        <v>307</v>
      </c>
      <c r="N8" s="142" t="s">
        <v>2</v>
      </c>
      <c r="O8" s="143" t="s">
        <v>341</v>
      </c>
      <c r="P8" s="143" t="s">
        <v>421</v>
      </c>
      <c r="R8" s="14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3" customWidth="1"/>
    <col min="2" max="2" width="32.85546875" style="143" customWidth="1"/>
    <col min="3" max="3" width="11.42578125" style="143" customWidth="1"/>
    <col min="4" max="4" width="29.140625" style="143" customWidth="1"/>
    <col min="5" max="5" width="9.140625" style="143"/>
    <col min="6" max="6" width="11.42578125" style="143" customWidth="1"/>
    <col min="7" max="7" width="43.7109375" style="143" customWidth="1"/>
    <col min="8" max="8" width="9.140625" style="143"/>
    <col min="9" max="9" width="11.42578125" style="143" customWidth="1"/>
    <col min="10" max="10" width="34.5703125" style="143" customWidth="1"/>
    <col min="11" max="11" width="7.28515625" style="143" customWidth="1"/>
    <col min="12" max="12" width="9.140625" style="143"/>
    <col min="13" max="13" width="11.42578125" style="143" customWidth="1"/>
    <col min="14" max="14" width="34.140625" style="143" customWidth="1"/>
    <col min="15" max="15" width="9.140625" style="143"/>
    <col min="16" max="16" width="11.42578125" style="143" customWidth="1"/>
    <col min="17" max="17" width="30.85546875" style="143" customWidth="1"/>
    <col min="18" max="18" width="8.28515625" style="143" customWidth="1"/>
    <col min="19" max="19" width="13.7109375" style="143" customWidth="1"/>
    <col min="20" max="20" width="12" style="143" customWidth="1"/>
    <col min="21" max="21" width="27.5703125" style="143" customWidth="1"/>
    <col min="22" max="16384" width="9.140625" style="143"/>
  </cols>
  <sheetData>
    <row r="1" spans="1:22" s="31" customFormat="1"/>
    <row r="2" spans="1:22" s="31" customFormat="1">
      <c r="C2" s="167" t="s">
        <v>301</v>
      </c>
      <c r="D2" s="162"/>
      <c r="E2" s="162"/>
      <c r="F2" s="162"/>
      <c r="G2" s="162"/>
      <c r="H2" s="162"/>
      <c r="I2" s="162"/>
      <c r="J2" s="162"/>
      <c r="K2" s="162"/>
      <c r="L2" s="162"/>
      <c r="M2" s="162"/>
      <c r="N2" s="162"/>
      <c r="O2" s="162"/>
      <c r="P2" s="162"/>
      <c r="Q2" s="162"/>
      <c r="R2" s="162"/>
      <c r="S2" s="162"/>
      <c r="T2" s="162"/>
      <c r="U2" s="162"/>
      <c r="V2" s="162"/>
    </row>
    <row r="3" spans="1:22">
      <c r="A3" s="30"/>
      <c r="B3" s="30"/>
      <c r="C3" s="142" t="s">
        <v>0</v>
      </c>
      <c r="D3" s="143" t="s">
        <v>16</v>
      </c>
      <c r="F3" s="142" t="s">
        <v>0</v>
      </c>
      <c r="G3" s="143" t="s">
        <v>16</v>
      </c>
      <c r="I3" s="142" t="s">
        <v>0</v>
      </c>
      <c r="J3" s="143" t="s">
        <v>16</v>
      </c>
      <c r="M3" s="142" t="s">
        <v>0</v>
      </c>
      <c r="N3" s="143" t="s">
        <v>16</v>
      </c>
      <c r="P3" s="142" t="s">
        <v>0</v>
      </c>
      <c r="Q3" s="143" t="s">
        <v>16</v>
      </c>
      <c r="R3" s="33"/>
      <c r="S3" s="33"/>
      <c r="V3" s="33"/>
    </row>
    <row r="4" spans="1:22">
      <c r="A4" s="30"/>
      <c r="B4" s="30"/>
      <c r="C4" s="142" t="s">
        <v>1</v>
      </c>
      <c r="D4" s="143" t="s">
        <v>16</v>
      </c>
      <c r="F4" s="142" t="s">
        <v>1</v>
      </c>
      <c r="G4" s="143" t="s">
        <v>16</v>
      </c>
      <c r="I4" s="142" t="s">
        <v>1</v>
      </c>
      <c r="J4" s="143" t="s">
        <v>16</v>
      </c>
      <c r="M4" s="142" t="s">
        <v>1</v>
      </c>
      <c r="N4" s="143" t="s">
        <v>16</v>
      </c>
      <c r="P4" s="142" t="s">
        <v>1</v>
      </c>
      <c r="Q4" s="143" t="s">
        <v>16</v>
      </c>
      <c r="R4" s="33"/>
      <c r="S4" s="33"/>
      <c r="V4" s="33"/>
    </row>
    <row r="5" spans="1:22">
      <c r="A5" s="30"/>
      <c r="B5" s="30"/>
      <c r="C5" s="142" t="s">
        <v>3</v>
      </c>
      <c r="D5" s="143" t="s">
        <v>634</v>
      </c>
      <c r="F5" s="142" t="s">
        <v>3</v>
      </c>
      <c r="G5" s="143" t="s">
        <v>631</v>
      </c>
      <c r="I5" s="142" t="s">
        <v>3</v>
      </c>
      <c r="J5" s="143" t="s">
        <v>632</v>
      </c>
      <c r="M5" s="142" t="s">
        <v>3</v>
      </c>
      <c r="N5" s="143" t="s">
        <v>633</v>
      </c>
      <c r="P5" s="142" t="s">
        <v>3</v>
      </c>
      <c r="Q5" s="143" t="s">
        <v>635</v>
      </c>
    </row>
    <row r="6" spans="1:22">
      <c r="A6" s="30"/>
      <c r="B6" s="30"/>
    </row>
    <row r="7" spans="1:22">
      <c r="A7" s="24" t="s">
        <v>330</v>
      </c>
      <c r="B7" s="24" t="s">
        <v>94</v>
      </c>
      <c r="C7" s="142" t="s">
        <v>2</v>
      </c>
      <c r="D7" t="s">
        <v>295</v>
      </c>
      <c r="F7" s="142" t="s">
        <v>2</v>
      </c>
      <c r="G7" t="s">
        <v>636</v>
      </c>
      <c r="I7" s="142" t="s">
        <v>2</v>
      </c>
      <c r="J7" s="143" t="s">
        <v>637</v>
      </c>
      <c r="K7" s="143" t="s">
        <v>537</v>
      </c>
      <c r="M7" s="142" t="s">
        <v>2</v>
      </c>
      <c r="N7" t="s">
        <v>638</v>
      </c>
      <c r="P7" s="142" t="s">
        <v>2</v>
      </c>
      <c r="Q7" s="143" t="s">
        <v>641</v>
      </c>
      <c r="R7" s="143" t="s">
        <v>639</v>
      </c>
      <c r="S7" s="143" t="s">
        <v>640</v>
      </c>
      <c r="T7" s="143" t="s">
        <v>642</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3" customWidth="1"/>
    <col min="2" max="2" width="11.42578125" style="143" customWidth="1"/>
    <col min="3" max="3" width="29.140625" style="143" customWidth="1"/>
    <col min="4" max="4" width="9.140625" style="143"/>
    <col min="5" max="5" width="11.42578125" style="143" customWidth="1"/>
    <col min="6" max="6" width="46.28515625" style="143" customWidth="1"/>
    <col min="7" max="7" width="7.28515625" style="143" customWidth="1"/>
    <col min="8" max="8" width="9.140625" style="143"/>
    <col min="9" max="9" width="11.42578125" style="143" customWidth="1"/>
    <col min="10" max="10" width="34.140625" style="143" customWidth="1"/>
    <col min="11" max="11" width="9.140625" style="143"/>
    <col min="12" max="12" width="11.42578125" style="143" customWidth="1"/>
    <col min="13" max="13" width="30.42578125" style="143" customWidth="1"/>
    <col min="14" max="14" width="9.140625" style="143"/>
    <col min="15" max="15" width="11.42578125" style="143" customWidth="1"/>
    <col min="16" max="16" width="30.85546875" style="143" customWidth="1"/>
    <col min="17" max="17" width="12.42578125" style="143" customWidth="1"/>
    <col min="18" max="18" width="9.140625" style="143"/>
    <col min="19" max="19" width="13.140625" style="143" customWidth="1"/>
    <col min="20" max="20" width="27.5703125" style="143" customWidth="1"/>
    <col min="21" max="16384" width="9.140625" style="143"/>
  </cols>
  <sheetData>
    <row r="1" spans="1:21" s="31" customFormat="1"/>
    <row r="2" spans="1:21">
      <c r="A2" s="31"/>
      <c r="B2" s="167" t="s">
        <v>301</v>
      </c>
      <c r="C2" s="162"/>
      <c r="D2" s="162"/>
      <c r="E2" s="162"/>
      <c r="F2" s="162"/>
      <c r="G2" s="162"/>
      <c r="H2" s="162"/>
      <c r="I2" s="162"/>
      <c r="J2" s="162"/>
      <c r="K2" s="162"/>
      <c r="L2" s="162"/>
      <c r="M2" s="162"/>
      <c r="N2" s="162"/>
      <c r="O2" s="162"/>
      <c r="P2" s="162"/>
      <c r="Q2" s="162"/>
      <c r="R2" s="162"/>
      <c r="S2" s="162"/>
      <c r="T2" s="162"/>
      <c r="U2" s="162"/>
    </row>
    <row r="3" spans="1:21" s="31" customFormat="1">
      <c r="B3" s="142" t="s">
        <v>0</v>
      </c>
      <c r="C3" s="143" t="s">
        <v>16</v>
      </c>
      <c r="E3" s="142" t="s">
        <v>0</v>
      </c>
      <c r="F3" s="143" t="s">
        <v>16</v>
      </c>
      <c r="G3" s="143"/>
      <c r="I3" s="142" t="s">
        <v>0</v>
      </c>
      <c r="J3" s="143" t="s">
        <v>16</v>
      </c>
      <c r="L3" s="142" t="s">
        <v>0</v>
      </c>
      <c r="M3" s="143" t="s">
        <v>16</v>
      </c>
      <c r="O3" s="142" t="s">
        <v>0</v>
      </c>
      <c r="P3" s="143" t="s">
        <v>16</v>
      </c>
      <c r="S3" s="143"/>
      <c r="T3" s="143"/>
    </row>
    <row r="4" spans="1:21">
      <c r="A4" s="30"/>
      <c r="B4" s="142" t="s">
        <v>1</v>
      </c>
      <c r="C4" s="143" t="s">
        <v>16</v>
      </c>
      <c r="E4" s="142" t="s">
        <v>1</v>
      </c>
      <c r="F4" s="143" t="s">
        <v>16</v>
      </c>
      <c r="I4" s="142" t="s">
        <v>1</v>
      </c>
      <c r="J4" s="143" t="s">
        <v>16</v>
      </c>
      <c r="L4" s="142" t="s">
        <v>1</v>
      </c>
      <c r="M4" s="143" t="s">
        <v>16</v>
      </c>
      <c r="O4" s="142" t="s">
        <v>1</v>
      </c>
      <c r="P4" s="143" t="s">
        <v>16</v>
      </c>
      <c r="Q4" s="33"/>
      <c r="R4" s="33"/>
      <c r="U4" s="33"/>
    </row>
    <row r="5" spans="1:21">
      <c r="A5" s="30"/>
      <c r="B5" s="142" t="s">
        <v>2</v>
      </c>
      <c r="C5" s="143" t="s">
        <v>16</v>
      </c>
      <c r="E5" s="142" t="s">
        <v>2</v>
      </c>
      <c r="F5" s="143" t="s">
        <v>16</v>
      </c>
      <c r="I5" s="142" t="s">
        <v>2</v>
      </c>
      <c r="J5" s="143" t="s">
        <v>16</v>
      </c>
      <c r="L5" s="142" t="s">
        <v>2</v>
      </c>
      <c r="M5" s="143" t="s">
        <v>16</v>
      </c>
      <c r="O5" s="142" t="s">
        <v>2</v>
      </c>
      <c r="P5" s="143" t="s">
        <v>16</v>
      </c>
      <c r="Q5" s="33"/>
      <c r="R5" s="33"/>
      <c r="U5" s="33"/>
    </row>
    <row r="6" spans="1:21">
      <c r="A6" s="30"/>
      <c r="B6" s="142" t="s">
        <v>3</v>
      </c>
      <c r="C6" s="143" t="s">
        <v>634</v>
      </c>
      <c r="E6" s="142" t="s">
        <v>3</v>
      </c>
      <c r="F6" s="143" t="s">
        <v>631</v>
      </c>
      <c r="I6" s="142" t="s">
        <v>3</v>
      </c>
      <c r="J6" s="143" t="s">
        <v>633</v>
      </c>
      <c r="L6" s="142" t="s">
        <v>3</v>
      </c>
      <c r="M6" s="143" t="s">
        <v>632</v>
      </c>
      <c r="O6" s="142" t="s">
        <v>3</v>
      </c>
      <c r="P6" s="143" t="s">
        <v>635</v>
      </c>
    </row>
    <row r="7" spans="1:21">
      <c r="A7" s="30"/>
    </row>
    <row r="8" spans="1:21">
      <c r="A8" s="24" t="s">
        <v>122</v>
      </c>
      <c r="B8" s="142" t="s">
        <v>2</v>
      </c>
      <c r="C8" t="s">
        <v>295</v>
      </c>
      <c r="E8" s="142" t="s">
        <v>2</v>
      </c>
      <c r="F8" s="143" t="s">
        <v>643</v>
      </c>
      <c r="G8" s="143" t="s">
        <v>537</v>
      </c>
      <c r="I8" s="142" t="s">
        <v>2</v>
      </c>
      <c r="J8" t="s">
        <v>638</v>
      </c>
      <c r="L8" s="142" t="s">
        <v>2</v>
      </c>
      <c r="M8" t="s">
        <v>303</v>
      </c>
      <c r="O8" s="142" t="s">
        <v>2</v>
      </c>
      <c r="P8" s="143" t="s">
        <v>644</v>
      </c>
      <c r="Q8" s="143" t="s">
        <v>639</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61" t="s">
        <v>449</v>
      </c>
      <c r="C4" s="161"/>
      <c r="D4" s="161"/>
      <c r="E4" s="161"/>
      <c r="F4" s="161"/>
      <c r="G4" s="161"/>
      <c r="H4" s="161"/>
      <c r="I4" s="161"/>
      <c r="J4" s="161"/>
      <c r="K4" s="161"/>
      <c r="L4" s="161"/>
      <c r="M4" s="161"/>
      <c r="N4" s="161"/>
      <c r="O4" s="161"/>
      <c r="P4" s="161"/>
      <c r="Q4" s="161"/>
      <c r="R4" s="161"/>
      <c r="T4" s="167" t="s">
        <v>451</v>
      </c>
      <c r="U4" s="171"/>
      <c r="V4" s="171"/>
      <c r="W4" s="171"/>
      <c r="X4" s="171"/>
      <c r="Y4" s="171"/>
      <c r="Z4" s="171"/>
      <c r="AA4" s="171"/>
      <c r="AB4" s="171"/>
      <c r="AC4" s="171"/>
      <c r="AD4" s="171"/>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42" t="s">
        <v>0</v>
      </c>
      <c r="C3" s="143" t="s">
        <v>16</v>
      </c>
      <c r="D3" s="52"/>
      <c r="E3" s="35"/>
      <c r="F3" s="35"/>
      <c r="G3" s="35"/>
      <c r="I3" s="142" t="s">
        <v>0</v>
      </c>
      <c r="J3" s="143" t="s">
        <v>16</v>
      </c>
      <c r="L3" s="35"/>
      <c r="M3" s="35"/>
    </row>
    <row r="4" spans="1:13">
      <c r="A4" s="45"/>
      <c r="B4" s="142" t="s">
        <v>52</v>
      </c>
      <c r="C4" s="143" t="s">
        <v>16</v>
      </c>
      <c r="E4" s="35"/>
      <c r="F4" s="35"/>
      <c r="G4" s="35"/>
      <c r="I4" s="142" t="s">
        <v>1</v>
      </c>
      <c r="J4" s="143" t="s">
        <v>16</v>
      </c>
      <c r="L4" s="35"/>
      <c r="M4" s="35"/>
    </row>
    <row r="5" spans="1:13">
      <c r="A5" s="45"/>
      <c r="B5" s="142" t="s">
        <v>1</v>
      </c>
      <c r="C5" s="143" t="s">
        <v>16</v>
      </c>
      <c r="E5" s="35"/>
      <c r="F5" s="35"/>
      <c r="G5" s="35"/>
      <c r="I5" s="142" t="s">
        <v>3</v>
      </c>
      <c r="J5" s="143" t="s">
        <v>7</v>
      </c>
      <c r="L5" s="35"/>
      <c r="M5" s="35"/>
    </row>
    <row r="6" spans="1:13">
      <c r="A6" s="45"/>
      <c r="B6" s="142" t="s">
        <v>3</v>
      </c>
      <c r="C6" s="143" t="s">
        <v>7</v>
      </c>
      <c r="E6" s="35"/>
      <c r="F6" s="35"/>
      <c r="G6" s="35"/>
      <c r="I6" s="142" t="s">
        <v>2</v>
      </c>
      <c r="J6" s="143" t="s">
        <v>16</v>
      </c>
      <c r="L6" s="35"/>
      <c r="M6" s="35"/>
    </row>
    <row r="7" spans="1:13">
      <c r="E7" s="35"/>
      <c r="F7" s="35"/>
      <c r="G7" s="35"/>
      <c r="L7" s="35"/>
      <c r="M7" s="35"/>
    </row>
    <row r="8" spans="1:13" ht="60">
      <c r="A8" s="24" t="s">
        <v>330</v>
      </c>
      <c r="B8" s="142" t="s">
        <v>17</v>
      </c>
      <c r="C8" s="32" t="s">
        <v>21</v>
      </c>
      <c r="D8" s="32" t="s">
        <v>19</v>
      </c>
      <c r="F8" s="36" t="s">
        <v>148</v>
      </c>
      <c r="G8" s="36" t="s">
        <v>149</v>
      </c>
      <c r="I8" s="14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67" t="s">
        <v>451</v>
      </c>
      <c r="C2" s="162"/>
      <c r="D2" s="162"/>
      <c r="E2" s="162"/>
      <c r="F2" s="162"/>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71" t="s">
        <v>458</v>
      </c>
      <c r="C2" s="168"/>
      <c r="D2" s="168"/>
      <c r="E2" s="168"/>
      <c r="F2" s="168"/>
      <c r="G2" s="168"/>
      <c r="H2" s="168"/>
      <c r="I2" s="172"/>
      <c r="K2" s="171" t="s">
        <v>459</v>
      </c>
      <c r="L2" s="168"/>
      <c r="M2" s="168"/>
      <c r="N2" s="168"/>
      <c r="O2" s="168"/>
      <c r="P2" s="168"/>
      <c r="Q2" s="168"/>
      <c r="R2" s="172"/>
    </row>
    <row r="3" spans="1:18">
      <c r="A3" s="30"/>
      <c r="B3" s="59"/>
      <c r="C3" s="58"/>
      <c r="D3" s="58"/>
      <c r="E3" s="58"/>
      <c r="F3" s="58"/>
      <c r="G3" s="58"/>
      <c r="H3" s="58"/>
      <c r="I3" s="60"/>
      <c r="K3" s="92"/>
      <c r="L3" s="91"/>
      <c r="M3" s="91"/>
      <c r="N3" s="91"/>
      <c r="O3" s="91"/>
      <c r="P3" s="91"/>
      <c r="Q3" s="91"/>
      <c r="R3" s="93"/>
    </row>
    <row r="4" spans="1:18">
      <c r="A4" s="30"/>
      <c r="B4" s="142" t="s">
        <v>0</v>
      </c>
      <c r="C4" s="143" t="s">
        <v>16</v>
      </c>
      <c r="D4" s="33"/>
      <c r="E4" s="142" t="s">
        <v>0</v>
      </c>
      <c r="F4" s="143" t="s">
        <v>16</v>
      </c>
      <c r="G4" s="33"/>
      <c r="H4" s="142" t="s">
        <v>0</v>
      </c>
      <c r="I4" s="143" t="s">
        <v>16</v>
      </c>
      <c r="K4" s="142" t="s">
        <v>0</v>
      </c>
      <c r="L4" s="143" t="s">
        <v>16</v>
      </c>
      <c r="M4" s="33"/>
      <c r="N4" s="142" t="s">
        <v>0</v>
      </c>
      <c r="O4" s="143" t="s">
        <v>16</v>
      </c>
      <c r="P4" s="33"/>
      <c r="Q4" s="142" t="s">
        <v>0</v>
      </c>
      <c r="R4" s="143" t="s">
        <v>16</v>
      </c>
    </row>
    <row r="5" spans="1:18">
      <c r="A5" s="30"/>
      <c r="B5" s="142" t="s">
        <v>1</v>
      </c>
      <c r="C5" s="143" t="s">
        <v>16</v>
      </c>
      <c r="D5" s="33"/>
      <c r="E5" s="142" t="s">
        <v>1</v>
      </c>
      <c r="F5" s="143" t="s">
        <v>16</v>
      </c>
      <c r="G5" s="33"/>
      <c r="H5" s="142" t="s">
        <v>1</v>
      </c>
      <c r="I5" s="143" t="s">
        <v>16</v>
      </c>
      <c r="K5" s="142" t="s">
        <v>1</v>
      </c>
      <c r="L5" s="143" t="s">
        <v>16</v>
      </c>
      <c r="M5" s="33"/>
      <c r="N5" s="142" t="s">
        <v>1</v>
      </c>
      <c r="O5" s="143" t="s">
        <v>16</v>
      </c>
      <c r="P5" s="33"/>
      <c r="Q5" s="142" t="s">
        <v>1</v>
      </c>
      <c r="R5" s="143" t="s">
        <v>16</v>
      </c>
    </row>
    <row r="6" spans="1:18">
      <c r="A6" s="30"/>
      <c r="B6" s="142" t="s">
        <v>3</v>
      </c>
      <c r="C6" s="143" t="s">
        <v>372</v>
      </c>
      <c r="D6" s="33"/>
      <c r="E6" s="142" t="s">
        <v>3</v>
      </c>
      <c r="F6" s="143" t="s">
        <v>369</v>
      </c>
      <c r="G6" s="33"/>
      <c r="H6" s="142" t="s">
        <v>3</v>
      </c>
      <c r="I6" s="143" t="s">
        <v>371</v>
      </c>
      <c r="K6" s="142" t="s">
        <v>3</v>
      </c>
      <c r="L6" s="143" t="s">
        <v>457</v>
      </c>
      <c r="M6" s="33"/>
      <c r="N6" s="142" t="s">
        <v>3</v>
      </c>
      <c r="O6" s="143" t="s">
        <v>453</v>
      </c>
      <c r="P6" s="33"/>
      <c r="Q6" s="142" t="s">
        <v>3</v>
      </c>
      <c r="R6" s="143" t="s">
        <v>455</v>
      </c>
    </row>
    <row r="7" spans="1:18">
      <c r="A7" s="30"/>
      <c r="B7" s="57"/>
      <c r="C7" s="57"/>
      <c r="D7" s="57"/>
      <c r="E7" s="57"/>
      <c r="F7" s="57"/>
      <c r="G7" s="57"/>
      <c r="H7" s="57"/>
      <c r="I7" s="57"/>
      <c r="K7" s="90"/>
      <c r="L7" s="90"/>
      <c r="M7" s="90"/>
      <c r="N7" s="90"/>
      <c r="O7" s="90"/>
      <c r="P7" s="90"/>
      <c r="Q7" s="90"/>
      <c r="R7" s="90"/>
    </row>
    <row r="8" spans="1:18" ht="30">
      <c r="A8" s="24" t="s">
        <v>330</v>
      </c>
      <c r="B8" s="142" t="s">
        <v>2</v>
      </c>
      <c r="C8" t="s">
        <v>295</v>
      </c>
      <c r="D8" s="57"/>
      <c r="E8" s="142" t="s">
        <v>2</v>
      </c>
      <c r="F8" s="32" t="s">
        <v>373</v>
      </c>
      <c r="G8" s="57"/>
      <c r="H8" s="142" t="s">
        <v>2</v>
      </c>
      <c r="I8" s="32" t="s">
        <v>374</v>
      </c>
      <c r="K8" s="142" t="s">
        <v>2</v>
      </c>
      <c r="L8" t="s">
        <v>485</v>
      </c>
      <c r="M8" s="90"/>
      <c r="N8" s="142" t="s">
        <v>2</v>
      </c>
      <c r="O8" s="32" t="s">
        <v>486</v>
      </c>
      <c r="P8" s="90"/>
      <c r="Q8" s="142" t="s">
        <v>2</v>
      </c>
      <c r="R8" s="32" t="s">
        <v>487</v>
      </c>
    </row>
    <row r="9" spans="1:18">
      <c r="A9" s="23" t="str">
        <f>INDEX('DDL Tables'!$B:$B,MATCH(SUBSTITUTE(B9, " (index)",""),'DDL Tables'!$C:$C,0))</f>
        <v>TestKS</v>
      </c>
      <c r="B9" s="4" t="s">
        <v>50</v>
      </c>
      <c r="C9" s="143">
        <v>4</v>
      </c>
      <c r="D9" s="6"/>
      <c r="E9" s="4" t="s">
        <v>50</v>
      </c>
      <c r="F9" s="5">
        <v>2100</v>
      </c>
      <c r="G9" s="6"/>
      <c r="H9" s="4" t="s">
        <v>50</v>
      </c>
      <c r="I9" s="5">
        <v>1200</v>
      </c>
      <c r="K9" s="4" t="s">
        <v>50</v>
      </c>
      <c r="L9" s="143">
        <v>3</v>
      </c>
      <c r="M9" s="6"/>
      <c r="N9" s="4" t="s">
        <v>49</v>
      </c>
      <c r="O9" s="5">
        <v>12</v>
      </c>
      <c r="P9" s="6"/>
      <c r="Q9" s="4" t="s">
        <v>49</v>
      </c>
      <c r="R9" s="5">
        <v>4</v>
      </c>
    </row>
    <row r="10" spans="1:18">
      <c r="A10" s="57"/>
      <c r="B10" s="4" t="s">
        <v>18</v>
      </c>
      <c r="C10" s="143">
        <v>4</v>
      </c>
      <c r="D10" s="6"/>
      <c r="E10" s="4" t="s">
        <v>18</v>
      </c>
      <c r="F10" s="5">
        <v>2100</v>
      </c>
      <c r="G10" s="6"/>
      <c r="H10" s="4" t="s">
        <v>18</v>
      </c>
      <c r="I10" s="5">
        <v>1200</v>
      </c>
      <c r="K10" s="4" t="s">
        <v>18</v>
      </c>
      <c r="L10" s="14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75" t="s">
        <v>409</v>
      </c>
      <c r="D1" s="162"/>
      <c r="E1" s="162"/>
      <c r="F1" s="162"/>
      <c r="G1" s="162"/>
      <c r="H1" s="162"/>
      <c r="I1" s="162"/>
      <c r="J1" s="162"/>
      <c r="K1" s="162"/>
      <c r="L1" s="162"/>
      <c r="M1" s="162"/>
      <c r="N1" s="162"/>
      <c r="O1" s="162"/>
      <c r="P1" s="162"/>
      <c r="Q1" s="162"/>
      <c r="R1" s="162"/>
      <c r="S1" s="162"/>
      <c r="T1" s="162"/>
      <c r="U1" s="162"/>
      <c r="V1" s="30"/>
      <c r="W1" s="175" t="s">
        <v>410</v>
      </c>
      <c r="X1" s="162"/>
      <c r="Y1" s="162"/>
      <c r="Z1" s="162"/>
      <c r="AA1" s="162"/>
      <c r="AB1" s="162"/>
      <c r="AC1" s="162"/>
      <c r="AD1" s="162"/>
      <c r="AE1" s="162"/>
      <c r="AF1" s="162"/>
      <c r="AG1" s="162"/>
      <c r="AH1" s="162"/>
      <c r="AI1" s="162"/>
      <c r="AJ1" s="162"/>
      <c r="AK1" s="162"/>
      <c r="AL1" s="162"/>
      <c r="AM1" s="162"/>
      <c r="AN1" s="162"/>
      <c r="AO1" s="162"/>
    </row>
    <row r="2" spans="1:41" s="57" customFormat="1">
      <c r="A2" s="30"/>
      <c r="B2" s="68"/>
      <c r="C2" s="175"/>
      <c r="D2" s="162"/>
      <c r="E2" s="162"/>
      <c r="F2" s="162"/>
      <c r="G2" s="162"/>
      <c r="H2" s="162"/>
      <c r="I2" s="162"/>
      <c r="J2" s="162"/>
      <c r="K2" s="162"/>
      <c r="L2" s="162"/>
      <c r="M2" s="162"/>
      <c r="N2" s="162"/>
      <c r="O2" s="162"/>
      <c r="P2" s="162"/>
      <c r="Q2" s="162"/>
      <c r="R2" s="162"/>
      <c r="S2" s="162"/>
      <c r="T2" s="162"/>
      <c r="U2" s="162"/>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5" t="s">
        <v>409</v>
      </c>
      <c r="D1" s="162"/>
      <c r="E1" s="162"/>
      <c r="F1" s="162"/>
      <c r="G1" s="162"/>
      <c r="H1" s="162"/>
      <c r="I1" s="162"/>
      <c r="J1" s="162"/>
      <c r="K1" s="162"/>
      <c r="L1" s="162"/>
      <c r="M1" s="162"/>
      <c r="N1" s="162"/>
      <c r="O1" s="162"/>
      <c r="P1" s="162"/>
      <c r="Q1" s="162"/>
      <c r="R1" s="162"/>
      <c r="S1" s="162"/>
      <c r="T1" s="162"/>
      <c r="U1" s="162"/>
      <c r="W1" s="175" t="s">
        <v>410</v>
      </c>
      <c r="X1" s="162"/>
      <c r="Y1" s="162"/>
      <c r="Z1" s="162"/>
      <c r="AA1" s="162"/>
      <c r="AB1" s="162"/>
      <c r="AC1" s="162"/>
      <c r="AD1" s="162"/>
      <c r="AE1" s="162"/>
      <c r="AF1" s="162"/>
      <c r="AG1" s="162"/>
      <c r="AH1" s="162"/>
      <c r="AI1" s="162"/>
      <c r="AJ1" s="162"/>
      <c r="AK1" s="162"/>
      <c r="AL1" s="162"/>
      <c r="AM1" s="162"/>
      <c r="AN1" s="162"/>
      <c r="AO1" s="162"/>
    </row>
    <row r="2" spans="1:41">
      <c r="A2" s="30"/>
      <c r="B2" s="68"/>
      <c r="C2" s="175"/>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75" t="s">
        <v>409</v>
      </c>
      <c r="D1" s="162"/>
      <c r="E1" s="162"/>
      <c r="F1" s="162"/>
      <c r="G1" s="162"/>
      <c r="H1" s="162"/>
      <c r="I1" s="162"/>
      <c r="J1" s="162"/>
      <c r="K1" s="162"/>
      <c r="L1" s="162"/>
      <c r="M1" s="162"/>
      <c r="N1" s="162"/>
      <c r="O1" s="162"/>
      <c r="P1" s="162"/>
      <c r="Q1" s="162"/>
      <c r="R1" s="162"/>
      <c r="S1" s="162"/>
      <c r="T1" s="162"/>
      <c r="U1" s="162"/>
      <c r="W1" s="175" t="s">
        <v>410</v>
      </c>
      <c r="X1" s="162"/>
      <c r="Y1" s="162"/>
      <c r="Z1" s="162"/>
      <c r="AA1" s="162"/>
      <c r="AB1" s="162"/>
      <c r="AC1" s="162"/>
      <c r="AD1" s="162"/>
      <c r="AE1" s="162"/>
      <c r="AF1" s="162"/>
      <c r="AG1" s="162"/>
      <c r="AH1" s="162"/>
      <c r="AI1" s="162"/>
      <c r="AJ1" s="162"/>
      <c r="AK1" s="162"/>
      <c r="AL1" s="162"/>
      <c r="AM1" s="162"/>
      <c r="AN1" s="162"/>
      <c r="AO1" s="162"/>
    </row>
    <row r="2" spans="1:41">
      <c r="A2" s="30"/>
      <c r="B2" s="68"/>
      <c r="C2" s="175"/>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75" t="s">
        <v>409</v>
      </c>
      <c r="D1" s="162"/>
      <c r="E1" s="162"/>
      <c r="F1" s="162"/>
      <c r="G1" s="162"/>
      <c r="H1" s="162"/>
      <c r="I1" s="162"/>
      <c r="J1" s="162"/>
      <c r="K1" s="162"/>
      <c r="L1" s="162"/>
      <c r="M1" s="162"/>
      <c r="N1" s="162"/>
      <c r="O1" s="162"/>
      <c r="P1" s="162"/>
      <c r="Q1" s="162"/>
      <c r="R1" s="162"/>
      <c r="S1" s="162"/>
      <c r="T1" s="162"/>
      <c r="U1" s="162"/>
      <c r="W1" s="175" t="s">
        <v>410</v>
      </c>
      <c r="X1" s="162"/>
      <c r="Y1" s="162"/>
      <c r="Z1" s="162"/>
      <c r="AA1" s="162"/>
      <c r="AB1" s="162"/>
      <c r="AC1" s="162"/>
      <c r="AD1" s="162"/>
      <c r="AE1" s="162"/>
      <c r="AF1" s="162"/>
      <c r="AG1" s="162"/>
      <c r="AH1" s="162"/>
      <c r="AI1" s="162"/>
      <c r="AJ1" s="162"/>
      <c r="AK1" s="162"/>
      <c r="AL1" s="162"/>
      <c r="AM1" s="162"/>
      <c r="AN1" s="162"/>
      <c r="AO1" s="162"/>
    </row>
    <row r="2" spans="1:41">
      <c r="A2" s="30"/>
      <c r="B2" s="68"/>
      <c r="C2" s="175"/>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75" t="s">
        <v>409</v>
      </c>
      <c r="D1" s="162"/>
      <c r="E1" s="162"/>
      <c r="F1" s="162"/>
      <c r="G1" s="162"/>
      <c r="H1" s="162"/>
      <c r="I1" s="162"/>
      <c r="J1" s="162"/>
      <c r="K1" s="162"/>
      <c r="L1" s="162"/>
      <c r="M1" s="162"/>
      <c r="N1" s="162"/>
      <c r="O1" s="162"/>
      <c r="P1" s="162"/>
      <c r="Q1" s="162"/>
      <c r="R1" s="162"/>
      <c r="S1" s="162"/>
      <c r="T1" s="162"/>
      <c r="U1" s="162"/>
      <c r="W1" s="175" t="s">
        <v>410</v>
      </c>
      <c r="X1" s="162"/>
      <c r="Y1" s="162"/>
      <c r="Z1" s="162"/>
      <c r="AA1" s="162"/>
      <c r="AB1" s="162"/>
      <c r="AC1" s="162"/>
      <c r="AD1" s="162"/>
      <c r="AE1" s="162"/>
      <c r="AF1" s="162"/>
      <c r="AG1" s="162"/>
      <c r="AH1" s="162"/>
      <c r="AI1" s="162"/>
      <c r="AJ1" s="162"/>
      <c r="AK1" s="162"/>
      <c r="AL1" s="162"/>
      <c r="AM1" s="162"/>
      <c r="AN1" s="162"/>
      <c r="AO1" s="162"/>
    </row>
    <row r="2" spans="1:41">
      <c r="A2" s="30"/>
      <c r="B2" s="68"/>
      <c r="C2" s="175"/>
      <c r="D2" s="162"/>
      <c r="E2" s="162"/>
      <c r="F2" s="162"/>
      <c r="G2" s="162"/>
      <c r="H2" s="162"/>
      <c r="I2" s="162"/>
      <c r="J2" s="162"/>
      <c r="K2" s="162"/>
      <c r="L2" s="162"/>
      <c r="M2" s="162"/>
      <c r="N2" s="162"/>
      <c r="O2" s="162"/>
      <c r="P2" s="162"/>
      <c r="Q2" s="162"/>
      <c r="R2" s="162"/>
      <c r="S2" s="162"/>
      <c r="T2" s="162"/>
      <c r="U2" s="162"/>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67" t="s">
        <v>514</v>
      </c>
      <c r="B1" s="162"/>
      <c r="C1" s="162"/>
      <c r="D1" s="162"/>
      <c r="E1" s="162"/>
      <c r="F1" s="162"/>
      <c r="G1" s="162"/>
      <c r="H1" s="162"/>
      <c r="I1" s="162"/>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76" t="s">
        <v>426</v>
      </c>
      <c r="B1" s="177" t="s">
        <v>422</v>
      </c>
      <c r="C1" s="178" t="s">
        <v>422</v>
      </c>
      <c r="D1" s="178" t="s">
        <v>422</v>
      </c>
      <c r="E1" s="178" t="s">
        <v>422</v>
      </c>
      <c r="F1" s="178" t="s">
        <v>422</v>
      </c>
      <c r="G1" s="178" t="s">
        <v>422</v>
      </c>
      <c r="H1" s="178" t="s">
        <v>422</v>
      </c>
      <c r="I1" s="179"/>
      <c r="J1" s="180"/>
      <c r="K1" s="178"/>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0"/>
  <sheetViews>
    <sheetView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s>
  <sheetData>
    <row r="1" spans="1:32" s="16" customFormat="1">
      <c r="A1" s="121"/>
      <c r="B1" s="121"/>
      <c r="C1" s="121"/>
      <c r="D1" s="121"/>
      <c r="E1" s="121"/>
      <c r="F1" s="121"/>
      <c r="G1" s="121"/>
      <c r="H1" s="121"/>
      <c r="I1" s="152" t="s">
        <v>89</v>
      </c>
      <c r="J1" s="181" t="s">
        <v>89</v>
      </c>
      <c r="K1" s="153" t="s">
        <v>89</v>
      </c>
      <c r="L1" s="153" t="s">
        <v>89</v>
      </c>
      <c r="M1" s="182" t="s">
        <v>89</v>
      </c>
      <c r="N1" s="153" t="s">
        <v>89</v>
      </c>
      <c r="O1" s="182" t="s">
        <v>89</v>
      </c>
      <c r="P1" s="182" t="s">
        <v>89</v>
      </c>
      <c r="Q1" s="182" t="s">
        <v>89</v>
      </c>
      <c r="R1" s="182" t="s">
        <v>89</v>
      </c>
      <c r="S1" s="153" t="s">
        <v>89</v>
      </c>
      <c r="T1" s="153" t="s">
        <v>89</v>
      </c>
      <c r="U1" s="156" t="s">
        <v>89</v>
      </c>
      <c r="V1" s="183" t="s">
        <v>263</v>
      </c>
      <c r="W1" s="184" t="s">
        <v>263</v>
      </c>
      <c r="X1" s="184" t="s">
        <v>263</v>
      </c>
      <c r="Y1" s="185" t="s">
        <v>263</v>
      </c>
      <c r="Z1" s="183" t="s">
        <v>574</v>
      </c>
      <c r="AA1" s="184" t="s">
        <v>574</v>
      </c>
      <c r="AB1" s="182" t="s">
        <v>574</v>
      </c>
      <c r="AC1" s="182" t="s">
        <v>574</v>
      </c>
      <c r="AD1" s="186" t="s">
        <v>574</v>
      </c>
      <c r="AE1" s="122"/>
    </row>
    <row r="2" spans="1:32"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40" t="s">
        <v>596</v>
      </c>
      <c r="AE2" s="122" t="s">
        <v>597</v>
      </c>
      <c r="AF2" s="16" t="s">
        <v>530</v>
      </c>
    </row>
    <row r="3" spans="1:32" s="10" customFormat="1">
      <c r="A3" s="127">
        <v>42660.659882673601</v>
      </c>
      <c r="B3" s="10" t="s">
        <v>619</v>
      </c>
      <c r="C3" s="10" t="s">
        <v>51</v>
      </c>
      <c r="D3" s="22" t="s">
        <v>49</v>
      </c>
      <c r="E3" s="10" t="s">
        <v>598</v>
      </c>
      <c r="F3" s="21" t="s">
        <v>48</v>
      </c>
      <c r="H3" s="127">
        <v>42660.660379594898</v>
      </c>
      <c r="I3" s="10" t="s">
        <v>619</v>
      </c>
      <c r="J3" s="128">
        <v>4.9692129629629598E-4</v>
      </c>
      <c r="K3" s="10" t="s">
        <v>621</v>
      </c>
      <c r="L3" s="10" t="s">
        <v>622</v>
      </c>
      <c r="M3" s="129">
        <v>0</v>
      </c>
      <c r="O3" s="129">
        <v>0</v>
      </c>
      <c r="P3" s="129">
        <v>0</v>
      </c>
      <c r="Q3" s="129">
        <v>0</v>
      </c>
      <c r="R3" s="129">
        <v>0</v>
      </c>
      <c r="S3" s="10" t="s">
        <v>623</v>
      </c>
      <c r="T3" s="10">
        <v>1</v>
      </c>
      <c r="U3" s="129">
        <v>1</v>
      </c>
      <c r="V3" s="129"/>
      <c r="W3" s="130"/>
      <c r="X3" s="130"/>
      <c r="Y3" s="130"/>
      <c r="Z3" s="129"/>
      <c r="AA3" s="130"/>
      <c r="AB3" s="129"/>
      <c r="AC3" s="129"/>
      <c r="AD3" s="141"/>
      <c r="AE3" s="129"/>
      <c r="AF3" s="10">
        <v>3464</v>
      </c>
    </row>
    <row r="4" spans="1:32" s="10" customFormat="1">
      <c r="A4" s="127">
        <v>42660.6603799074</v>
      </c>
      <c r="B4" s="10" t="s">
        <v>624</v>
      </c>
      <c r="C4" s="10" t="s">
        <v>51</v>
      </c>
      <c r="D4" s="22" t="s">
        <v>49</v>
      </c>
      <c r="E4" s="10" t="s">
        <v>598</v>
      </c>
      <c r="F4" s="21" t="s">
        <v>48</v>
      </c>
      <c r="H4" s="127">
        <v>42660.660550254601</v>
      </c>
      <c r="I4" s="10" t="s">
        <v>624</v>
      </c>
      <c r="J4" s="128">
        <v>1.7034722222222199E-4</v>
      </c>
      <c r="K4" s="10" t="s">
        <v>621</v>
      </c>
      <c r="L4" s="10" t="s">
        <v>622</v>
      </c>
      <c r="M4" s="129">
        <v>0</v>
      </c>
      <c r="O4" s="129">
        <v>0</v>
      </c>
      <c r="P4" s="129">
        <v>3</v>
      </c>
      <c r="Q4" s="129">
        <v>0</v>
      </c>
      <c r="R4" s="129">
        <v>0</v>
      </c>
      <c r="S4" s="10" t="s">
        <v>623</v>
      </c>
      <c r="T4" s="10">
        <v>0</v>
      </c>
      <c r="U4" s="129">
        <v>0</v>
      </c>
      <c r="V4" s="129"/>
      <c r="W4" s="130"/>
      <c r="X4" s="130"/>
      <c r="Y4" s="130"/>
      <c r="Z4" s="129"/>
      <c r="AA4" s="130"/>
      <c r="AB4" s="129"/>
      <c r="AC4" s="129"/>
      <c r="AD4" s="141"/>
      <c r="AE4" s="129"/>
      <c r="AF4" s="10">
        <v>3464</v>
      </c>
    </row>
    <row r="5" spans="1:32" s="10" customFormat="1">
      <c r="A5" s="127">
        <v>42660.6603917014</v>
      </c>
      <c r="B5" s="10" t="s">
        <v>624</v>
      </c>
      <c r="C5" s="10" t="s">
        <v>51</v>
      </c>
      <c r="D5" s="22" t="s">
        <v>49</v>
      </c>
      <c r="E5" s="10" t="s">
        <v>574</v>
      </c>
      <c r="F5" s="21" t="s">
        <v>48</v>
      </c>
      <c r="G5" s="21" t="s">
        <v>50</v>
      </c>
      <c r="H5" s="127">
        <v>42660.660997245403</v>
      </c>
      <c r="I5" s="10" t="s">
        <v>624</v>
      </c>
      <c r="J5" s="128"/>
      <c r="M5" s="129"/>
      <c r="O5" s="129"/>
      <c r="P5" s="129"/>
      <c r="Q5" s="129"/>
      <c r="R5" s="129"/>
      <c r="V5" s="129"/>
      <c r="W5" s="130"/>
      <c r="X5" s="130"/>
      <c r="Y5" s="130"/>
      <c r="Z5" s="129">
        <v>2</v>
      </c>
      <c r="AA5" s="130">
        <v>108.86038303375244</v>
      </c>
      <c r="AB5" s="129">
        <v>104</v>
      </c>
      <c r="AC5" s="129">
        <v>52319</v>
      </c>
      <c r="AD5" s="141">
        <v>1.983803</v>
      </c>
      <c r="AE5" s="129"/>
      <c r="AF5" s="10">
        <v>15</v>
      </c>
    </row>
    <row r="6" spans="1:32" s="10" customFormat="1">
      <c r="A6" s="127">
        <v>42660.660420231499</v>
      </c>
      <c r="B6" s="10" t="s">
        <v>624</v>
      </c>
      <c r="C6" s="10" t="s">
        <v>51</v>
      </c>
      <c r="D6" s="22" t="s">
        <v>49</v>
      </c>
      <c r="E6" s="10" t="s">
        <v>574</v>
      </c>
      <c r="F6" s="21" t="s">
        <v>48</v>
      </c>
      <c r="G6" s="21" t="s">
        <v>50</v>
      </c>
      <c r="H6" s="127">
        <v>42660.661220648202</v>
      </c>
      <c r="I6" s="10" t="s">
        <v>624</v>
      </c>
      <c r="J6" s="128"/>
      <c r="M6" s="129"/>
      <c r="O6" s="129"/>
      <c r="P6" s="129"/>
      <c r="Q6" s="129"/>
      <c r="R6" s="129"/>
      <c r="V6" s="129"/>
      <c r="W6" s="130"/>
      <c r="X6" s="130"/>
      <c r="Y6" s="130"/>
      <c r="Z6" s="129">
        <v>2</v>
      </c>
      <c r="AA6" s="130">
        <v>133.73400020599365</v>
      </c>
      <c r="AB6" s="129">
        <v>129</v>
      </c>
      <c r="AC6" s="129">
        <v>69156</v>
      </c>
      <c r="AD6" s="141">
        <v>1.8655379999999999</v>
      </c>
      <c r="AE6" s="129"/>
      <c r="AF6" s="10">
        <v>15</v>
      </c>
    </row>
    <row r="7" spans="1:32" s="10" customFormat="1">
      <c r="A7" s="127">
        <v>42660.660486238397</v>
      </c>
      <c r="B7" s="10" t="s">
        <v>624</v>
      </c>
      <c r="C7" s="10" t="s">
        <v>51</v>
      </c>
      <c r="D7" s="22" t="s">
        <v>49</v>
      </c>
      <c r="E7" s="10" t="s">
        <v>574</v>
      </c>
      <c r="F7" s="21" t="s">
        <v>48</v>
      </c>
      <c r="G7" s="21" t="s">
        <v>50</v>
      </c>
      <c r="H7" s="127">
        <v>42660.661230150501</v>
      </c>
      <c r="I7" s="10" t="s">
        <v>624</v>
      </c>
      <c r="J7" s="128"/>
      <c r="M7" s="129"/>
      <c r="O7" s="129"/>
      <c r="P7" s="129"/>
      <c r="Q7" s="129"/>
      <c r="R7" s="129"/>
      <c r="V7" s="129"/>
      <c r="W7" s="130"/>
      <c r="X7" s="130"/>
      <c r="Y7" s="130"/>
      <c r="Z7" s="129">
        <v>2</v>
      </c>
      <c r="AA7" s="130">
        <v>130.4456787109375</v>
      </c>
      <c r="AB7" s="129">
        <v>122</v>
      </c>
      <c r="AC7" s="129">
        <v>64274</v>
      </c>
      <c r="AD7" s="141">
        <v>1.903929</v>
      </c>
      <c r="AE7" s="129"/>
      <c r="AF7" s="10">
        <v>15</v>
      </c>
    </row>
    <row r="8" spans="1:32">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2">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2">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3">
    <mergeCell ref="I1:U1"/>
    <mergeCell ref="V1:Y1"/>
    <mergeCell ref="Z1:AD1"/>
  </mergeCells>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3" t="s">
        <v>51</v>
      </c>
      <c r="C84" s="120" t="s">
        <v>49</v>
      </c>
      <c r="D84" s="120" t="s">
        <v>48</v>
      </c>
      <c r="E84" s="10"/>
      <c r="F84" s="10" t="s">
        <v>573</v>
      </c>
      <c r="G84" s="10">
        <v>1</v>
      </c>
      <c r="H84" s="10"/>
      <c r="I84" s="27"/>
      <c r="J84" s="10"/>
      <c r="K84" s="10">
        <v>1</v>
      </c>
      <c r="L84" s="10" t="s">
        <v>572</v>
      </c>
    </row>
    <row r="85" spans="1:12">
      <c r="A85" s="10" t="s">
        <v>155</v>
      </c>
      <c r="B85" s="143" t="s">
        <v>51</v>
      </c>
      <c r="C85" s="120" t="s">
        <v>49</v>
      </c>
      <c r="D85" s="120" t="s">
        <v>48</v>
      </c>
      <c r="E85" s="120" t="s">
        <v>50</v>
      </c>
      <c r="F85" s="10" t="s">
        <v>567</v>
      </c>
      <c r="G85" s="10">
        <v>5819747</v>
      </c>
      <c r="H85" s="10" t="s">
        <v>35</v>
      </c>
      <c r="I85" s="27"/>
      <c r="J85" s="10" t="b">
        <v>1</v>
      </c>
      <c r="K85" s="10">
        <v>5819747</v>
      </c>
      <c r="L85" s="10">
        <v>13</v>
      </c>
    </row>
    <row r="86" spans="1:12">
      <c r="A86" s="10" t="s">
        <v>155</v>
      </c>
      <c r="B86" s="143" t="s">
        <v>51</v>
      </c>
      <c r="C86" s="120" t="s">
        <v>49</v>
      </c>
      <c r="D86" s="120" t="s">
        <v>48</v>
      </c>
      <c r="E86" s="120" t="s">
        <v>50</v>
      </c>
      <c r="F86" s="10" t="s">
        <v>568</v>
      </c>
      <c r="G86" s="10">
        <v>23</v>
      </c>
      <c r="H86" s="10" t="s">
        <v>35</v>
      </c>
      <c r="I86" s="27"/>
      <c r="J86" s="10" t="b">
        <v>1</v>
      </c>
      <c r="K86" s="10">
        <v>23</v>
      </c>
      <c r="L86" s="10">
        <v>13</v>
      </c>
    </row>
    <row r="87" spans="1:12">
      <c r="A87" s="10" t="s">
        <v>155</v>
      </c>
      <c r="B87" s="143" t="s">
        <v>51</v>
      </c>
      <c r="C87" s="120" t="s">
        <v>49</v>
      </c>
      <c r="D87" s="120" t="s">
        <v>48</v>
      </c>
      <c r="E87" s="120" t="s">
        <v>50</v>
      </c>
      <c r="F87" s="10" t="s">
        <v>569</v>
      </c>
      <c r="G87" s="10">
        <v>1455699.25</v>
      </c>
      <c r="H87" s="10" t="s">
        <v>35</v>
      </c>
      <c r="I87" s="27"/>
      <c r="J87" s="10" t="b">
        <v>1</v>
      </c>
      <c r="K87" s="10">
        <v>1455699.25</v>
      </c>
      <c r="L87" s="10">
        <v>13</v>
      </c>
    </row>
    <row r="88" spans="1:12">
      <c r="A88" s="10" t="s">
        <v>155</v>
      </c>
      <c r="B88" s="143"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3" t="s">
        <v>51</v>
      </c>
      <c r="C89" s="120" t="s">
        <v>49</v>
      </c>
      <c r="D89" s="120" t="s">
        <v>48</v>
      </c>
      <c r="E89" s="120" t="s">
        <v>50</v>
      </c>
      <c r="F89" s="10" t="s">
        <v>571</v>
      </c>
      <c r="G89" s="10">
        <v>4</v>
      </c>
      <c r="H89" s="10"/>
      <c r="I89" s="27"/>
      <c r="J89" s="10" t="b">
        <v>1</v>
      </c>
      <c r="K89" s="10">
        <v>4</v>
      </c>
      <c r="L89" s="10">
        <v>13</v>
      </c>
    </row>
    <row r="90" spans="1:12">
      <c r="A90" s="10" t="s">
        <v>155</v>
      </c>
      <c r="B90" s="143" t="s">
        <v>51</v>
      </c>
      <c r="C90" s="143" t="s">
        <v>49</v>
      </c>
      <c r="D90" s="143" t="s">
        <v>48</v>
      </c>
      <c r="E90" s="143" t="s">
        <v>50</v>
      </c>
      <c r="F90" s="10" t="s">
        <v>631</v>
      </c>
      <c r="G90" s="10">
        <v>230</v>
      </c>
      <c r="H90" s="10" t="s">
        <v>35</v>
      </c>
      <c r="I90" s="88"/>
      <c r="J90" s="10" t="b">
        <v>1</v>
      </c>
      <c r="K90" s="10">
        <v>230</v>
      </c>
      <c r="L90" s="10">
        <v>14</v>
      </c>
    </row>
    <row r="91" spans="1:12">
      <c r="A91" s="10" t="s">
        <v>155</v>
      </c>
      <c r="B91" s="143" t="s">
        <v>51</v>
      </c>
      <c r="C91" s="143" t="s">
        <v>49</v>
      </c>
      <c r="D91" s="143" t="s">
        <v>48</v>
      </c>
      <c r="E91" s="143" t="s">
        <v>50</v>
      </c>
      <c r="F91" s="10" t="s">
        <v>632</v>
      </c>
      <c r="G91" s="10">
        <v>124</v>
      </c>
      <c r="H91" s="10" t="s">
        <v>35</v>
      </c>
      <c r="I91" s="88"/>
      <c r="J91" s="10" t="b">
        <v>1</v>
      </c>
      <c r="K91" s="10">
        <v>124</v>
      </c>
      <c r="L91" s="10">
        <v>14</v>
      </c>
    </row>
    <row r="92" spans="1:12">
      <c r="A92" s="10" t="s">
        <v>155</v>
      </c>
      <c r="B92" s="143" t="s">
        <v>51</v>
      </c>
      <c r="C92" s="143" t="s">
        <v>49</v>
      </c>
      <c r="D92" s="143" t="s">
        <v>48</v>
      </c>
      <c r="E92" s="143" t="s">
        <v>50</v>
      </c>
      <c r="F92" s="10" t="s">
        <v>633</v>
      </c>
      <c r="G92" s="10">
        <v>100</v>
      </c>
      <c r="H92" s="10" t="s">
        <v>35</v>
      </c>
      <c r="I92" s="88"/>
      <c r="J92" s="10" t="b">
        <v>1</v>
      </c>
      <c r="K92" s="10">
        <v>100</v>
      </c>
      <c r="L92" s="10">
        <v>14</v>
      </c>
    </row>
    <row r="93" spans="1:12">
      <c r="A93" s="10" t="s">
        <v>155</v>
      </c>
      <c r="B93" s="143" t="s">
        <v>51</v>
      </c>
      <c r="C93" s="143" t="s">
        <v>49</v>
      </c>
      <c r="D93" s="143" t="s">
        <v>48</v>
      </c>
      <c r="E93" s="143" t="s">
        <v>50</v>
      </c>
      <c r="F93" s="10" t="s">
        <v>634</v>
      </c>
      <c r="G93" s="10">
        <v>10</v>
      </c>
      <c r="H93" s="10"/>
      <c r="I93" s="88"/>
      <c r="J93" s="10" t="b">
        <v>1</v>
      </c>
      <c r="K93" s="10">
        <v>10</v>
      </c>
      <c r="L93" s="10">
        <v>14</v>
      </c>
    </row>
    <row r="94" spans="1:12">
      <c r="A94" s="10" t="s">
        <v>155</v>
      </c>
      <c r="B94" s="143" t="s">
        <v>51</v>
      </c>
      <c r="C94" s="143" t="s">
        <v>49</v>
      </c>
      <c r="D94" s="143" t="s">
        <v>48</v>
      </c>
      <c r="E94" s="143" t="s">
        <v>50</v>
      </c>
      <c r="F94" s="10" t="s">
        <v>635</v>
      </c>
      <c r="G94" s="10">
        <v>5</v>
      </c>
      <c r="H94" s="10"/>
      <c r="I94" s="88"/>
      <c r="J94" s="10" t="b">
        <v>1</v>
      </c>
      <c r="K94" s="10">
        <v>5</v>
      </c>
      <c r="L94" s="10">
        <v>14</v>
      </c>
    </row>
    <row r="95" spans="1:12">
      <c r="B95" s="10"/>
      <c r="C95" s="10"/>
      <c r="D95" s="10"/>
      <c r="E95" s="10"/>
      <c r="F95" s="10"/>
      <c r="G95" s="10"/>
      <c r="H95" s="10"/>
      <c r="I95" s="88"/>
      <c r="J95" s="11"/>
      <c r="K95" s="10"/>
    </row>
    <row r="96" spans="1:12">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2017-01-01T16:53:37Z</dcterms:modified>
</cp:coreProperties>
</file>