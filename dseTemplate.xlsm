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22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Log Events Graph by Node" sheetId="66" r:id="rId43"/>
    <sheet name="Log Events Graph by Catagory" sheetId="67" r:id="rId44"/>
    <sheet name="Cassandra Summary Logs" sheetId="39" r:id="rId45"/>
    <sheet name="Solr" sheetId="54" r:id="rId46"/>
    <sheet name="Solr by Node" sheetId="55" r:id="rId47"/>
    <sheet name="Application" sheetId="27" r:id="rId48"/>
    <sheet name="--Marker--" sheetId="42" r:id="rId49"/>
    <sheet name="Read Repair History" sheetId="49" r:id="rId50"/>
    <sheet name="CFStats" sheetId="4" r:id="rId51"/>
    <sheet name="NodeStats" sheetId="16" r:id="rId52"/>
    <sheet name="TableHistogram" sheetId="32" r:id="rId53"/>
  </sheets>
  <functionGroups builtInGroupCount="18"/>
  <definedNames>
    <definedName name="_xlnm._FilterDatabase" localSheetId="44" hidden="1">'Cassandra Summary Logs'!$A$2:$H$2</definedName>
    <definedName name="_xlnm._FilterDatabase" localSheetId="50" hidden="1">CFStats!$A$1:$K$61</definedName>
    <definedName name="_xlnm._FilterDatabase" localSheetId="5" hidden="1">'DDL Keyspaces'!$A$1:$E$1</definedName>
    <definedName name="_xlnm._FilterDatabase" localSheetId="51" hidden="1">NodeStats!$A$1:$M$170</definedName>
    <definedName name="_xlnm._FilterDatabase" localSheetId="4" hidden="1">'Settings-Yamls'!$A$1:$E$1</definedName>
    <definedName name="_xlnm._FilterDatabase" localSheetId="52"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4"/>
    <pivotCache cacheId="1" r:id="rId55"/>
    <pivotCache cacheId="2" r:id="rId56"/>
    <pivotCache cacheId="7" r:id="rId57"/>
    <pivotCache cacheId="4" r:id="rId58"/>
    <pivotCache cacheId="5" r:id="rId59"/>
    <pivotCache cacheId="6" r:id="rId60"/>
  </pivotCaches>
  <extLst>
    <ext xmlns:x14="http://schemas.microsoft.com/office/spreadsheetml/2009/9/main" uri="{BBE1A952-AA13-448e-AADC-164F8A28A991}">
      <x14:slicerCaches>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<sst xmlns="http://schemas.openxmlformats.org/spreadsheetml/2006/main" count="5079" uniqueCount="811">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</sst>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4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22" fontId="0" fillId="0" borderId="0" xfId="0" applyNumberFormat="1" applyFont="1" applyAlignment="1">
      <alignment horizontal="left"/>
    </xf>
  </cellXfs>
  <cellStyles count="2">
    <cellStyle name="Normal" xfId="0" builtinId="0"/>
    <cellStyle name="Normal 2" xfId="1"/>
  </cellStyles>
  <dxfs count="427">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3.xml"/><Relationship Id="rId68" Type="http://schemas.microsoft.com/office/2007/relationships/slicerCache" Target="slicerCaches/slicerCache8.xml"/><Relationship Id="rId84" Type="http://schemas.microsoft.com/office/2007/relationships/slicerCache" Target="slicerCaches/slicerCache2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5.xml"/><Relationship Id="rId74" Type="http://schemas.microsoft.com/office/2007/relationships/slicerCache" Target="slicerCaches/slicerCache14.xml"/><Relationship Id="rId79" Type="http://schemas.microsoft.com/office/2007/relationships/slicerCache" Target="slicerCaches/slicerCache1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4.xml"/><Relationship Id="rId69" Type="http://schemas.microsoft.com/office/2007/relationships/slicerCache" Target="slicerCaches/slicerCache9.xml"/><Relationship Id="rId77" Type="http://schemas.microsoft.com/office/2007/relationships/slicerCache" Target="slicerCaches/slicerCache17.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2.xml"/><Relationship Id="rId80" Type="http://schemas.microsoft.com/office/2007/relationships/slicerCache" Target="slicerCaches/slicerCache2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6.xml"/><Relationship Id="rId67" Type="http://schemas.microsoft.com/office/2007/relationships/slicerCache" Target="slicerCaches/slicerCache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2.xml"/><Relationship Id="rId70" Type="http://schemas.microsoft.com/office/2007/relationships/slicerCache" Target="slicerCaches/slicerCache10.xml"/><Relationship Id="rId75" Type="http://schemas.microsoft.com/office/2007/relationships/slicerCache" Target="slicerCaches/slicerCache15.xml"/><Relationship Id="rId83" Type="http://schemas.microsoft.com/office/2007/relationships/slicerCache" Target="slicerCaches/slicerCache2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7.xml"/><Relationship Id="rId65" Type="http://schemas.microsoft.com/office/2007/relationships/slicerCache" Target="slicerCaches/slicerCache5.xml"/><Relationship Id="rId73" Type="http://schemas.microsoft.com/office/2007/relationships/slicerCache" Target="slicerCaches/slicerCache13.xml"/><Relationship Id="rId78" Type="http://schemas.microsoft.com/office/2007/relationships/slicerCache" Target="slicerCaches/slicerCache18.xml"/><Relationship Id="rId81" Type="http://schemas.microsoft.com/office/2007/relationships/slicerCache" Target="slicerCaches/slicerCache2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6" Type="http://schemas.microsoft.com/office/2007/relationships/slicerCache" Target="slicerCaches/slicerCache16.xml"/><Relationship Id="rId7" Type="http://schemas.openxmlformats.org/officeDocument/2006/relationships/worksheet" Target="worksheets/sheet7.xml"/><Relationship Id="rId71" Type="http://schemas.microsoft.com/office/2007/relationships/slicerCache" Target="slicerCaches/slicerCache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6.xml"/><Relationship Id="rId87" Type="http://schemas.openxmlformats.org/officeDocument/2006/relationships/sharedStrings" Target="sharedStrings.xml"/><Relationship Id="rId61" Type="http://schemas.microsoft.com/office/2007/relationships/slicerCache" Target="slicerCaches/slicerCache1.xml"/><Relationship Id="rId82" Type="http://schemas.microsoft.com/office/2007/relationships/slicerCache" Target="slicerCaches/slicerCache22.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1411E5A1-16A0-451F-9408-AED58526D6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5">
      <pivotArea dataOnly="0" labelOnly="1" outline="0" axis="axisValues" fieldPosition="0"/>
    </format>
    <format dxfId="4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8">
      <pivotArea collapsedLevelsAreSubtotals="1" fieldPosition="0">
        <references count="2">
          <reference field="4294967294" count="1" selected="0">
            <x v="0"/>
          </reference>
          <reference field="2" count="1">
            <x v="0"/>
          </reference>
        </references>
      </pivotArea>
    </format>
    <format dxfId="4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6">
      <pivotArea field="3" type="button" dataOnly="0" labelOnly="1" outline="0" axis="axisRow" fieldPosition="1"/>
    </format>
    <format dxfId="415">
      <pivotArea dataOnly="0" labelOnly="1" outline="0" fieldPosition="0">
        <references count="1">
          <reference field="4294967294" count="8">
            <x v="0"/>
            <x v="1"/>
            <x v="2"/>
            <x v="4"/>
            <x v="6"/>
            <x v="11"/>
            <x v="14"/>
            <x v="15"/>
          </reference>
        </references>
      </pivotArea>
    </format>
    <format dxfId="414">
      <pivotArea outline="0" fieldPosition="0">
        <references count="1">
          <reference field="4294967294" count="1">
            <x v="7"/>
          </reference>
        </references>
      </pivotArea>
    </format>
    <format dxfId="413">
      <pivotArea dataOnly="0" labelOnly="1" outline="0" fieldPosition="0">
        <references count="1">
          <reference field="4294967294" count="1">
            <x v="7"/>
          </reference>
        </references>
      </pivotArea>
    </format>
    <format dxfId="412">
      <pivotArea outline="0" fieldPosition="0">
        <references count="1">
          <reference field="4294967294" count="1">
            <x v="3"/>
          </reference>
        </references>
      </pivotArea>
    </format>
    <format dxfId="411">
      <pivotArea outline="0" fieldPosition="0">
        <references count="1">
          <reference field="4294967294" count="1">
            <x v="8"/>
          </reference>
        </references>
      </pivotArea>
    </format>
    <format dxfId="410">
      <pivotArea outline="0" fieldPosition="0">
        <references count="1">
          <reference field="4294967294" count="1">
            <x v="9"/>
          </reference>
        </references>
      </pivotArea>
    </format>
    <format dxfId="409">
      <pivotArea outline="0" fieldPosition="0">
        <references count="1">
          <reference field="4294967294" count="1">
            <x v="10"/>
          </reference>
        </references>
      </pivotArea>
    </format>
    <format dxfId="408">
      <pivotArea outline="0" fieldPosition="0">
        <references count="1">
          <reference field="4294967294" count="1">
            <x v="13"/>
          </reference>
        </references>
      </pivotArea>
    </format>
    <format dxfId="407">
      <pivotArea outline="0" fieldPosition="0">
        <references count="1">
          <reference field="4294967294" count="1">
            <x v="5"/>
          </reference>
        </references>
      </pivotArea>
    </format>
    <format dxfId="406">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5">
      <pivotArea field="3" type="button" dataOnly="0" labelOnly="1" outline="0" axis="axisRow" fieldPosition="0"/>
    </format>
    <format dxfId="404">
      <pivotArea dataOnly="0" labelOnly="1" outline="0" fieldPosition="0">
        <references count="1">
          <reference field="4294967294" count="8">
            <x v="0"/>
            <x v="1"/>
            <x v="2"/>
            <x v="4"/>
            <x v="6"/>
            <x v="10"/>
            <x v="13"/>
            <x v="14"/>
          </reference>
        </references>
      </pivotArea>
    </format>
    <format dxfId="403">
      <pivotArea outline="0" fieldPosition="0">
        <references count="1">
          <reference field="4294967294" count="1">
            <x v="5"/>
          </reference>
        </references>
      </pivotArea>
    </format>
    <format dxfId="402">
      <pivotArea outline="0" fieldPosition="0">
        <references count="1">
          <reference field="4294967294" count="1">
            <x v="7"/>
          </reference>
        </references>
      </pivotArea>
    </format>
    <format dxfId="401">
      <pivotArea dataOnly="0" labelOnly="1" outline="0" fieldPosition="0">
        <references count="1">
          <reference field="4294967294" count="1">
            <x v="7"/>
          </reference>
        </references>
      </pivotArea>
    </format>
    <format dxfId="400">
      <pivotArea dataOnly="0" labelOnly="1" outline="0" fieldPosition="0">
        <references count="1">
          <reference field="4294967294" count="1">
            <x v="5"/>
          </reference>
        </references>
      </pivotArea>
    </format>
    <format dxfId="399">
      <pivotArea outline="0" fieldPosition="0">
        <references count="1">
          <reference field="4294967294" count="1">
            <x v="3"/>
          </reference>
        </references>
      </pivotArea>
    </format>
    <format dxfId="398">
      <pivotArea outline="0" fieldPosition="0">
        <references count="1">
          <reference field="4294967294" count="1">
            <x v="9"/>
          </reference>
        </references>
      </pivotArea>
    </format>
    <format dxfId="397">
      <pivotArea outline="0" fieldPosition="0">
        <references count="1">
          <reference field="4294967294" count="1">
            <x v="12"/>
          </reference>
        </references>
      </pivotArea>
    </format>
    <format dxfId="396">
      <pivotArea outline="0" fieldPosition="0">
        <references count="1">
          <reference field="4294967294" count="1">
            <x v="8"/>
          </reference>
        </references>
      </pivotArea>
    </format>
    <format dxfId="395">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4">
      <pivotArea dataOnly="0" labelOnly="1" outline="0" axis="axisValues" fieldPosition="0"/>
    </format>
    <format dxfId="383">
      <pivotArea dataOnly="0" outline="0" axis="axisValues" fieldPosition="0"/>
    </format>
    <format dxfId="3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7">
      <pivotArea dataOnly="0" labelOnly="1" outline="0" fieldPosition="0">
        <references count="1">
          <reference field="4294967294" count="1">
            <x v="0"/>
          </reference>
        </references>
      </pivotArea>
    </format>
    <format dxfId="38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9">
      <pivotArea dataOnly="0" labelOnly="1" outline="0" fieldPosition="0">
        <references count="1">
          <reference field="4294967294" count="1">
            <x v="0"/>
          </reference>
        </references>
      </pivotArea>
    </format>
    <format dxfId="38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94">
      <pivotArea dataOnly="0" labelOnly="1" outline="0" fieldPosition="0">
        <references count="1">
          <reference field="4294967294" count="1">
            <x v="0"/>
          </reference>
        </references>
      </pivotArea>
    </format>
    <format dxfId="39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1">
      <pivotArea dataOnly="0" labelOnly="1" outline="0" axis="axisValues" fieldPosition="0"/>
    </format>
    <format dxfId="370">
      <pivotArea dataOnly="0" outline="0" axis="axisValues" fieldPosition="0"/>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3">
      <pivotArea dataOnly="0" labelOnly="1" outline="0" fieldPosition="0">
        <references count="1">
          <reference field="4294967294" count="1">
            <x v="1"/>
          </reference>
        </references>
      </pivotArea>
    </format>
    <format dxfId="37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5">
      <pivotArea dataOnly="0" labelOnly="1" outline="0" fieldPosition="0">
        <references count="1">
          <reference field="4294967294" count="1">
            <x v="1"/>
          </reference>
        </references>
      </pivotArea>
    </format>
    <format dxfId="37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7">
      <pivotArea dataOnly="0" labelOnly="1" outline="0" fieldPosition="0">
        <references count="1">
          <reference field="4294967294" count="1">
            <x v="0"/>
          </reference>
        </references>
      </pivotArea>
    </format>
    <format dxfId="37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79">
      <pivotArea dataOnly="0" labelOnly="1" outline="0" fieldPosition="0">
        <references count="1">
          <reference field="4294967294" count="1">
            <x v="0"/>
          </reference>
        </references>
      </pivotArea>
    </format>
    <format dxfId="3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81">
      <pivotArea dataOnly="0" labelOnly="1" outline="0" fieldPosition="0">
        <references count="1">
          <reference field="4294967294" count="1">
            <x v="0"/>
          </reference>
        </references>
      </pivotArea>
    </format>
    <format dxfId="38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54">
      <pivotArea collapsedLevelsAreSubtotals="1" fieldPosition="0">
        <references count="1">
          <reference field="4" count="1">
            <x v="1"/>
          </reference>
        </references>
      </pivotArea>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2"/>
    <dataField name="Max Min" fld="6" subtotal="min" baseField="3" baseItem="1" numFmtId="172"/>
    <dataField name="Average" fld="6" subtotal="average" baseField="3" baseItem="1" numFmtId="172"/>
    <dataField name="StdDev" fld="6" subtotal="stdDevp" baseField="3" baseItem="1" numFmtId="172"/>
  </dataFields>
  <formats count="7">
    <format dxfId="361">
      <pivotArea dataOnly="0" labelOnly="1" outline="0" axis="axisValues" fieldPosition="0"/>
    </format>
    <format dxfId="360">
      <pivotArea collapsedLevelsAreSubtotals="1" fieldPosition="0">
        <references count="1">
          <reference field="4" count="1">
            <x v="1"/>
          </reference>
        </references>
      </pivotArea>
    </format>
    <format dxfId="359">
      <pivotArea outline="0" fieldPosition="0">
        <references count="1">
          <reference field="4294967294" count="1">
            <x v="0"/>
          </reference>
        </references>
      </pivotArea>
    </format>
    <format dxfId="358">
      <pivotArea outline="0" fieldPosition="0">
        <references count="1">
          <reference field="4294967294" count="1">
            <x v="3"/>
          </reference>
        </references>
      </pivotArea>
    </format>
    <format dxfId="357">
      <pivotArea outline="0" fieldPosition="0">
        <references count="1">
          <reference field="4294967294" count="1">
            <x v="3"/>
          </reference>
        </references>
      </pivotArea>
    </format>
    <format dxfId="356">
      <pivotArea outline="0" fieldPosition="0">
        <references count="1">
          <reference field="4294967294" count="1">
            <x v="1"/>
          </reference>
        </references>
      </pivotArea>
    </format>
    <format dxfId="35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2"/>
    <dataField name="Min Max" fld="6" subtotal="max" baseField="3" baseItem="1" numFmtId="172"/>
    <dataField name="Average" fld="6" subtotal="average" baseField="3" baseItem="1" numFmtId="172"/>
    <dataField name="StdDev" fld="6" subtotal="stdDevp" baseField="3" baseItem="1" numFmtId="172"/>
  </dataFields>
  <formats count="6">
    <format dxfId="367">
      <pivotArea dataOnly="0" labelOnly="1" outline="0" axis="axisValues" fieldPosition="0"/>
    </format>
    <format dxfId="366">
      <pivotArea collapsedLevelsAreSubtotals="1" fieldPosition="0">
        <references count="1">
          <reference field="4" count="1">
            <x v="1"/>
          </reference>
        </references>
      </pivotArea>
    </format>
    <format dxfId="365">
      <pivotArea outline="0" fieldPosition="0">
        <references count="1">
          <reference field="4294967294" count="1">
            <x v="0"/>
          </reference>
        </references>
      </pivotArea>
    </format>
    <format dxfId="364">
      <pivotArea outline="0" fieldPosition="0">
        <references count="1">
          <reference field="4294967294" count="1">
            <x v="3"/>
          </reference>
        </references>
      </pivotArea>
    </format>
    <format dxfId="363">
      <pivotArea outline="0" fieldPosition="0">
        <references count="1">
          <reference field="4294967294" count="1">
            <x v="1"/>
          </reference>
        </references>
      </pivotArea>
    </format>
    <format dxfId="362">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2"/>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52">
      <pivotArea collapsedLevelsAreSubtotals="1" fieldPosition="0">
        <references count="1">
          <reference field="4" count="1">
            <x v="1"/>
          </reference>
        </references>
      </pivotArea>
    </format>
    <format dxfId="3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2"/>
    <dataField name="Min Max" fld="6" subtotal="max"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2"/>
    <dataField name="Average" fld="6" subtotal="average" baseField="2" baseItem="0" numFmtId="172"/>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49">
      <pivotArea dataOnly="0" labelOnly="1" outline="0" fieldPosition="0">
        <references count="1">
          <reference field="4294967294" count="1">
            <x v="0"/>
          </reference>
        </references>
      </pivotArea>
    </format>
    <format dxfId="3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0">
      <pivotArea dataOnly="0" labelOnly="1"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Page" fieldPosition="2"/>
    </format>
    <format dxfId="197">
      <pivotArea dataOnly="0" labelOnly="1" fieldPosition="0">
        <references count="1">
          <reference field="4" count="1">
            <x v="0"/>
          </reference>
        </references>
      </pivotArea>
    </format>
    <format dxfId="196">
      <pivotArea dataOnly="0" labelOnly="1" outline="0" fieldPosition="0">
        <references count="1">
          <reference field="4294967294" count="1">
            <x v="0"/>
          </reference>
        </references>
      </pivotArea>
    </format>
    <format dxfId="195">
      <pivotArea field="4" type="button" dataOnly="0" labelOnly="1" outline="0" axis="axisPage" fieldPosition="2"/>
    </format>
    <format dxfId="194">
      <pivotArea field="2" type="button" dataOnly="0" labelOnly="1" outline="0" axis="axisRow" fieldPosition="0"/>
    </format>
    <format dxfId="193">
      <pivotArea dataOnly="0" labelOnly="1" fieldPosition="0">
        <references count="1">
          <reference field="2" count="1">
            <x v="0"/>
          </reference>
        </references>
      </pivotArea>
    </format>
    <format dxfId="192">
      <pivotArea dataOnly="0" labelOnly="1" grandRow="1" outline="0" fieldPosition="0"/>
    </format>
    <format dxfId="191">
      <pivotArea outline="0" collapsedLevelsAreSubtotals="1" fieldPosition="0">
        <references count="1">
          <reference field="4294967294" count="1" selected="0">
            <x v="3"/>
          </reference>
        </references>
      </pivotArea>
    </format>
    <format dxfId="190">
      <pivotArea dataOnly="0" labelOnly="1" outline="0" fieldPosition="0">
        <references count="1">
          <reference field="4294967294" count="1">
            <x v="3"/>
          </reference>
        </references>
      </pivotArea>
    </format>
    <format dxfId="189">
      <pivotArea outline="0" collapsedLevelsAreSubtotals="1" fieldPosition="0">
        <references count="1">
          <reference field="4294967294" count="1" selected="0">
            <x v="6"/>
          </reference>
        </references>
      </pivotArea>
    </format>
    <format dxfId="188">
      <pivotArea dataOnly="0" labelOnly="1" outline="0" fieldPosition="0">
        <references count="1">
          <reference field="4294967294" count="1">
            <x v="6"/>
          </reference>
        </references>
      </pivotArea>
    </format>
    <format dxfId="187">
      <pivotArea outline="0" collapsedLevelsAreSubtotals="1" fieldPosition="0">
        <references count="1">
          <reference field="4294967294" count="1" selected="0">
            <x v="9"/>
          </reference>
        </references>
      </pivotArea>
    </format>
    <format dxfId="186">
      <pivotArea dataOnly="0" labelOnly="1" outline="0" fieldPosition="0">
        <references count="1">
          <reference field="4294967294" count="1">
            <x v="9"/>
          </reference>
        </references>
      </pivotArea>
    </format>
    <format dxfId="185">
      <pivotArea outline="0" collapsedLevelsAreSubtotals="1" fieldPosition="0">
        <references count="1">
          <reference field="4294967294" count="1" selected="0">
            <x v="12"/>
          </reference>
        </references>
      </pivotArea>
    </format>
    <format dxfId="184">
      <pivotArea dataOnly="0" labelOnly="1" outline="0" fieldPosition="0">
        <references count="1">
          <reference field="4294967294" count="1">
            <x v="12"/>
          </reference>
        </references>
      </pivotArea>
    </format>
    <format dxfId="183">
      <pivotArea outline="0" collapsedLevelsAreSubtotals="1" fieldPosition="0">
        <references count="1">
          <reference field="4294967294" count="1" selected="0">
            <x v="15"/>
          </reference>
        </references>
      </pivotArea>
    </format>
    <format dxfId="182">
      <pivotArea dataOnly="0" labelOnly="1" outline="0" fieldPosition="0">
        <references count="1">
          <reference field="4294967294" count="1">
            <x v="15"/>
          </reference>
        </references>
      </pivotArea>
    </format>
    <format dxfId="181">
      <pivotArea outline="0" collapsedLevelsAreSubtotals="1" fieldPosition="0">
        <references count="1">
          <reference field="4294967294" count="1" selected="0">
            <x v="17"/>
          </reference>
        </references>
      </pivotArea>
    </format>
    <format dxfId="18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Row" fieldPosition="1"/>
    </format>
    <format dxfId="205">
      <pivotArea dataOnly="0" labelOnly="1" fieldPosition="0">
        <references count="1">
          <reference field="4" count="1">
            <x v="0"/>
          </reference>
        </references>
      </pivotArea>
    </format>
    <format dxfId="204">
      <pivotArea dataOnly="0" labelOnly="1" grandRow="1" outline="0" fieldPosition="0"/>
    </format>
    <format dxfId="203">
      <pivotArea dataOnly="0" labelOnly="1" outline="0" fieldPosition="0">
        <references count="1">
          <reference field="4294967294" count="1">
            <x v="0"/>
          </reference>
        </references>
      </pivotArea>
    </format>
    <format dxfId="20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 dxfId="13">
      <pivotArea outline="0" fieldPosition="0">
        <references count="1">
          <reference field="4294967294" count="1">
            <x v="0"/>
          </reference>
        </references>
      </pivotArea>
    </format>
    <format dxfId="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2">
      <pivotArea dataOnly="0" labelOnly="1" outline="0" axis="axisValues" fieldPosition="0"/>
    </format>
    <format dxfId="21">
      <pivotArea dataOnly="0" outline="0" axis="axisValues"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2.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3" Type="http://schemas.openxmlformats.org/officeDocument/2006/relationships/pivotTable" Target="../pivotTables/pivotTable176.xml"/><Relationship Id="rId7" Type="http://schemas.openxmlformats.org/officeDocument/2006/relationships/printerSettings" Target="../printerSettings/printerSettings39.bin"/><Relationship Id="rId2" Type="http://schemas.openxmlformats.org/officeDocument/2006/relationships/pivotTable" Target="../pivotTables/pivotTable175.xml"/><Relationship Id="rId1" Type="http://schemas.openxmlformats.org/officeDocument/2006/relationships/pivotTable" Target="../pivotTables/pivotTable174.xml"/><Relationship Id="rId6" Type="http://schemas.openxmlformats.org/officeDocument/2006/relationships/pivotTable" Target="../pivotTables/pivotTable179.xml"/><Relationship Id="rId5" Type="http://schemas.openxmlformats.org/officeDocument/2006/relationships/pivotTable" Target="../pivotTables/pivotTable178.xml"/><Relationship Id="rId4" Type="http://schemas.openxmlformats.org/officeDocument/2006/relationships/pivotTable" Target="../pivotTables/pivotTable177.xml"/></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182.xml"/><Relationship Id="rId7" Type="http://schemas.openxmlformats.org/officeDocument/2006/relationships/printerSettings" Target="../printerSettings/printerSettings40.bin"/><Relationship Id="rId2" Type="http://schemas.openxmlformats.org/officeDocument/2006/relationships/pivotTable" Target="../pivotTables/pivotTable181.xml"/><Relationship Id="rId1" Type="http://schemas.openxmlformats.org/officeDocument/2006/relationships/pivotTable" Target="../pivotTables/pivotTable180.xml"/><Relationship Id="rId6" Type="http://schemas.openxmlformats.org/officeDocument/2006/relationships/pivotTable" Target="../pivotTables/pivotTable185.xml"/><Relationship Id="rId5" Type="http://schemas.openxmlformats.org/officeDocument/2006/relationships/pivotTable" Target="../pivotTables/pivotTable184.xml"/><Relationship Id="rId4" Type="http://schemas.openxmlformats.org/officeDocument/2006/relationships/pivotTable" Target="../pivotTables/pivotTable183.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8" t="s">
        <v>507</v>
      </c>
      <c r="C5" s="198"/>
      <c r="D5" s="198"/>
      <c r="F5" s="198" t="s">
        <v>508</v>
      </c>
      <c r="G5" s="198"/>
      <c r="H5" s="198"/>
      <c r="J5" s="198" t="s">
        <v>356</v>
      </c>
      <c r="K5" s="198"/>
      <c r="L5" s="198"/>
      <c r="N5" s="198" t="s">
        <v>501</v>
      </c>
      <c r="O5" s="198"/>
      <c r="P5" s="198"/>
      <c r="Q5" s="199"/>
      <c r="R5" s="199"/>
      <c r="S5" s="199"/>
      <c r="T5" s="199"/>
      <c r="U5" s="199"/>
      <c r="V5" s="199"/>
      <c r="W5" s="199"/>
      <c r="X5" s="199"/>
      <c r="Y5" s="199"/>
      <c r="Z5" s="199"/>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204" t="s">
        <v>228</v>
      </c>
      <c r="K1" s="202" t="s">
        <v>228</v>
      </c>
      <c r="L1" s="202" t="s">
        <v>228</v>
      </c>
      <c r="M1" s="203" t="s">
        <v>228</v>
      </c>
      <c r="N1" s="200" t="s">
        <v>229</v>
      </c>
      <c r="O1" s="201" t="s">
        <v>229</v>
      </c>
      <c r="P1" s="201" t="s">
        <v>229</v>
      </c>
      <c r="Q1" s="201" t="s">
        <v>229</v>
      </c>
      <c r="R1" s="201" t="s">
        <v>229</v>
      </c>
      <c r="S1" s="205" t="s">
        <v>229</v>
      </c>
      <c r="T1" s="206" t="s">
        <v>230</v>
      </c>
      <c r="U1" s="207" t="s">
        <v>230</v>
      </c>
      <c r="V1" s="207" t="s">
        <v>230</v>
      </c>
      <c r="W1" s="207" t="s">
        <v>230</v>
      </c>
      <c r="X1" s="208" t="s">
        <v>230</v>
      </c>
      <c r="Y1" s="209" t="s">
        <v>231</v>
      </c>
      <c r="Z1" s="207" t="s">
        <v>231</v>
      </c>
      <c r="AA1" s="202" t="s">
        <v>231</v>
      </c>
      <c r="AB1" s="208" t="s">
        <v>231</v>
      </c>
      <c r="AC1" s="209" t="s">
        <v>232</v>
      </c>
      <c r="AD1" s="202" t="s">
        <v>232</v>
      </c>
      <c r="AE1" s="202" t="s">
        <v>232</v>
      </c>
      <c r="AF1" s="203" t="s">
        <v>232</v>
      </c>
      <c r="AG1" s="206" t="s">
        <v>233</v>
      </c>
      <c r="AH1" s="207" t="s">
        <v>233</v>
      </c>
      <c r="AI1" s="207" t="s">
        <v>233</v>
      </c>
      <c r="AJ1" s="207" t="s">
        <v>233</v>
      </c>
      <c r="AK1" s="210" t="s">
        <v>233</v>
      </c>
      <c r="AL1" s="200" t="s">
        <v>234</v>
      </c>
      <c r="AM1" s="201" t="s">
        <v>234</v>
      </c>
      <c r="AN1" s="201" t="s">
        <v>234</v>
      </c>
      <c r="AO1" s="201" t="s">
        <v>234</v>
      </c>
      <c r="AP1" s="201" t="s">
        <v>234</v>
      </c>
      <c r="AQ1" s="202" t="s">
        <v>234</v>
      </c>
      <c r="AR1" s="202" t="s">
        <v>234</v>
      </c>
      <c r="AS1" s="203"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5"/>
    <col min="12" max="12" width="9.5546875" style="163" bestFit="1" customWidth="1"/>
    <col min="13" max="13" width="13.77734375" style="163" customWidth="1"/>
    <col min="14" max="14" width="12.77734375" style="163" customWidth="1"/>
    <col min="15" max="15" width="24" style="185"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v>2</v>
      </c>
      <c r="P2" s="10" t="s">
        <v>137</v>
      </c>
      <c r="Q2" s="26">
        <v>1.01</v>
      </c>
      <c r="R2" s="11">
        <v>256</v>
      </c>
      <c r="S2" s="11">
        <v>0</v>
      </c>
      <c r="U2" s="10" t="b">
        <v>1</v>
      </c>
      <c r="V2" s="10" t="b">
        <v>1</v>
      </c>
      <c r="W2" s="10" t="b">
        <v>1</v>
      </c>
      <c r="X2" s="10" t="s">
        <v>138</v>
      </c>
      <c r="Y2" s="10" t="s">
        <v>139</v>
      </c>
      <c r="Z2" s="10" t="s">
        <v>140</v>
      </c>
    </row>
  </sheetData>
  <conditionalFormatting sqref="D1:D1048576">
    <cfRule type="cellIs" dxfId="426" priority="10" operator="equal">
      <formula>"Down"</formula>
    </cfRule>
  </conditionalFormatting>
  <conditionalFormatting sqref="J1:J1048576">
    <cfRule type="colorScale" priority="6">
      <colorScale>
        <cfvo type="min"/>
        <cfvo type="num" val="4"/>
        <color rgb="FFC00000"/>
        <color rgb="FFFFEF9C"/>
      </colorScale>
    </cfRule>
    <cfRule type="colorScale" priority="7">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num" val="0"/>
        <cfvo type="num" val="0.6"/>
        <cfvo type="num" val="1"/>
        <color theme="9" tint="-0.499984740745262"/>
        <color rgb="FFFFFF00"/>
        <color rgb="FFC00000"/>
      </colorScale>
    </cfRule>
  </conditionalFormatting>
  <conditionalFormatting sqref="H1:H1048576">
    <cfRule type="colorScale" priority="1">
      <colorScale>
        <cfvo type="min"/>
        <cfvo type="num" val="40"/>
        <cfvo type="num" val="100"/>
        <color rgb="FF00B050"/>
        <color theme="9" tint="0.39997558519241921"/>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9" t="s">
        <v>90</v>
      </c>
      <c r="B1" s="189" t="s">
        <v>417</v>
      </c>
      <c r="C1" s="189" t="s">
        <v>0</v>
      </c>
      <c r="D1" s="189" t="s">
        <v>418</v>
      </c>
      <c r="E1" s="189" t="s">
        <v>794</v>
      </c>
      <c r="F1" s="189" t="s">
        <v>795</v>
      </c>
      <c r="G1" s="189" t="s">
        <v>796</v>
      </c>
      <c r="H1" s="189" t="s">
        <v>797</v>
      </c>
      <c r="I1" s="189" t="s">
        <v>422</v>
      </c>
      <c r="J1" s="189" t="s">
        <v>51</v>
      </c>
      <c r="K1" s="189" t="s">
        <v>798</v>
      </c>
      <c r="L1" s="189" t="s">
        <v>799</v>
      </c>
      <c r="M1" s="189" t="s">
        <v>800</v>
      </c>
      <c r="N1" s="189" t="s">
        <v>801</v>
      </c>
      <c r="O1" s="189" t="s">
        <v>802</v>
      </c>
      <c r="P1" s="189" t="s">
        <v>803</v>
      </c>
      <c r="Q1" s="16" t="s">
        <v>101</v>
      </c>
    </row>
    <row r="2" spans="1:17" s="10" customFormat="1">
      <c r="A2" s="22" t="s">
        <v>47</v>
      </c>
      <c r="B2" s="10" t="s">
        <v>804</v>
      </c>
      <c r="C2" s="22" t="s">
        <v>50</v>
      </c>
      <c r="D2" s="190">
        <v>3</v>
      </c>
      <c r="E2" s="190">
        <v>60</v>
      </c>
      <c r="F2" s="190">
        <v>921</v>
      </c>
      <c r="G2" s="190">
        <v>5</v>
      </c>
      <c r="H2" s="190">
        <v>26</v>
      </c>
      <c r="I2" s="190">
        <v>91</v>
      </c>
      <c r="J2" s="190">
        <v>57</v>
      </c>
      <c r="K2" s="190">
        <v>60</v>
      </c>
      <c r="L2" s="190">
        <v>0</v>
      </c>
      <c r="M2" s="190">
        <v>0</v>
      </c>
      <c r="N2" s="190">
        <v>0</v>
      </c>
      <c r="O2" s="190">
        <v>0</v>
      </c>
      <c r="P2" s="190">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206" t="s">
        <v>88</v>
      </c>
      <c r="H1" s="211" t="s">
        <v>88</v>
      </c>
      <c r="I1" s="211" t="s">
        <v>88</v>
      </c>
      <c r="J1" s="210" t="s">
        <v>88</v>
      </c>
      <c r="K1" s="14"/>
      <c r="L1" s="212" t="s">
        <v>419</v>
      </c>
      <c r="M1" s="213" t="s">
        <v>419</v>
      </c>
      <c r="N1" s="213" t="s">
        <v>419</v>
      </c>
      <c r="O1" s="213"/>
      <c r="P1" s="213"/>
      <c r="Q1" s="214"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15" t="s">
        <v>293</v>
      </c>
      <c r="B1" s="216"/>
      <c r="C1" s="216"/>
      <c r="D1" s="216"/>
      <c r="E1" s="216"/>
      <c r="F1" s="216"/>
      <c r="G1" s="216"/>
      <c r="H1" s="216"/>
      <c r="I1" s="216"/>
      <c r="J1" s="216"/>
      <c r="K1" s="216"/>
    </row>
    <row r="2" spans="1:11">
      <c r="A2" s="187" t="s">
        <v>0</v>
      </c>
      <c r="B2" s="188" t="s">
        <v>16</v>
      </c>
      <c r="C2" s="185"/>
      <c r="D2" s="187" t="s">
        <v>0</v>
      </c>
      <c r="E2" s="188" t="s">
        <v>16</v>
      </c>
      <c r="G2" s="187" t="s">
        <v>0</v>
      </c>
      <c r="H2" s="188" t="s">
        <v>16</v>
      </c>
    </row>
    <row r="3" spans="1:11">
      <c r="A3" s="187" t="s">
        <v>51</v>
      </c>
      <c r="B3" s="188" t="s">
        <v>16</v>
      </c>
      <c r="C3" s="185"/>
      <c r="D3" s="187" t="s">
        <v>51</v>
      </c>
      <c r="E3" s="188" t="s">
        <v>16</v>
      </c>
      <c r="G3" s="187" t="s">
        <v>51</v>
      </c>
      <c r="H3" s="188" t="s">
        <v>16</v>
      </c>
    </row>
    <row r="4" spans="1:11">
      <c r="A4" s="187" t="s">
        <v>3</v>
      </c>
      <c r="B4" s="188" t="s">
        <v>754</v>
      </c>
      <c r="C4" s="185"/>
      <c r="D4" s="187" t="s">
        <v>3</v>
      </c>
      <c r="E4" s="188" t="s">
        <v>756</v>
      </c>
      <c r="G4" s="187" t="s">
        <v>3</v>
      </c>
      <c r="H4" s="188" t="s">
        <v>755</v>
      </c>
    </row>
    <row r="5" spans="1:11">
      <c r="A5" s="185"/>
      <c r="B5" s="185"/>
      <c r="C5" s="185"/>
      <c r="D5" s="185"/>
      <c r="E5" s="185"/>
      <c r="G5" s="185"/>
      <c r="H5" s="185"/>
    </row>
    <row r="6" spans="1:11">
      <c r="A6" s="187" t="s">
        <v>722</v>
      </c>
      <c r="B6" t="s">
        <v>422</v>
      </c>
      <c r="D6" s="187" t="s">
        <v>722</v>
      </c>
      <c r="E6" t="s">
        <v>422</v>
      </c>
      <c r="G6" s="187"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5" customWidth="1"/>
    <col min="2" max="2" width="27.109375" style="185" customWidth="1"/>
    <col min="3" max="3" width="5.77734375" style="185" customWidth="1"/>
    <col min="4" max="4" width="16.44140625" style="185" customWidth="1"/>
    <col min="5" max="5" width="27.77734375" style="185" customWidth="1"/>
    <col min="6" max="6" width="8.88671875" style="185"/>
    <col min="7" max="7" width="16.44140625" style="185" customWidth="1"/>
    <col min="8" max="8" width="27.77734375" style="185" customWidth="1"/>
    <col min="9" max="9" width="8.88671875" style="185"/>
    <col min="10" max="10" width="10.77734375" style="185" bestFit="1" customWidth="1"/>
    <col min="11" max="11" width="26" style="185" bestFit="1" customWidth="1"/>
    <col min="12" max="12" width="4.44140625" style="185" customWidth="1"/>
    <col min="13" max="13" width="10.77734375" style="185" customWidth="1"/>
    <col min="14" max="14" width="28.88671875" style="185" bestFit="1" customWidth="1"/>
    <col min="15" max="16384" width="8.88671875" style="185"/>
  </cols>
  <sheetData>
    <row r="1" spans="1:14">
      <c r="A1" s="215" t="s">
        <v>293</v>
      </c>
      <c r="B1" s="216"/>
      <c r="C1" s="216"/>
      <c r="D1" s="216"/>
      <c r="E1" s="216"/>
      <c r="F1" s="216"/>
      <c r="G1" s="216"/>
      <c r="H1" s="216"/>
      <c r="I1" s="216"/>
      <c r="J1" s="216"/>
      <c r="K1" s="216"/>
      <c r="L1" s="215"/>
      <c r="M1" s="216"/>
      <c r="N1" s="216"/>
    </row>
    <row r="2" spans="1:14">
      <c r="A2" s="187" t="s">
        <v>0</v>
      </c>
      <c r="B2" s="188" t="s">
        <v>16</v>
      </c>
      <c r="D2" s="187" t="s">
        <v>0</v>
      </c>
      <c r="E2" s="188" t="s">
        <v>16</v>
      </c>
      <c r="G2" s="187" t="s">
        <v>0</v>
      </c>
      <c r="H2" s="188" t="s">
        <v>16</v>
      </c>
      <c r="J2" s="215"/>
      <c r="K2" s="216"/>
      <c r="L2" s="216"/>
      <c r="M2" s="215"/>
      <c r="N2" s="216"/>
    </row>
    <row r="3" spans="1:14">
      <c r="A3" s="187" t="s">
        <v>51</v>
      </c>
      <c r="B3" s="188" t="s">
        <v>16</v>
      </c>
      <c r="D3" s="187" t="s">
        <v>51</v>
      </c>
      <c r="E3" s="188" t="s">
        <v>16</v>
      </c>
      <c r="G3" s="187" t="s">
        <v>51</v>
      </c>
      <c r="H3" s="188" t="s">
        <v>16</v>
      </c>
      <c r="J3" s="184" t="s">
        <v>0</v>
      </c>
      <c r="K3" s="185" t="s">
        <v>16</v>
      </c>
      <c r="M3" s="184" t="s">
        <v>0</v>
      </c>
      <c r="N3" s="185" t="s">
        <v>16</v>
      </c>
    </row>
    <row r="4" spans="1:14">
      <c r="A4" s="187" t="s">
        <v>3</v>
      </c>
      <c r="B4" s="188" t="s">
        <v>754</v>
      </c>
      <c r="D4" s="187" t="s">
        <v>3</v>
      </c>
      <c r="E4" s="188" t="s">
        <v>756</v>
      </c>
      <c r="G4" s="187" t="s">
        <v>3</v>
      </c>
      <c r="H4" s="188" t="s">
        <v>755</v>
      </c>
      <c r="J4" s="184" t="s">
        <v>3</v>
      </c>
      <c r="K4" s="185" t="s">
        <v>752</v>
      </c>
      <c r="M4" s="184" t="s">
        <v>3</v>
      </c>
      <c r="N4" s="185" t="s">
        <v>753</v>
      </c>
    </row>
    <row r="5" spans="1:14">
      <c r="L5"/>
    </row>
    <row r="6" spans="1:14">
      <c r="A6" s="187" t="s">
        <v>288</v>
      </c>
      <c r="B6" t="s">
        <v>422</v>
      </c>
      <c r="D6" s="187" t="s">
        <v>288</v>
      </c>
      <c r="E6" t="s">
        <v>422</v>
      </c>
      <c r="G6" s="187" t="s">
        <v>288</v>
      </c>
      <c r="H6" t="s">
        <v>422</v>
      </c>
      <c r="J6" s="184" t="s">
        <v>288</v>
      </c>
      <c r="K6" t="s">
        <v>757</v>
      </c>
      <c r="L6"/>
      <c r="M6" s="184"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76" customWidth="1"/>
    <col min="6" max="6" width="23.109375" style="193" customWidth="1"/>
    <col min="8" max="8" width="16.44140625" customWidth="1"/>
    <col min="9" max="9" width="16.88671875" customWidth="1"/>
    <col min="10" max="10" width="25.5546875" customWidth="1"/>
    <col min="11" max="11" width="22.77734375" style="56" customWidth="1"/>
    <col min="12" max="12" width="6.5546875" style="56" customWidth="1"/>
    <col min="13" max="13" width="8.5546875" style="56" customWidth="1"/>
    <col min="14" max="14" width="11.44140625" customWidth="1"/>
    <col min="15" max="15" width="26" customWidth="1"/>
    <col min="16" max="16" width="20.44140625" customWidth="1"/>
    <col min="17" max="17" width="19.88671875" bestFit="1" customWidth="1"/>
  </cols>
  <sheetData>
    <row r="1" spans="1:17" s="51" customFormat="1">
      <c r="A1" s="30"/>
      <c r="B1" s="217" t="s">
        <v>367</v>
      </c>
      <c r="C1" s="218"/>
      <c r="D1" s="218"/>
      <c r="E1" s="218"/>
      <c r="F1" s="218"/>
      <c r="G1" s="218"/>
      <c r="H1" s="218"/>
      <c r="I1" s="218"/>
      <c r="J1" s="218"/>
      <c r="K1" s="218"/>
      <c r="M1" s="60"/>
      <c r="N1" s="217"/>
      <c r="O1" s="218"/>
      <c r="P1" s="218"/>
      <c r="Q1" s="218"/>
    </row>
    <row r="2" spans="1:17">
      <c r="A2" s="30"/>
      <c r="D2" s="52"/>
      <c r="E2" s="175"/>
      <c r="F2" s="191"/>
      <c r="G2" s="52"/>
      <c r="J2" s="52"/>
      <c r="K2" s="60"/>
      <c r="L2" s="60"/>
      <c r="M2" s="60"/>
      <c r="N2" s="159"/>
      <c r="O2" s="154"/>
      <c r="P2" s="132"/>
    </row>
    <row r="3" spans="1:17">
      <c r="A3" s="29"/>
      <c r="B3" s="194" t="s">
        <v>0</v>
      </c>
      <c r="C3" s="195" t="s">
        <v>16</v>
      </c>
      <c r="H3" s="187" t="s">
        <v>0</v>
      </c>
      <c r="I3" s="188" t="s">
        <v>16</v>
      </c>
      <c r="N3" s="159"/>
      <c r="O3" s="154"/>
      <c r="P3" s="133"/>
    </row>
    <row r="4" spans="1:17">
      <c r="A4" s="29"/>
      <c r="B4" s="194" t="s">
        <v>51</v>
      </c>
      <c r="C4" s="195" t="s">
        <v>16</v>
      </c>
      <c r="H4" s="187" t="s">
        <v>51</v>
      </c>
      <c r="I4" s="188" t="s">
        <v>16</v>
      </c>
      <c r="N4" s="159"/>
      <c r="O4" s="154"/>
      <c r="P4" s="133"/>
    </row>
    <row r="5" spans="1:17">
      <c r="A5" s="29"/>
      <c r="B5" s="194" t="s">
        <v>3</v>
      </c>
      <c r="C5" s="195" t="s">
        <v>10</v>
      </c>
      <c r="H5" s="187" t="s">
        <v>3</v>
      </c>
      <c r="I5" s="188" t="s">
        <v>9</v>
      </c>
      <c r="N5" s="159"/>
      <c r="O5" s="154"/>
      <c r="P5" s="133"/>
    </row>
    <row r="6" spans="1:17">
      <c r="A6" s="29"/>
      <c r="N6" s="133"/>
      <c r="O6" s="133"/>
      <c r="P6" s="133"/>
    </row>
    <row r="7" spans="1:17">
      <c r="A7" s="24" t="s">
        <v>93</v>
      </c>
      <c r="B7" s="194" t="s">
        <v>722</v>
      </c>
      <c r="C7" s="195" t="s">
        <v>294</v>
      </c>
      <c r="D7" s="195" t="s">
        <v>808</v>
      </c>
      <c r="E7" s="195" t="s">
        <v>241</v>
      </c>
      <c r="F7" s="195" t="s">
        <v>405</v>
      </c>
      <c r="H7" s="187" t="s">
        <v>722</v>
      </c>
      <c r="I7" s="188" t="s">
        <v>370</v>
      </c>
      <c r="J7" s="188" t="s">
        <v>366</v>
      </c>
      <c r="K7" s="188" t="s">
        <v>371</v>
      </c>
      <c r="N7" s="159"/>
      <c r="O7" s="154"/>
      <c r="P7" s="154"/>
      <c r="Q7" s="154"/>
    </row>
    <row r="8" spans="1:17">
      <c r="A8" s="23" t="e">
        <f>INDEX('DDL Tables'!$F:$F,MATCH(SUBSTITUTE(B8," (index)", ""),'DDL Tables'!$C:$C,0))</f>
        <v>#N/A</v>
      </c>
      <c r="B8" s="4" t="s">
        <v>47</v>
      </c>
      <c r="C8" s="9">
        <v>2.5000000000000001E-2</v>
      </c>
      <c r="D8" s="9">
        <v>2.5000000000000001E-2</v>
      </c>
      <c r="E8" s="9">
        <v>2.5000000000000001E-2</v>
      </c>
      <c r="F8" s="9">
        <v>0</v>
      </c>
      <c r="H8" s="4" t="s">
        <v>47</v>
      </c>
      <c r="I8" s="5">
        <v>23</v>
      </c>
      <c r="J8" s="5">
        <v>23</v>
      </c>
      <c r="K8" s="188">
        <v>23</v>
      </c>
      <c r="L8" s="5"/>
      <c r="M8" s="5"/>
      <c r="N8" s="4"/>
      <c r="O8" s="5"/>
      <c r="P8" s="5"/>
      <c r="Q8" s="5"/>
    </row>
    <row r="9" spans="1:17">
      <c r="B9" s="4" t="s">
        <v>17</v>
      </c>
      <c r="C9" s="9">
        <v>2.5000000000000001E-2</v>
      </c>
      <c r="D9" s="9">
        <v>2.5000000000000001E-2</v>
      </c>
      <c r="E9" s="9">
        <v>2.5000000000000001E-2</v>
      </c>
      <c r="F9" s="9">
        <v>0</v>
      </c>
      <c r="H9" s="4" t="s">
        <v>17</v>
      </c>
      <c r="I9" s="5">
        <v>23</v>
      </c>
      <c r="J9" s="5">
        <v>23</v>
      </c>
      <c r="K9" s="18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4.33203125" style="56" customWidth="1"/>
    <col min="6" max="6" width="7.88671875" style="176" customWidth="1"/>
    <col min="7" max="7" width="23.109375" style="193" customWidth="1"/>
    <col min="8" max="8" width="9.109375" style="56"/>
    <col min="9" max="9" width="10.77734375" style="56" customWidth="1"/>
    <col min="10" max="10" width="16.88671875" style="56" customWidth="1"/>
    <col min="11" max="11" width="8" style="56" customWidth="1"/>
    <col min="12" max="12" width="10.77734375" style="56" customWidth="1"/>
    <col min="13" max="13" width="16.109375" style="56" customWidth="1"/>
    <col min="14" max="14" width="11.109375" style="56" customWidth="1"/>
    <col min="15" max="15" width="16.6640625" style="56" customWidth="1"/>
    <col min="16" max="16" width="18.6640625" style="56" customWidth="1"/>
    <col min="17" max="17" width="6.8867187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3">
      <c r="A1" s="30"/>
      <c r="B1" s="30"/>
      <c r="C1" s="217" t="s">
        <v>367</v>
      </c>
      <c r="D1" s="218"/>
      <c r="E1" s="218"/>
      <c r="F1" s="218"/>
      <c r="G1" s="218"/>
      <c r="H1" s="218"/>
      <c r="I1" s="218"/>
      <c r="J1" s="218"/>
      <c r="K1" s="60"/>
      <c r="L1" s="221" t="s">
        <v>474</v>
      </c>
      <c r="M1" s="222"/>
      <c r="N1" s="218"/>
      <c r="O1" s="218"/>
      <c r="P1" s="218"/>
      <c r="Q1" s="218"/>
      <c r="R1" s="218"/>
      <c r="S1" s="218"/>
      <c r="T1" s="218"/>
      <c r="U1" s="218"/>
      <c r="V1" s="218"/>
      <c r="W1" s="218"/>
    </row>
    <row r="2" spans="1:23">
      <c r="A2" s="30"/>
      <c r="B2" s="30"/>
      <c r="C2" s="192" t="s">
        <v>0</v>
      </c>
      <c r="D2" s="193" t="s">
        <v>16</v>
      </c>
      <c r="E2" s="30"/>
      <c r="F2" s="30"/>
      <c r="G2" s="30"/>
      <c r="H2" s="30"/>
      <c r="I2" s="219" t="s">
        <v>0</v>
      </c>
      <c r="J2" s="220" t="s">
        <v>16</v>
      </c>
      <c r="L2" s="61"/>
      <c r="M2" s="61"/>
      <c r="N2" s="61"/>
      <c r="O2" s="61"/>
      <c r="P2" s="61"/>
      <c r="Q2" s="61"/>
      <c r="R2" s="61"/>
      <c r="S2" s="61"/>
      <c r="T2" s="61"/>
      <c r="U2" s="61"/>
      <c r="V2" s="61"/>
      <c r="W2" s="61"/>
    </row>
    <row r="3" spans="1:23">
      <c r="A3" s="30"/>
      <c r="B3" s="30"/>
      <c r="C3" s="192" t="s">
        <v>1</v>
      </c>
      <c r="D3" s="193" t="s">
        <v>16</v>
      </c>
      <c r="E3" s="30"/>
      <c r="F3" s="30"/>
      <c r="G3" s="30"/>
      <c r="H3" s="30"/>
      <c r="I3" s="219" t="s">
        <v>1</v>
      </c>
      <c r="J3" s="220" t="s">
        <v>16</v>
      </c>
      <c r="L3" s="61"/>
      <c r="M3" s="62"/>
      <c r="N3" s="62"/>
      <c r="O3" s="62"/>
      <c r="P3" s="62"/>
      <c r="Q3" s="62"/>
      <c r="R3" s="62"/>
      <c r="S3" s="62"/>
      <c r="T3" s="62"/>
      <c r="U3" s="62"/>
      <c r="V3" s="62"/>
      <c r="W3" s="62"/>
    </row>
    <row r="4" spans="1:23">
      <c r="A4" s="30"/>
      <c r="B4" s="30"/>
      <c r="C4" s="192" t="s">
        <v>2</v>
      </c>
      <c r="D4" s="193" t="s">
        <v>16</v>
      </c>
      <c r="I4" s="187" t="s">
        <v>2</v>
      </c>
      <c r="J4" s="188" t="s">
        <v>16</v>
      </c>
      <c r="L4" s="30"/>
      <c r="M4" s="30"/>
      <c r="R4" s="30"/>
      <c r="S4" s="30"/>
    </row>
    <row r="5" spans="1:23">
      <c r="A5" s="30"/>
      <c r="B5" s="30"/>
      <c r="C5" s="192" t="s">
        <v>51</v>
      </c>
      <c r="D5" s="193" t="s">
        <v>16</v>
      </c>
      <c r="I5" s="187" t="s">
        <v>51</v>
      </c>
      <c r="J5" s="188" t="s">
        <v>16</v>
      </c>
      <c r="L5" s="184" t="s">
        <v>0</v>
      </c>
      <c r="M5" s="185" t="s">
        <v>16</v>
      </c>
      <c r="R5" s="184" t="s">
        <v>0</v>
      </c>
      <c r="S5" s="185" t="s">
        <v>16</v>
      </c>
    </row>
    <row r="6" spans="1:23">
      <c r="A6" s="30"/>
      <c r="B6" s="30"/>
      <c r="C6" s="192" t="s">
        <v>3</v>
      </c>
      <c r="D6" s="193" t="s">
        <v>10</v>
      </c>
      <c r="I6" s="187" t="s">
        <v>3</v>
      </c>
      <c r="J6" s="188" t="s">
        <v>9</v>
      </c>
      <c r="L6" s="184" t="s">
        <v>3</v>
      </c>
      <c r="M6" s="185" t="s">
        <v>302</v>
      </c>
      <c r="R6" s="184" t="s">
        <v>3</v>
      </c>
      <c r="S6" s="185" t="s">
        <v>302</v>
      </c>
    </row>
    <row r="7" spans="1:23">
      <c r="A7" s="30"/>
      <c r="B7" s="30"/>
    </row>
    <row r="8" spans="1:23">
      <c r="A8" s="24" t="s">
        <v>682</v>
      </c>
      <c r="B8" s="24" t="s">
        <v>121</v>
      </c>
      <c r="C8" s="192" t="s">
        <v>288</v>
      </c>
      <c r="D8" s="193" t="s">
        <v>294</v>
      </c>
      <c r="E8" s="193" t="s">
        <v>348</v>
      </c>
      <c r="F8" s="193" t="s">
        <v>241</v>
      </c>
      <c r="G8" s="193" t="s">
        <v>405</v>
      </c>
      <c r="I8" s="187" t="s">
        <v>288</v>
      </c>
      <c r="J8" t="s">
        <v>372</v>
      </c>
      <c r="L8" s="184" t="s">
        <v>288</v>
      </c>
      <c r="M8" s="185" t="s">
        <v>304</v>
      </c>
      <c r="N8" s="185" t="s">
        <v>398</v>
      </c>
      <c r="O8" s="185" t="s">
        <v>303</v>
      </c>
      <c r="P8" s="185" t="s">
        <v>406</v>
      </c>
      <c r="R8" s="184" t="s">
        <v>288</v>
      </c>
      <c r="S8" s="185" t="s">
        <v>305</v>
      </c>
      <c r="T8" s="185" t="s">
        <v>306</v>
      </c>
      <c r="U8" s="185" t="s">
        <v>307</v>
      </c>
    </row>
    <row r="9" spans="1:23">
      <c r="A9" s="28" t="str">
        <f>INDEX('OS-Machine Info'!$B:$B,MATCH(C9,'OS-Machine Info'!$A:$A,0))</f>
        <v>TestDC</v>
      </c>
      <c r="B9" s="28">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60"/>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17" t="s">
        <v>608</v>
      </c>
      <c r="C1" s="218"/>
      <c r="D1" s="218"/>
      <c r="E1" s="218"/>
      <c r="F1" s="218"/>
      <c r="G1" s="218"/>
      <c r="H1" s="218"/>
      <c r="I1" s="218"/>
      <c r="J1" s="218"/>
      <c r="K1" s="218"/>
      <c r="L1" s="218"/>
      <c r="M1" s="218"/>
      <c r="N1" s="218"/>
      <c r="O1" s="218"/>
      <c r="P1" s="218"/>
      <c r="Q1" s="218"/>
      <c r="R1" s="218"/>
      <c r="S1" s="161"/>
      <c r="T1" s="161"/>
      <c r="U1" s="170"/>
    </row>
    <row r="2" spans="1:21">
      <c r="A2" s="30"/>
      <c r="D2" s="160"/>
      <c r="E2" s="159"/>
      <c r="I2" s="160"/>
      <c r="J2" s="170"/>
      <c r="K2" s="170"/>
      <c r="L2" s="187" t="s">
        <v>0</v>
      </c>
      <c r="M2" s="188" t="s">
        <v>16</v>
      </c>
      <c r="N2" s="133"/>
      <c r="O2" s="56"/>
      <c r="P2" s="159"/>
      <c r="S2" s="160"/>
    </row>
    <row r="3" spans="1:21">
      <c r="A3" s="29"/>
      <c r="B3" s="187" t="s">
        <v>0</v>
      </c>
      <c r="C3" s="188" t="s">
        <v>16</v>
      </c>
      <c r="D3" s="159"/>
      <c r="E3" s="159"/>
      <c r="G3" s="187" t="s">
        <v>0</v>
      </c>
      <c r="H3" s="188" t="s">
        <v>16</v>
      </c>
      <c r="I3" s="159"/>
      <c r="L3" s="187" t="s">
        <v>1</v>
      </c>
      <c r="M3" s="188" t="s">
        <v>16</v>
      </c>
      <c r="N3" s="132"/>
      <c r="O3" s="133"/>
      <c r="P3" s="159"/>
      <c r="Q3" s="187" t="s">
        <v>0</v>
      </c>
      <c r="R3" s="188" t="s">
        <v>16</v>
      </c>
      <c r="S3" s="159"/>
    </row>
    <row r="4" spans="1:21">
      <c r="A4" s="29"/>
      <c r="B4" s="187" t="s">
        <v>51</v>
      </c>
      <c r="C4" s="188" t="s">
        <v>16</v>
      </c>
      <c r="D4" s="159"/>
      <c r="E4" s="159"/>
      <c r="G4" s="187" t="s">
        <v>51</v>
      </c>
      <c r="H4" s="188" t="s">
        <v>16</v>
      </c>
      <c r="I4" s="159"/>
      <c r="L4" s="187" t="s">
        <v>2</v>
      </c>
      <c r="M4" s="188" t="s">
        <v>16</v>
      </c>
      <c r="N4" s="133"/>
      <c r="O4" s="133"/>
      <c r="P4" s="159"/>
      <c r="Q4" s="187" t="s">
        <v>51</v>
      </c>
      <c r="R4" s="188" t="s">
        <v>16</v>
      </c>
      <c r="S4" s="159"/>
    </row>
    <row r="5" spans="1:21">
      <c r="A5" s="29"/>
      <c r="B5" s="187" t="s">
        <v>3</v>
      </c>
      <c r="C5" s="188" t="s">
        <v>25</v>
      </c>
      <c r="D5" s="159"/>
      <c r="E5" s="159"/>
      <c r="G5" s="187" t="s">
        <v>3</v>
      </c>
      <c r="H5" s="188" t="s">
        <v>429</v>
      </c>
      <c r="I5" s="159"/>
      <c r="L5" s="187" t="s">
        <v>51</v>
      </c>
      <c r="M5" s="188" t="s">
        <v>16</v>
      </c>
      <c r="N5" s="133"/>
      <c r="O5" s="133"/>
      <c r="P5" s="159"/>
      <c r="Q5" s="187" t="s">
        <v>3</v>
      </c>
      <c r="R5" s="188" t="s">
        <v>705</v>
      </c>
      <c r="S5" s="159"/>
    </row>
    <row r="6" spans="1:21">
      <c r="A6" s="29"/>
      <c r="B6" s="159"/>
      <c r="C6" s="159"/>
      <c r="D6" s="159"/>
      <c r="E6" s="159"/>
      <c r="G6" s="159"/>
      <c r="H6" s="159"/>
      <c r="I6" s="159"/>
      <c r="L6" s="187" t="s">
        <v>3</v>
      </c>
      <c r="M6" s="188" t="s">
        <v>25</v>
      </c>
      <c r="N6" s="133"/>
      <c r="O6" s="133"/>
      <c r="P6" s="159"/>
      <c r="Q6" s="159"/>
      <c r="R6" s="159"/>
      <c r="S6" s="159"/>
    </row>
    <row r="7" spans="1:21">
      <c r="A7" s="24" t="s">
        <v>93</v>
      </c>
      <c r="B7" s="187" t="s">
        <v>722</v>
      </c>
      <c r="C7" s="188" t="s">
        <v>605</v>
      </c>
      <c r="D7" s="188" t="s">
        <v>606</v>
      </c>
      <c r="E7" s="188" t="s">
        <v>607</v>
      </c>
      <c r="G7" s="187" t="s">
        <v>722</v>
      </c>
      <c r="H7" s="188" t="s">
        <v>703</v>
      </c>
      <c r="I7" s="188" t="s">
        <v>704</v>
      </c>
      <c r="L7" s="133"/>
      <c r="M7" s="133"/>
      <c r="N7" s="133"/>
      <c r="O7" s="133"/>
      <c r="Q7" s="187" t="s">
        <v>713</v>
      </c>
      <c r="R7" s="187" t="s">
        <v>722</v>
      </c>
    </row>
    <row r="8" spans="1:21">
      <c r="A8" s="23" t="e">
        <f>INDEX('DDL Tables'!$F:$F,MATCH(SUBSTITUTE(B8," (index)", ""),'DDL Tables'!$C:$C,0))</f>
        <v>#N/A</v>
      </c>
      <c r="B8" s="4" t="s">
        <v>47</v>
      </c>
      <c r="C8" s="5">
        <v>0</v>
      </c>
      <c r="D8" s="5">
        <v>0</v>
      </c>
      <c r="E8" s="5">
        <v>0</v>
      </c>
      <c r="G8" s="4" t="s">
        <v>47</v>
      </c>
      <c r="H8" s="103">
        <v>35</v>
      </c>
      <c r="I8" s="103">
        <v>35</v>
      </c>
      <c r="J8" s="103"/>
      <c r="K8" s="24" t="s">
        <v>682</v>
      </c>
      <c r="L8" s="187" t="s">
        <v>288</v>
      </c>
      <c r="M8" s="188" t="s">
        <v>609</v>
      </c>
      <c r="N8" s="188" t="s">
        <v>606</v>
      </c>
      <c r="O8" s="188" t="s">
        <v>607</v>
      </c>
      <c r="R8" s="188" t="s">
        <v>47</v>
      </c>
      <c r="S8" s="188" t="s">
        <v>723</v>
      </c>
      <c r="T8" s="188"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7" t="s">
        <v>2</v>
      </c>
      <c r="R9" s="188" t="s">
        <v>49</v>
      </c>
    </row>
    <row r="10" spans="1:21">
      <c r="L10" s="4" t="s">
        <v>17</v>
      </c>
      <c r="M10" s="5">
        <v>0</v>
      </c>
      <c r="N10" s="5">
        <v>0</v>
      </c>
      <c r="O10" s="5">
        <v>0</v>
      </c>
      <c r="Q10" s="4" t="s">
        <v>709</v>
      </c>
      <c r="R10" s="188">
        <v>1</v>
      </c>
      <c r="S10" s="188">
        <v>1</v>
      </c>
      <c r="T10" s="188">
        <v>1</v>
      </c>
    </row>
    <row r="11" spans="1:21">
      <c r="Q11" s="4" t="s">
        <v>711</v>
      </c>
      <c r="R11" s="188">
        <v>1</v>
      </c>
      <c r="S11" s="188">
        <v>1</v>
      </c>
      <c r="T11" s="188">
        <v>1</v>
      </c>
    </row>
    <row r="12" spans="1:21">
      <c r="Q12" s="4" t="s">
        <v>710</v>
      </c>
      <c r="R12" s="188">
        <v>1</v>
      </c>
      <c r="S12" s="188">
        <v>1</v>
      </c>
      <c r="T12" s="188">
        <v>1</v>
      </c>
    </row>
    <row r="13" spans="1:21">
      <c r="Q13" s="4" t="s">
        <v>708</v>
      </c>
      <c r="R13" s="188">
        <v>1</v>
      </c>
      <c r="S13" s="188">
        <v>1</v>
      </c>
      <c r="T13" s="188">
        <v>1</v>
      </c>
    </row>
    <row r="14" spans="1:21">
      <c r="Q14" s="4" t="s">
        <v>706</v>
      </c>
      <c r="R14" s="188">
        <v>3</v>
      </c>
      <c r="S14" s="188">
        <v>3</v>
      </c>
      <c r="T14" s="188">
        <v>3</v>
      </c>
    </row>
    <row r="15" spans="1:21">
      <c r="Q15" s="4" t="s">
        <v>707</v>
      </c>
      <c r="R15" s="188">
        <v>1</v>
      </c>
      <c r="S15" s="188">
        <v>1</v>
      </c>
      <c r="T15" s="188">
        <v>1</v>
      </c>
    </row>
    <row r="16" spans="1:21">
      <c r="Q16" s="4" t="s">
        <v>712</v>
      </c>
      <c r="R16" s="188">
        <v>1</v>
      </c>
      <c r="S16" s="188">
        <v>1</v>
      </c>
      <c r="T16" s="188">
        <v>1</v>
      </c>
    </row>
    <row r="17" spans="17:20">
      <c r="Q17" s="4" t="s">
        <v>17</v>
      </c>
      <c r="R17" s="188">
        <v>9</v>
      </c>
      <c r="S17" s="188">
        <v>9</v>
      </c>
      <c r="T17" s="188">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D8" sqref="D8"/>
    </sheetView>
  </sheetViews>
  <sheetFormatPr defaultRowHeight="14.4"/>
  <cols>
    <col min="1" max="1" width="31.44140625" style="23" customWidth="1"/>
    <col min="2" max="2" width="16.44140625" customWidth="1"/>
    <col min="3" max="3" width="18.6640625" customWidth="1"/>
    <col min="4" max="4" width="5.5546875" customWidth="1"/>
    <col min="5" max="5" width="7.88671875" style="176" customWidth="1"/>
    <col min="6" max="6" width="23.109375" style="193" customWidth="1"/>
    <col min="8" max="8" width="16.44140625" customWidth="1"/>
    <col min="9" max="9" width="17.44140625" customWidth="1"/>
    <col min="10" max="10" width="26.77734375" customWidth="1"/>
    <col min="11" max="11" width="24.88671875" style="56" customWidth="1"/>
    <col min="12" max="12" width="6.88671875" style="56" customWidth="1"/>
    <col min="13" max="13" width="9.33203125" customWidth="1"/>
  </cols>
  <sheetData>
    <row r="1" spans="1:38" s="30" customFormat="1">
      <c r="A1" s="29"/>
      <c r="B1" s="217" t="s">
        <v>367</v>
      </c>
      <c r="C1" s="218"/>
      <c r="D1" s="218"/>
      <c r="E1" s="218"/>
      <c r="F1" s="218"/>
      <c r="G1" s="218"/>
      <c r="H1" s="218"/>
      <c r="I1" s="218"/>
      <c r="J1" s="218"/>
      <c r="K1" s="218"/>
      <c r="L1" s="60"/>
      <c r="M1" s="52"/>
      <c r="N1" s="89"/>
      <c r="O1" s="89"/>
      <c r="P1" s="89"/>
      <c r="Q1" s="89"/>
      <c r="R1" s="89"/>
      <c r="S1" s="89"/>
      <c r="T1" s="89"/>
      <c r="U1" s="89"/>
      <c r="V1" s="89"/>
      <c r="W1" s="89"/>
      <c r="X1" s="89"/>
      <c r="Y1" s="89"/>
      <c r="Z1" s="89"/>
      <c r="AA1" s="89"/>
      <c r="AB1" s="89"/>
      <c r="AC1" s="89"/>
      <c r="AD1" s="89"/>
      <c r="AE1" s="89"/>
      <c r="AF1" s="89"/>
      <c r="AG1" s="89"/>
      <c r="AH1" s="89"/>
      <c r="AI1" s="89"/>
      <c r="AJ1" s="89"/>
      <c r="AK1" s="89"/>
      <c r="AL1" s="89"/>
    </row>
    <row r="2" spans="1:38" s="30" customFormat="1">
      <c r="A2" s="29"/>
      <c r="B2"/>
      <c r="C2"/>
      <c r="D2" s="52"/>
      <c r="E2" s="175"/>
      <c r="F2" s="191"/>
      <c r="G2" s="52"/>
      <c r="H2"/>
      <c r="I2"/>
      <c r="J2" s="52"/>
      <c r="K2" s="60"/>
      <c r="L2" s="60"/>
      <c r="M2" s="48"/>
      <c r="N2" s="89"/>
      <c r="O2" s="89"/>
      <c r="P2" s="89"/>
      <c r="Q2" s="89"/>
      <c r="R2" s="89"/>
      <c r="S2" s="89"/>
      <c r="T2" s="89"/>
      <c r="U2" s="89"/>
      <c r="V2" s="89"/>
      <c r="W2" s="89"/>
      <c r="X2" s="89"/>
      <c r="Y2" s="89"/>
      <c r="Z2" s="89"/>
      <c r="AA2" s="89"/>
      <c r="AB2" s="89"/>
      <c r="AC2" s="89"/>
      <c r="AD2" s="89"/>
      <c r="AE2" s="89"/>
      <c r="AF2" s="89"/>
      <c r="AG2" s="89"/>
      <c r="AH2" s="89"/>
      <c r="AI2" s="89"/>
      <c r="AJ2" s="89"/>
      <c r="AK2" s="89"/>
      <c r="AL2" s="89"/>
    </row>
    <row r="3" spans="1:38">
      <c r="A3" s="29"/>
      <c r="B3" s="194" t="s">
        <v>0</v>
      </c>
      <c r="C3" s="195" t="s">
        <v>16</v>
      </c>
      <c r="H3" s="187" t="s">
        <v>0</v>
      </c>
      <c r="I3" s="188" t="s">
        <v>16</v>
      </c>
    </row>
    <row r="4" spans="1:38">
      <c r="A4" s="29"/>
      <c r="B4" s="194" t="s">
        <v>51</v>
      </c>
      <c r="C4" s="195" t="s">
        <v>16</v>
      </c>
      <c r="H4" s="187" t="s">
        <v>51</v>
      </c>
      <c r="I4" s="188" t="s">
        <v>16</v>
      </c>
    </row>
    <row r="5" spans="1:38">
      <c r="A5" s="29"/>
      <c r="B5" s="194" t="s">
        <v>3</v>
      </c>
      <c r="C5" s="195" t="s">
        <v>12</v>
      </c>
      <c r="H5" s="187" t="s">
        <v>3</v>
      </c>
      <c r="I5" s="188" t="s">
        <v>11</v>
      </c>
    </row>
    <row r="6" spans="1:38">
      <c r="A6" s="29"/>
    </row>
    <row r="7" spans="1:38">
      <c r="A7" s="24" t="s">
        <v>93</v>
      </c>
      <c r="B7" s="194" t="s">
        <v>722</v>
      </c>
      <c r="C7" s="195" t="s">
        <v>294</v>
      </c>
      <c r="D7" s="195" t="s">
        <v>348</v>
      </c>
      <c r="E7" s="195" t="s">
        <v>241</v>
      </c>
      <c r="F7" s="195" t="s">
        <v>405</v>
      </c>
      <c r="H7" s="187" t="s">
        <v>722</v>
      </c>
      <c r="I7" s="188" t="s">
        <v>368</v>
      </c>
      <c r="J7" s="188" t="s">
        <v>369</v>
      </c>
      <c r="K7" s="188" t="s">
        <v>373</v>
      </c>
    </row>
    <row r="8" spans="1:38">
      <c r="A8" s="23" t="e">
        <f>INDEX('DDL Tables'!$F:$F,MATCH(SUBSTITUTE(B8," (index)", ""),'DDL Tables'!$C:$C,0))</f>
        <v>#N/A</v>
      </c>
      <c r="B8" s="4" t="s">
        <v>47</v>
      </c>
      <c r="C8" s="9">
        <v>0.03</v>
      </c>
      <c r="D8" s="9">
        <v>0.03</v>
      </c>
      <c r="E8" s="9">
        <v>0.03</v>
      </c>
      <c r="F8" s="9">
        <v>0</v>
      </c>
      <c r="H8" s="4" t="s">
        <v>47</v>
      </c>
      <c r="I8" s="5">
        <v>2</v>
      </c>
      <c r="J8" s="5">
        <v>2</v>
      </c>
      <c r="K8" s="188">
        <v>2</v>
      </c>
      <c r="L8" s="5"/>
      <c r="M8" s="5"/>
    </row>
    <row r="9" spans="1:38">
      <c r="B9" s="4" t="s">
        <v>17</v>
      </c>
      <c r="C9" s="9">
        <v>0.03</v>
      </c>
      <c r="D9" s="9">
        <v>0.03</v>
      </c>
      <c r="E9" s="9">
        <v>0.03</v>
      </c>
      <c r="F9" s="9">
        <v>0</v>
      </c>
      <c r="H9" s="4" t="s">
        <v>17</v>
      </c>
      <c r="I9" s="5">
        <v>2</v>
      </c>
      <c r="J9" s="5">
        <v>2</v>
      </c>
      <c r="K9" s="18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4.33203125" style="56" customWidth="1"/>
    <col min="6" max="6" width="7.88671875" style="176" customWidth="1"/>
    <col min="7" max="7" width="23.109375" style="193" customWidth="1"/>
    <col min="8" max="8" width="9.109375" style="56"/>
    <col min="9" max="9" width="10.77734375" style="56" customWidth="1"/>
    <col min="10" max="10" width="17.44140625" style="56" customWidth="1"/>
    <col min="11" max="11" width="7.44140625" style="56" customWidth="1"/>
    <col min="12" max="12" width="10.77734375" style="56" customWidth="1"/>
    <col min="13" max="13" width="16.109375" style="56" customWidth="1"/>
    <col min="14" max="14" width="16.88671875" style="56" customWidth="1"/>
    <col min="15" max="15" width="16.6640625" style="56" customWidth="1"/>
    <col min="16" max="16" width="18.6640625" style="56" customWidth="1"/>
    <col min="17" max="17" width="7.4414062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1">
      <c r="A1" s="30"/>
      <c r="B1" s="30"/>
      <c r="C1" s="217" t="s">
        <v>367</v>
      </c>
      <c r="D1" s="218"/>
      <c r="E1" s="218"/>
      <c r="F1" s="218"/>
      <c r="G1" s="218"/>
      <c r="H1" s="218"/>
      <c r="I1" s="218"/>
      <c r="J1" s="218"/>
      <c r="K1" s="60"/>
      <c r="L1" s="221" t="s">
        <v>475</v>
      </c>
      <c r="M1" s="222"/>
      <c r="N1" s="218"/>
      <c r="O1" s="218"/>
      <c r="P1" s="218"/>
      <c r="Q1" s="218"/>
      <c r="R1" s="218"/>
      <c r="S1" s="218"/>
      <c r="T1" s="218"/>
      <c r="U1" s="218"/>
    </row>
    <row r="2" spans="1:21" s="30" customFormat="1">
      <c r="C2" s="192" t="s">
        <v>0</v>
      </c>
      <c r="D2" s="193" t="s">
        <v>16</v>
      </c>
      <c r="I2" s="219" t="s">
        <v>0</v>
      </c>
      <c r="J2" s="220" t="s">
        <v>16</v>
      </c>
      <c r="K2" s="56"/>
      <c r="L2" s="61"/>
      <c r="M2" s="61"/>
      <c r="N2" s="61"/>
      <c r="O2" s="61"/>
      <c r="P2" s="61"/>
      <c r="Q2" s="61"/>
      <c r="R2" s="61"/>
      <c r="S2" s="61"/>
      <c r="T2" s="61"/>
      <c r="U2" s="61"/>
    </row>
    <row r="3" spans="1:21" s="30" customFormat="1">
      <c r="C3" s="192" t="s">
        <v>1</v>
      </c>
      <c r="D3" s="193" t="s">
        <v>16</v>
      </c>
      <c r="I3" s="219" t="s">
        <v>1</v>
      </c>
      <c r="J3" s="220" t="s">
        <v>16</v>
      </c>
      <c r="K3" s="56"/>
      <c r="L3" s="61"/>
      <c r="M3" s="62"/>
      <c r="N3" s="62"/>
      <c r="O3" s="62"/>
      <c r="P3" s="62"/>
      <c r="Q3" s="62"/>
      <c r="R3" s="62"/>
      <c r="S3" s="62"/>
      <c r="T3" s="62"/>
      <c r="U3" s="62"/>
    </row>
    <row r="4" spans="1:21">
      <c r="A4" s="30"/>
      <c r="B4" s="30"/>
      <c r="C4" s="192" t="s">
        <v>2</v>
      </c>
      <c r="D4" s="193" t="s">
        <v>16</v>
      </c>
      <c r="I4" s="187" t="s">
        <v>2</v>
      </c>
      <c r="J4" s="188" t="s">
        <v>16</v>
      </c>
      <c r="L4" s="30"/>
      <c r="M4" s="30"/>
    </row>
    <row r="5" spans="1:21">
      <c r="A5" s="30"/>
      <c r="B5" s="30"/>
      <c r="C5" s="192" t="s">
        <v>51</v>
      </c>
      <c r="D5" s="193" t="s">
        <v>16</v>
      </c>
      <c r="I5" s="187" t="s">
        <v>51</v>
      </c>
      <c r="J5" s="188" t="s">
        <v>16</v>
      </c>
      <c r="L5" s="184" t="s">
        <v>0</v>
      </c>
      <c r="M5" s="185" t="s">
        <v>16</v>
      </c>
      <c r="R5" s="165" t="s">
        <v>0</v>
      </c>
      <c r="S5" s="166" t="s">
        <v>16</v>
      </c>
    </row>
    <row r="6" spans="1:21">
      <c r="A6" s="30"/>
      <c r="B6" s="30"/>
      <c r="C6" s="192" t="s">
        <v>3</v>
      </c>
      <c r="D6" s="193" t="s">
        <v>12</v>
      </c>
      <c r="I6" s="187" t="s">
        <v>3</v>
      </c>
      <c r="J6" s="188" t="s">
        <v>11</v>
      </c>
      <c r="L6" s="184" t="s">
        <v>3</v>
      </c>
      <c r="M6" s="185" t="s">
        <v>302</v>
      </c>
      <c r="R6" s="165" t="s">
        <v>3</v>
      </c>
      <c r="S6" s="166" t="s">
        <v>302</v>
      </c>
    </row>
    <row r="7" spans="1:21">
      <c r="A7" s="30"/>
      <c r="B7" s="30"/>
    </row>
    <row r="8" spans="1:21">
      <c r="A8" s="24" t="s">
        <v>682</v>
      </c>
      <c r="B8" s="24" t="s">
        <v>121</v>
      </c>
      <c r="C8" s="192" t="s">
        <v>288</v>
      </c>
      <c r="D8" s="193" t="s">
        <v>294</v>
      </c>
      <c r="E8" s="193" t="s">
        <v>348</v>
      </c>
      <c r="F8" s="193" t="s">
        <v>241</v>
      </c>
      <c r="G8" s="193" t="s">
        <v>405</v>
      </c>
      <c r="I8" s="187" t="s">
        <v>288</v>
      </c>
      <c r="J8" t="s">
        <v>374</v>
      </c>
      <c r="L8" s="184" t="s">
        <v>288</v>
      </c>
      <c r="M8" s="185" t="s">
        <v>304</v>
      </c>
      <c r="N8" s="185" t="s">
        <v>407</v>
      </c>
      <c r="O8" s="185" t="s">
        <v>303</v>
      </c>
      <c r="P8" s="185" t="s">
        <v>406</v>
      </c>
      <c r="R8" s="165" t="s">
        <v>288</v>
      </c>
      <c r="S8" s="166" t="s">
        <v>305</v>
      </c>
      <c r="T8" s="166" t="s">
        <v>306</v>
      </c>
      <c r="U8" s="166" t="s">
        <v>307</v>
      </c>
    </row>
    <row r="9" spans="1:21">
      <c r="A9" s="28" t="str">
        <f>INDEX('OS-Machine Info'!$B:$B,MATCH(C9,'OS-Machine Info'!$A:$A,0))</f>
        <v>TestDC</v>
      </c>
      <c r="B9" s="28">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22"/>
      <c r="B1" s="218"/>
      <c r="C1" s="218"/>
      <c r="D1" s="218"/>
      <c r="E1" s="218"/>
      <c r="F1" s="218"/>
      <c r="G1" s="218"/>
      <c r="H1" s="218"/>
      <c r="I1" s="218"/>
      <c r="J1" s="221"/>
      <c r="K1" s="222"/>
      <c r="L1" s="218"/>
      <c r="M1" s="218"/>
      <c r="N1" s="218"/>
      <c r="O1" s="218"/>
      <c r="P1" s="218"/>
      <c r="Q1" s="218"/>
      <c r="R1" s="218"/>
      <c r="S1" s="218"/>
      <c r="T1" s="221"/>
      <c r="U1" s="222"/>
      <c r="V1" s="218"/>
      <c r="W1" s="218"/>
      <c r="X1" s="218"/>
      <c r="Y1" s="218"/>
      <c r="Z1" s="218"/>
      <c r="AA1" s="218"/>
      <c r="AB1" s="218"/>
      <c r="AC1" s="218"/>
      <c r="AD1" s="221"/>
      <c r="AE1" s="222"/>
      <c r="AF1" s="218"/>
    </row>
    <row r="2" spans="1:34">
      <c r="A2" s="188"/>
      <c r="B2" s="188"/>
      <c r="C2" s="186"/>
      <c r="D2" s="186"/>
      <c r="E2" s="186"/>
      <c r="F2" s="188"/>
      <c r="G2" s="188"/>
      <c r="H2" s="186"/>
      <c r="I2" s="186"/>
      <c r="K2" s="188"/>
      <c r="L2" s="188"/>
      <c r="M2" s="186"/>
      <c r="N2" s="186"/>
      <c r="P2" s="188"/>
      <c r="Q2" s="188"/>
      <c r="R2" s="186"/>
      <c r="S2" s="186"/>
      <c r="T2" s="186"/>
      <c r="U2" s="188"/>
      <c r="V2" s="188"/>
      <c r="W2" s="186"/>
      <c r="X2" s="186"/>
      <c r="Y2" s="188"/>
      <c r="Z2" s="188"/>
      <c r="AA2" s="188"/>
      <c r="AB2" s="186"/>
      <c r="AC2" s="186"/>
      <c r="AE2" s="188"/>
      <c r="AF2" s="188"/>
      <c r="AG2" s="186"/>
      <c r="AH2" s="186"/>
    </row>
    <row r="3" spans="1:34">
      <c r="A3" s="187" t="s">
        <v>0</v>
      </c>
      <c r="B3" s="188" t="s">
        <v>16</v>
      </c>
      <c r="C3" s="188"/>
      <c r="D3" s="188"/>
      <c r="E3" s="188"/>
      <c r="F3" s="187" t="s">
        <v>0</v>
      </c>
      <c r="G3" s="188" t="s">
        <v>16</v>
      </c>
      <c r="H3" s="188"/>
      <c r="I3" s="188"/>
      <c r="K3" s="187" t="s">
        <v>0</v>
      </c>
      <c r="L3" s="188" t="s">
        <v>16</v>
      </c>
      <c r="M3" s="188"/>
      <c r="N3" s="188"/>
      <c r="P3" s="187" t="s">
        <v>0</v>
      </c>
      <c r="Q3" s="188" t="s">
        <v>16</v>
      </c>
      <c r="R3" s="188"/>
      <c r="S3" s="188"/>
      <c r="T3" s="188"/>
      <c r="U3" s="187" t="s">
        <v>0</v>
      </c>
      <c r="V3" s="188" t="s">
        <v>16</v>
      </c>
      <c r="W3" s="188"/>
      <c r="X3" s="188"/>
      <c r="Y3" s="188"/>
      <c r="Z3" s="187" t="s">
        <v>0</v>
      </c>
      <c r="AA3" s="188" t="s">
        <v>16</v>
      </c>
      <c r="AB3" s="188"/>
      <c r="AC3" s="188"/>
      <c r="AE3" s="187" t="s">
        <v>0</v>
      </c>
      <c r="AF3" s="188" t="s">
        <v>16</v>
      </c>
      <c r="AG3" s="188"/>
      <c r="AH3" s="188"/>
    </row>
    <row r="4" spans="1:34">
      <c r="A4" s="187" t="s">
        <v>51</v>
      </c>
      <c r="B4" s="188" t="s">
        <v>16</v>
      </c>
      <c r="C4" s="188"/>
      <c r="D4" s="188"/>
      <c r="E4" s="188"/>
      <c r="F4" s="187" t="s">
        <v>51</v>
      </c>
      <c r="G4" s="188" t="s">
        <v>16</v>
      </c>
      <c r="H4" s="188"/>
      <c r="I4" s="188"/>
      <c r="K4" s="187" t="s">
        <v>51</v>
      </c>
      <c r="L4" s="188" t="s">
        <v>16</v>
      </c>
      <c r="M4" s="188"/>
      <c r="N4" s="188"/>
      <c r="P4" s="187" t="s">
        <v>51</v>
      </c>
      <c r="Q4" s="188" t="s">
        <v>16</v>
      </c>
      <c r="R4" s="188"/>
      <c r="S4" s="188"/>
      <c r="T4" s="188"/>
      <c r="U4" s="187" t="s">
        <v>51</v>
      </c>
      <c r="V4" s="188" t="s">
        <v>16</v>
      </c>
      <c r="W4" s="188"/>
      <c r="X4" s="188"/>
      <c r="Y4" s="188"/>
      <c r="Z4" s="187" t="s">
        <v>51</v>
      </c>
      <c r="AA4" s="188" t="s">
        <v>16</v>
      </c>
      <c r="AB4" s="188"/>
      <c r="AC4" s="188"/>
      <c r="AE4" s="187" t="s">
        <v>51</v>
      </c>
      <c r="AF4" s="188" t="s">
        <v>16</v>
      </c>
      <c r="AG4" s="188"/>
      <c r="AH4" s="188"/>
    </row>
    <row r="5" spans="1:34">
      <c r="A5" s="187" t="s">
        <v>3</v>
      </c>
      <c r="B5" s="188" t="s">
        <v>769</v>
      </c>
      <c r="C5" s="188"/>
      <c r="D5" s="188"/>
      <c r="E5" s="188"/>
      <c r="F5" s="187" t="s">
        <v>3</v>
      </c>
      <c r="G5" s="188" t="s">
        <v>770</v>
      </c>
      <c r="H5" s="188"/>
      <c r="I5" s="188"/>
      <c r="K5" s="187" t="s">
        <v>3</v>
      </c>
      <c r="L5" s="188" t="s">
        <v>771</v>
      </c>
      <c r="M5" s="188"/>
      <c r="N5" s="188"/>
      <c r="P5" s="187" t="s">
        <v>3</v>
      </c>
      <c r="Q5" s="188" t="s">
        <v>772</v>
      </c>
      <c r="R5" s="188"/>
      <c r="S5" s="188"/>
      <c r="T5" s="188"/>
      <c r="U5" s="187" t="s">
        <v>3</v>
      </c>
      <c r="V5" s="188" t="s">
        <v>773</v>
      </c>
      <c r="W5" s="188"/>
      <c r="X5" s="188"/>
      <c r="Y5" s="188"/>
      <c r="Z5" s="187" t="s">
        <v>3</v>
      </c>
      <c r="AA5" s="188" t="s">
        <v>774</v>
      </c>
      <c r="AB5" s="188"/>
      <c r="AC5" s="188"/>
      <c r="AE5" s="187" t="s">
        <v>3</v>
      </c>
      <c r="AF5" s="188" t="s">
        <v>775</v>
      </c>
      <c r="AG5" s="188"/>
      <c r="AH5" s="188"/>
    </row>
    <row r="6" spans="1:34">
      <c r="A6" s="188"/>
      <c r="B6" s="188"/>
      <c r="C6" s="188"/>
      <c r="D6" s="188"/>
      <c r="E6" s="188"/>
      <c r="F6" s="188"/>
      <c r="G6" s="188"/>
      <c r="H6" s="188"/>
      <c r="I6" s="188"/>
      <c r="K6" s="188"/>
      <c r="L6" s="188"/>
      <c r="M6" s="188"/>
      <c r="N6" s="188"/>
      <c r="P6" s="188"/>
      <c r="Q6" s="188"/>
      <c r="R6" s="188"/>
      <c r="S6" s="188"/>
      <c r="T6" s="188"/>
      <c r="U6" s="188"/>
      <c r="V6" s="188"/>
      <c r="W6" s="188"/>
      <c r="X6" s="188"/>
      <c r="Y6" s="188"/>
      <c r="Z6" s="188"/>
      <c r="AA6" s="188"/>
      <c r="AB6" s="188"/>
      <c r="AC6" s="188"/>
      <c r="AE6" s="188"/>
      <c r="AF6" s="188"/>
      <c r="AG6" s="188"/>
      <c r="AH6" s="188"/>
    </row>
    <row r="7" spans="1:34">
      <c r="A7" s="187" t="s">
        <v>722</v>
      </c>
      <c r="B7" s="188" t="s">
        <v>778</v>
      </c>
      <c r="C7" s="188" t="s">
        <v>779</v>
      </c>
      <c r="D7" s="188" t="s">
        <v>780</v>
      </c>
      <c r="E7" s="188"/>
      <c r="F7" s="187" t="s">
        <v>722</v>
      </c>
      <c r="G7" s="188" t="s">
        <v>783</v>
      </c>
      <c r="H7" s="188" t="s">
        <v>781</v>
      </c>
      <c r="I7" s="188" t="s">
        <v>782</v>
      </c>
      <c r="K7" s="187" t="s">
        <v>722</v>
      </c>
      <c r="L7" s="188" t="s">
        <v>784</v>
      </c>
      <c r="M7" s="188" t="s">
        <v>241</v>
      </c>
      <c r="N7" s="188" t="s">
        <v>785</v>
      </c>
      <c r="P7" s="187" t="s">
        <v>722</v>
      </c>
      <c r="Q7" s="188" t="s">
        <v>786</v>
      </c>
      <c r="R7" s="188" t="s">
        <v>780</v>
      </c>
      <c r="S7" s="188" t="s">
        <v>787</v>
      </c>
      <c r="T7" s="188"/>
      <c r="U7" s="187" t="s">
        <v>722</v>
      </c>
      <c r="V7" s="188" t="s">
        <v>788</v>
      </c>
      <c r="W7" s="188" t="s">
        <v>782</v>
      </c>
      <c r="X7" s="188" t="s">
        <v>789</v>
      </c>
      <c r="Y7" s="188"/>
      <c r="Z7" s="187" t="s">
        <v>722</v>
      </c>
      <c r="AA7" s="188" t="s">
        <v>790</v>
      </c>
      <c r="AB7" s="188" t="s">
        <v>785</v>
      </c>
      <c r="AC7" s="188" t="s">
        <v>791</v>
      </c>
      <c r="AE7" s="187" t="s">
        <v>722</v>
      </c>
      <c r="AF7" t="s">
        <v>792</v>
      </c>
    </row>
    <row r="8" spans="1:34">
      <c r="A8" s="4" t="s">
        <v>47</v>
      </c>
      <c r="B8" s="5">
        <v>10149889</v>
      </c>
      <c r="C8" s="5">
        <v>10149889</v>
      </c>
      <c r="D8" s="5">
        <v>10149889</v>
      </c>
      <c r="E8" s="188"/>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8"/>
      <c r="U8" s="4" t="s">
        <v>47</v>
      </c>
      <c r="V8" s="6">
        <v>7.90240478515625</v>
      </c>
      <c r="W8" s="6">
        <v>7.90240478515625</v>
      </c>
      <c r="X8" s="6">
        <v>7.90240478515625</v>
      </c>
      <c r="Y8" s="188"/>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8"/>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8" customFormat="1">
      <c r="A1" s="221" t="s">
        <v>777</v>
      </c>
      <c r="B1" s="222"/>
      <c r="C1" s="218"/>
      <c r="D1" s="218"/>
      <c r="E1" s="218"/>
      <c r="F1" s="218"/>
      <c r="G1" s="218"/>
      <c r="H1" s="218"/>
      <c r="I1" s="218"/>
      <c r="J1" s="218"/>
      <c r="K1" s="221"/>
      <c r="L1" s="222"/>
      <c r="M1" s="218"/>
      <c r="N1" s="218"/>
      <c r="O1" s="218"/>
      <c r="P1" s="218"/>
      <c r="Q1" s="218"/>
      <c r="R1" s="218"/>
      <c r="S1" s="218"/>
      <c r="T1" s="218"/>
      <c r="U1" s="221"/>
      <c r="V1" s="222"/>
      <c r="W1" s="218"/>
      <c r="X1" s="218"/>
      <c r="Y1" s="218"/>
      <c r="Z1" s="218"/>
      <c r="AA1" s="218"/>
      <c r="AB1" s="218"/>
      <c r="AC1" s="218"/>
      <c r="AD1" s="218"/>
      <c r="AE1" s="221"/>
      <c r="AF1" s="222"/>
      <c r="AG1" s="218"/>
    </row>
    <row r="2" spans="1:33">
      <c r="A2" s="188"/>
      <c r="B2" s="188"/>
      <c r="C2" s="186"/>
      <c r="D2" s="186"/>
      <c r="E2" s="186"/>
      <c r="F2" s="188"/>
      <c r="G2" s="188"/>
      <c r="H2" s="186"/>
      <c r="I2" s="186"/>
      <c r="J2" s="188"/>
      <c r="K2" s="188"/>
      <c r="L2" s="188"/>
      <c r="M2" s="186"/>
      <c r="N2" s="186"/>
      <c r="O2" s="188"/>
      <c r="P2" s="188"/>
      <c r="Q2" s="188"/>
      <c r="R2" s="186"/>
      <c r="S2" s="186"/>
      <c r="T2" s="186"/>
      <c r="U2" s="188"/>
      <c r="V2" s="188"/>
      <c r="W2" s="186"/>
      <c r="X2" s="186"/>
      <c r="Y2" s="188"/>
      <c r="Z2" s="188"/>
      <c r="AA2" s="188"/>
      <c r="AB2" s="186"/>
      <c r="AC2" s="186"/>
      <c r="AD2" s="188"/>
      <c r="AE2" s="188"/>
      <c r="AF2" s="188"/>
    </row>
    <row r="3" spans="1:33">
      <c r="A3" s="187" t="s">
        <v>0</v>
      </c>
      <c r="B3" s="188" t="s">
        <v>16</v>
      </c>
      <c r="C3" s="188"/>
      <c r="D3" s="188"/>
      <c r="E3" s="188"/>
      <c r="F3" s="187" t="s">
        <v>0</v>
      </c>
      <c r="G3" s="188" t="s">
        <v>16</v>
      </c>
      <c r="H3" s="188"/>
      <c r="I3" s="188"/>
      <c r="J3" s="188"/>
      <c r="K3" s="187" t="s">
        <v>0</v>
      </c>
      <c r="L3" s="188" t="s">
        <v>16</v>
      </c>
      <c r="M3" s="188"/>
      <c r="N3" s="188"/>
      <c r="O3" s="188"/>
      <c r="P3" s="187" t="s">
        <v>0</v>
      </c>
      <c r="Q3" s="188" t="s">
        <v>16</v>
      </c>
      <c r="R3" s="188"/>
      <c r="S3" s="188"/>
      <c r="T3" s="188"/>
      <c r="U3" s="187" t="s">
        <v>0</v>
      </c>
      <c r="V3" s="188" t="s">
        <v>16</v>
      </c>
      <c r="W3" s="188"/>
      <c r="X3" s="188"/>
      <c r="Y3" s="188"/>
      <c r="Z3" s="187" t="s">
        <v>0</v>
      </c>
      <c r="AA3" s="188" t="s">
        <v>16</v>
      </c>
      <c r="AB3" s="188"/>
      <c r="AC3" s="188"/>
      <c r="AD3" s="188"/>
      <c r="AE3" s="187" t="s">
        <v>0</v>
      </c>
      <c r="AF3" s="188" t="s">
        <v>16</v>
      </c>
    </row>
    <row r="4" spans="1:33">
      <c r="A4" s="187" t="s">
        <v>51</v>
      </c>
      <c r="B4" s="188" t="s">
        <v>16</v>
      </c>
      <c r="C4" s="188"/>
      <c r="D4" s="188"/>
      <c r="E4" s="188"/>
      <c r="F4" s="187" t="s">
        <v>51</v>
      </c>
      <c r="G4" s="188" t="s">
        <v>16</v>
      </c>
      <c r="H4" s="188"/>
      <c r="I4" s="188"/>
      <c r="J4" s="188"/>
      <c r="K4" s="187" t="s">
        <v>51</v>
      </c>
      <c r="L4" s="188" t="s">
        <v>16</v>
      </c>
      <c r="M4" s="188"/>
      <c r="N4" s="188"/>
      <c r="O4" s="188"/>
      <c r="P4" s="187" t="s">
        <v>51</v>
      </c>
      <c r="Q4" s="188" t="s">
        <v>16</v>
      </c>
      <c r="R4" s="188"/>
      <c r="S4" s="188"/>
      <c r="T4" s="188"/>
      <c r="U4" s="187" t="s">
        <v>51</v>
      </c>
      <c r="V4" s="188" t="s">
        <v>16</v>
      </c>
      <c r="W4" s="188"/>
      <c r="X4" s="188"/>
      <c r="Y4" s="188"/>
      <c r="Z4" s="187" t="s">
        <v>51</v>
      </c>
      <c r="AA4" s="188" t="s">
        <v>16</v>
      </c>
      <c r="AB4" s="188"/>
      <c r="AC4" s="188"/>
      <c r="AD4" s="188"/>
      <c r="AE4" s="187" t="s">
        <v>51</v>
      </c>
      <c r="AF4" s="188" t="s">
        <v>16</v>
      </c>
    </row>
    <row r="5" spans="1:33">
      <c r="A5" s="187" t="s">
        <v>3</v>
      </c>
      <c r="B5" s="188" t="s">
        <v>769</v>
      </c>
      <c r="C5" s="188"/>
      <c r="D5" s="188"/>
      <c r="E5" s="188"/>
      <c r="F5" s="187" t="s">
        <v>3</v>
      </c>
      <c r="G5" s="188" t="s">
        <v>770</v>
      </c>
      <c r="H5" s="188"/>
      <c r="I5" s="188"/>
      <c r="J5" s="188"/>
      <c r="K5" s="187" t="s">
        <v>3</v>
      </c>
      <c r="L5" s="188" t="s">
        <v>771</v>
      </c>
      <c r="M5" s="188"/>
      <c r="N5" s="188"/>
      <c r="O5" s="188"/>
      <c r="P5" s="187" t="s">
        <v>3</v>
      </c>
      <c r="Q5" s="188" t="s">
        <v>772</v>
      </c>
      <c r="R5" s="188"/>
      <c r="S5" s="188"/>
      <c r="T5" s="188"/>
      <c r="U5" s="187" t="s">
        <v>3</v>
      </c>
      <c r="V5" s="188" t="s">
        <v>773</v>
      </c>
      <c r="W5" s="188"/>
      <c r="X5" s="188"/>
      <c r="Y5" s="188"/>
      <c r="Z5" s="187" t="s">
        <v>3</v>
      </c>
      <c r="AA5" s="188" t="s">
        <v>774</v>
      </c>
      <c r="AB5" s="188"/>
      <c r="AC5" s="188"/>
      <c r="AD5" s="188"/>
      <c r="AE5" s="187" t="s">
        <v>3</v>
      </c>
      <c r="AF5" s="188" t="s">
        <v>775</v>
      </c>
    </row>
    <row r="6" spans="1:33">
      <c r="A6" s="188"/>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row>
    <row r="7" spans="1:33">
      <c r="A7" s="187" t="s">
        <v>288</v>
      </c>
      <c r="B7" s="188" t="s">
        <v>778</v>
      </c>
      <c r="C7" s="188" t="s">
        <v>779</v>
      </c>
      <c r="D7" s="188" t="s">
        <v>780</v>
      </c>
      <c r="E7" s="188"/>
      <c r="F7" s="187" t="s">
        <v>288</v>
      </c>
      <c r="G7" s="188" t="s">
        <v>783</v>
      </c>
      <c r="H7" s="188" t="s">
        <v>781</v>
      </c>
      <c r="I7" s="188" t="s">
        <v>782</v>
      </c>
      <c r="J7" s="188"/>
      <c r="K7" s="187" t="s">
        <v>288</v>
      </c>
      <c r="L7" s="188" t="s">
        <v>784</v>
      </c>
      <c r="M7" s="188" t="s">
        <v>241</v>
      </c>
      <c r="N7" s="188" t="s">
        <v>785</v>
      </c>
      <c r="O7" s="188"/>
      <c r="P7" s="187" t="s">
        <v>288</v>
      </c>
      <c r="Q7" s="188" t="s">
        <v>786</v>
      </c>
      <c r="R7" s="188" t="s">
        <v>780</v>
      </c>
      <c r="S7" s="188" t="s">
        <v>787</v>
      </c>
      <c r="T7" s="188"/>
      <c r="U7" s="187" t="s">
        <v>288</v>
      </c>
      <c r="V7" s="188" t="s">
        <v>788</v>
      </c>
      <c r="W7" s="188" t="s">
        <v>782</v>
      </c>
      <c r="X7" s="188" t="s">
        <v>789</v>
      </c>
      <c r="Y7" s="188"/>
      <c r="Z7" s="187" t="s">
        <v>722</v>
      </c>
      <c r="AA7" s="188" t="s">
        <v>790</v>
      </c>
      <c r="AB7" s="188" t="s">
        <v>785</v>
      </c>
      <c r="AC7" s="188" t="s">
        <v>791</v>
      </c>
      <c r="AD7" s="188"/>
      <c r="AE7" s="187" t="s">
        <v>722</v>
      </c>
      <c r="AF7" t="s">
        <v>792</v>
      </c>
    </row>
    <row r="8" spans="1:33">
      <c r="A8" s="4" t="s">
        <v>48</v>
      </c>
      <c r="B8" s="5">
        <v>10149889</v>
      </c>
      <c r="C8" s="5">
        <v>10149889</v>
      </c>
      <c r="D8" s="5">
        <v>10149889</v>
      </c>
      <c r="E8" s="188"/>
      <c r="F8" s="4" t="s">
        <v>48</v>
      </c>
      <c r="G8" s="5">
        <v>216159</v>
      </c>
      <c r="H8" s="5">
        <v>216159</v>
      </c>
      <c r="I8" s="5">
        <v>216159</v>
      </c>
      <c r="J8" s="188"/>
      <c r="K8" s="4" t="s">
        <v>48</v>
      </c>
      <c r="L8" s="5">
        <v>5706858</v>
      </c>
      <c r="M8" s="5">
        <v>5706858</v>
      </c>
      <c r="N8" s="5">
        <v>5706858</v>
      </c>
      <c r="O8" s="188"/>
      <c r="P8" s="4" t="s">
        <v>48</v>
      </c>
      <c r="Q8" s="6">
        <v>240.49652033003522</v>
      </c>
      <c r="R8" s="6">
        <v>240.49652033003522</v>
      </c>
      <c r="S8" s="6">
        <v>240.49652033003522</v>
      </c>
      <c r="T8" s="188"/>
      <c r="U8" s="4" t="s">
        <v>48</v>
      </c>
      <c r="V8" s="6">
        <v>7.90240478515625</v>
      </c>
      <c r="W8" s="6">
        <v>7.90240478515625</v>
      </c>
      <c r="X8" s="6">
        <v>7.90240478515625</v>
      </c>
      <c r="Y8" s="188"/>
      <c r="Z8" s="4" t="s">
        <v>48</v>
      </c>
      <c r="AA8" s="6">
        <v>240.49652033003522</v>
      </c>
      <c r="AB8" s="6">
        <v>240.49652033003522</v>
      </c>
      <c r="AC8" s="6">
        <v>240.49652033003522</v>
      </c>
      <c r="AD8" s="188"/>
      <c r="AE8" s="4" t="s">
        <v>48</v>
      </c>
      <c r="AF8" s="6">
        <v>15151.280780792236</v>
      </c>
    </row>
    <row r="9" spans="1:33">
      <c r="A9" s="4" t="s">
        <v>17</v>
      </c>
      <c r="B9" s="5">
        <v>10149889</v>
      </c>
      <c r="C9" s="5">
        <v>10149889</v>
      </c>
      <c r="D9" s="5">
        <v>10149889</v>
      </c>
      <c r="E9" s="188"/>
      <c r="F9" s="4" t="s">
        <v>17</v>
      </c>
      <c r="G9" s="5">
        <v>216159</v>
      </c>
      <c r="H9" s="5">
        <v>216159</v>
      </c>
      <c r="I9" s="5">
        <v>216159</v>
      </c>
      <c r="J9" s="188"/>
      <c r="K9" s="4" t="s">
        <v>17</v>
      </c>
      <c r="L9" s="5">
        <v>5706858</v>
      </c>
      <c r="M9" s="5">
        <v>5706858</v>
      </c>
      <c r="N9" s="5">
        <v>5706858</v>
      </c>
      <c r="O9" s="188"/>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D9" s="188"/>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15" t="s">
        <v>145</v>
      </c>
      <c r="B2" s="216"/>
      <c r="C2" s="216"/>
      <c r="D2" s="216"/>
      <c r="E2" s="216"/>
      <c r="F2" s="216"/>
      <c r="G2" s="216"/>
      <c r="H2" s="216"/>
      <c r="I2" s="216"/>
      <c r="J2" s="216"/>
      <c r="K2" s="216"/>
      <c r="L2" s="217" t="s">
        <v>367</v>
      </c>
      <c r="M2" s="218"/>
      <c r="N2" s="218"/>
      <c r="O2" s="218"/>
      <c r="P2" s="218"/>
      <c r="Q2" s="218"/>
      <c r="R2" s="218"/>
    </row>
    <row r="3" spans="1:18">
      <c r="A3" s="53"/>
      <c r="B3" s="54"/>
      <c r="C3" s="54"/>
      <c r="D3" s="177"/>
      <c r="E3" s="54"/>
      <c r="F3" s="54"/>
      <c r="G3" s="54"/>
      <c r="H3" s="54"/>
      <c r="I3" s="54"/>
      <c r="J3" s="54"/>
      <c r="K3" s="54"/>
      <c r="N3" s="52"/>
      <c r="O3" s="48"/>
      <c r="R3" s="158"/>
    </row>
    <row r="4" spans="1:18">
      <c r="C4" s="32"/>
      <c r="D4" s="32"/>
      <c r="E4" s="32"/>
      <c r="K4" s="32"/>
      <c r="L4" s="187" t="s">
        <v>0</v>
      </c>
      <c r="M4" s="188" t="s">
        <v>16</v>
      </c>
      <c r="P4" s="187" t="s">
        <v>0</v>
      </c>
      <c r="Q4" s="188" t="s">
        <v>16</v>
      </c>
      <c r="R4" s="159"/>
    </row>
    <row r="5" spans="1:18">
      <c r="A5" s="187" t="s">
        <v>0</v>
      </c>
      <c r="B5" s="188" t="s">
        <v>16</v>
      </c>
      <c r="C5" s="32"/>
      <c r="D5" s="32"/>
      <c r="E5" s="32"/>
      <c r="F5" s="187" t="s">
        <v>0</v>
      </c>
      <c r="G5" s="188" t="s">
        <v>16</v>
      </c>
      <c r="I5" s="187" t="s">
        <v>0</v>
      </c>
      <c r="J5" s="188" t="s">
        <v>16</v>
      </c>
      <c r="K5" s="32"/>
      <c r="L5" s="187" t="s">
        <v>51</v>
      </c>
      <c r="M5" s="188" t="s">
        <v>16</v>
      </c>
      <c r="P5" s="187" t="s">
        <v>51</v>
      </c>
      <c r="Q5" s="188" t="s">
        <v>16</v>
      </c>
      <c r="R5" s="159"/>
    </row>
    <row r="6" spans="1:18">
      <c r="A6" s="187" t="s">
        <v>3</v>
      </c>
      <c r="B6" s="188" t="s">
        <v>112</v>
      </c>
      <c r="C6" s="32"/>
      <c r="D6" s="32"/>
      <c r="E6" s="32"/>
      <c r="F6" s="187" t="s">
        <v>3</v>
      </c>
      <c r="G6" s="188" t="s">
        <v>114</v>
      </c>
      <c r="I6" s="187" t="s">
        <v>3</v>
      </c>
      <c r="J6" s="188" t="s">
        <v>143</v>
      </c>
      <c r="K6" s="32"/>
      <c r="L6" s="187" t="s">
        <v>3</v>
      </c>
      <c r="M6" s="188" t="s">
        <v>15</v>
      </c>
      <c r="P6" s="187" t="s">
        <v>3</v>
      </c>
      <c r="Q6" s="188" t="s">
        <v>45</v>
      </c>
      <c r="R6" s="159"/>
    </row>
    <row r="7" spans="1:18">
      <c r="P7" s="159"/>
      <c r="Q7" s="159"/>
      <c r="R7" s="159"/>
    </row>
    <row r="8" spans="1:18">
      <c r="A8" s="187" t="s">
        <v>722</v>
      </c>
      <c r="B8" s="188" t="s">
        <v>291</v>
      </c>
      <c r="C8" s="188" t="s">
        <v>241</v>
      </c>
      <c r="D8" s="188" t="s">
        <v>408</v>
      </c>
      <c r="F8" s="187" t="s">
        <v>722</v>
      </c>
      <c r="G8" t="s">
        <v>290</v>
      </c>
      <c r="I8" s="187" t="s">
        <v>722</v>
      </c>
      <c r="J8" t="s">
        <v>289</v>
      </c>
      <c r="L8" s="187" t="s">
        <v>722</v>
      </c>
      <c r="M8" s="188" t="s">
        <v>292</v>
      </c>
      <c r="N8" s="188" t="s">
        <v>405</v>
      </c>
      <c r="O8" s="173" t="s">
        <v>736</v>
      </c>
      <c r="P8" s="187" t="s">
        <v>722</v>
      </c>
      <c r="Q8" s="188" t="s">
        <v>702</v>
      </c>
      <c r="R8" s="188"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423" priority="1" operator="lessThan">
      <formula>0.25</formula>
    </cfRule>
    <cfRule type="cellIs" dxfId="42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15" t="s">
        <v>145</v>
      </c>
      <c r="D1" s="216"/>
      <c r="E1" s="216"/>
      <c r="F1" s="216"/>
      <c r="G1" s="216"/>
      <c r="H1" s="216"/>
      <c r="I1" s="216"/>
      <c r="J1" s="216"/>
      <c r="K1" s="216"/>
      <c r="L1" s="216"/>
      <c r="M1" s="216"/>
      <c r="N1" s="217" t="s">
        <v>367</v>
      </c>
      <c r="O1" s="218"/>
      <c r="P1" s="218"/>
      <c r="Q1" s="218"/>
      <c r="R1" s="218"/>
      <c r="S1" s="218"/>
      <c r="T1" s="218"/>
    </row>
    <row r="2" spans="1:20">
      <c r="A2" s="30"/>
      <c r="B2" s="30"/>
      <c r="C2" s="53"/>
      <c r="D2" s="54"/>
      <c r="E2" s="54"/>
      <c r="F2" s="177"/>
      <c r="G2" s="54"/>
      <c r="H2" s="54"/>
      <c r="I2" s="54"/>
      <c r="J2" s="54"/>
      <c r="K2" s="54"/>
      <c r="L2" s="54"/>
      <c r="M2" s="54"/>
      <c r="N2" s="187" t="s">
        <v>0</v>
      </c>
      <c r="O2" s="188" t="s">
        <v>16</v>
      </c>
      <c r="P2" s="52"/>
      <c r="R2" s="187" t="s">
        <v>0</v>
      </c>
      <c r="S2" s="188" t="s">
        <v>16</v>
      </c>
      <c r="T2" s="158"/>
    </row>
    <row r="3" spans="1:20">
      <c r="A3" s="30"/>
      <c r="B3" s="30"/>
      <c r="C3" s="187" t="s">
        <v>0</v>
      </c>
      <c r="D3" s="188" t="s">
        <v>16</v>
      </c>
      <c r="H3" s="187" t="s">
        <v>0</v>
      </c>
      <c r="I3" s="188" t="s">
        <v>16</v>
      </c>
      <c r="K3" s="187" t="s">
        <v>0</v>
      </c>
      <c r="L3" s="188" t="s">
        <v>16</v>
      </c>
      <c r="N3" s="187" t="s">
        <v>1</v>
      </c>
      <c r="O3" s="188" t="s">
        <v>16</v>
      </c>
      <c r="R3" s="187" t="s">
        <v>1</v>
      </c>
      <c r="S3" s="188" t="s">
        <v>16</v>
      </c>
      <c r="T3" s="159"/>
    </row>
    <row r="4" spans="1:20">
      <c r="A4" s="30"/>
      <c r="B4" s="30"/>
      <c r="C4" s="187" t="s">
        <v>1</v>
      </c>
      <c r="D4" s="188" t="s">
        <v>16</v>
      </c>
      <c r="E4" s="32"/>
      <c r="F4" s="32"/>
      <c r="G4" s="32"/>
      <c r="H4" s="187" t="s">
        <v>1</v>
      </c>
      <c r="I4" s="188" t="s">
        <v>16</v>
      </c>
      <c r="K4" s="187" t="s">
        <v>1</v>
      </c>
      <c r="L4" s="188" t="s">
        <v>16</v>
      </c>
      <c r="M4" s="32"/>
      <c r="N4" s="187" t="s">
        <v>2</v>
      </c>
      <c r="O4" s="188" t="s">
        <v>16</v>
      </c>
      <c r="R4" s="187" t="s">
        <v>2</v>
      </c>
      <c r="S4" s="188" t="s">
        <v>16</v>
      </c>
      <c r="T4" s="159"/>
    </row>
    <row r="5" spans="1:20">
      <c r="A5" s="30"/>
      <c r="B5" s="30"/>
      <c r="C5" s="187" t="s">
        <v>2</v>
      </c>
      <c r="D5" s="188" t="s">
        <v>16</v>
      </c>
      <c r="E5" s="32"/>
      <c r="F5" s="32"/>
      <c r="G5" s="32"/>
      <c r="H5" s="187" t="s">
        <v>2</v>
      </c>
      <c r="I5" s="188" t="s">
        <v>16</v>
      </c>
      <c r="K5" s="187" t="s">
        <v>2</v>
      </c>
      <c r="L5" s="188" t="s">
        <v>16</v>
      </c>
      <c r="M5" s="32"/>
      <c r="N5" s="187" t="s">
        <v>51</v>
      </c>
      <c r="O5" s="188" t="s">
        <v>16</v>
      </c>
      <c r="R5" s="187" t="s">
        <v>51</v>
      </c>
      <c r="S5" s="188" t="s">
        <v>16</v>
      </c>
      <c r="T5" s="159"/>
    </row>
    <row r="6" spans="1:20">
      <c r="A6" s="30"/>
      <c r="B6" s="30"/>
      <c r="C6" s="187" t="s">
        <v>3</v>
      </c>
      <c r="D6" s="188" t="s">
        <v>112</v>
      </c>
      <c r="E6" s="32"/>
      <c r="F6" s="32"/>
      <c r="G6" s="32"/>
      <c r="H6" s="187" t="s">
        <v>3</v>
      </c>
      <c r="I6" s="188" t="s">
        <v>114</v>
      </c>
      <c r="K6" s="187" t="s">
        <v>3</v>
      </c>
      <c r="L6" s="188" t="s">
        <v>143</v>
      </c>
      <c r="M6" s="32"/>
      <c r="N6" s="187" t="s">
        <v>3</v>
      </c>
      <c r="O6" s="188" t="s">
        <v>15</v>
      </c>
      <c r="R6" s="187" t="s">
        <v>3</v>
      </c>
      <c r="S6" s="188" t="s">
        <v>45</v>
      </c>
      <c r="T6" s="159"/>
    </row>
    <row r="7" spans="1:20">
      <c r="A7" s="30"/>
      <c r="B7" s="30"/>
      <c r="R7" s="159"/>
      <c r="S7" s="159"/>
      <c r="T7" s="159"/>
    </row>
    <row r="8" spans="1:20">
      <c r="A8" s="24" t="s">
        <v>682</v>
      </c>
      <c r="B8" s="24" t="s">
        <v>121</v>
      </c>
      <c r="C8" s="187" t="s">
        <v>288</v>
      </c>
      <c r="D8" s="188" t="s">
        <v>291</v>
      </c>
      <c r="E8" s="188" t="s">
        <v>241</v>
      </c>
      <c r="F8" s="188" t="s">
        <v>405</v>
      </c>
      <c r="H8" s="187" t="s">
        <v>288</v>
      </c>
      <c r="I8" t="s">
        <v>290</v>
      </c>
      <c r="K8" s="187" t="s">
        <v>288</v>
      </c>
      <c r="L8" t="s">
        <v>289</v>
      </c>
      <c r="N8" s="187" t="s">
        <v>288</v>
      </c>
      <c r="O8" s="188" t="s">
        <v>292</v>
      </c>
      <c r="P8" s="188" t="s">
        <v>405</v>
      </c>
      <c r="Q8" s="173" t="s">
        <v>736</v>
      </c>
      <c r="R8" s="187" t="s">
        <v>288</v>
      </c>
      <c r="S8" s="188" t="s">
        <v>702</v>
      </c>
      <c r="T8" s="188"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21" priority="1" operator="lessThan">
      <formula>0.25</formula>
    </cfRule>
    <cfRule type="cellIs" dxfId="42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21" t="s">
        <v>300</v>
      </c>
      <c r="D1" s="199"/>
      <c r="E1" s="199"/>
      <c r="F1" s="199"/>
      <c r="G1" s="199"/>
      <c r="H1" s="199"/>
      <c r="I1" s="199"/>
      <c r="J1" s="199"/>
      <c r="K1" s="199"/>
      <c r="L1" s="199"/>
      <c r="M1" s="199"/>
      <c r="O1" s="218"/>
      <c r="P1" s="218"/>
      <c r="Q1" s="218"/>
      <c r="R1" s="218"/>
      <c r="S1" s="218"/>
      <c r="T1" s="218"/>
    </row>
    <row r="2" spans="1:20">
      <c r="A2" s="30"/>
      <c r="B2" s="30"/>
      <c r="C2" s="221"/>
      <c r="D2" s="199"/>
      <c r="E2" s="199"/>
      <c r="F2" s="199"/>
      <c r="G2" s="199"/>
      <c r="H2" s="199"/>
      <c r="I2" s="199"/>
      <c r="J2" s="199"/>
      <c r="K2" s="199"/>
      <c r="L2" s="199"/>
      <c r="M2" s="199"/>
      <c r="Q2" s="95"/>
      <c r="T2" s="32"/>
    </row>
    <row r="3" spans="1:20">
      <c r="A3" s="30"/>
      <c r="B3" s="30"/>
      <c r="C3" s="184" t="s">
        <v>0</v>
      </c>
      <c r="D3" s="185" t="s">
        <v>16</v>
      </c>
      <c r="F3" s="184" t="s">
        <v>0</v>
      </c>
      <c r="G3" s="185" t="s">
        <v>16</v>
      </c>
      <c r="K3" s="184" t="s">
        <v>0</v>
      </c>
      <c r="L3" s="185" t="s">
        <v>16</v>
      </c>
      <c r="M3" s="51"/>
      <c r="O3" s="187" t="s">
        <v>0</v>
      </c>
      <c r="P3" s="188" t="s">
        <v>16</v>
      </c>
      <c r="Q3" s="95"/>
      <c r="R3" s="187" t="s">
        <v>0</v>
      </c>
      <c r="S3" s="188" t="s">
        <v>16</v>
      </c>
      <c r="T3" s="32"/>
    </row>
    <row r="4" spans="1:20">
      <c r="A4" s="30"/>
      <c r="B4" s="30"/>
      <c r="C4" s="184" t="s">
        <v>3</v>
      </c>
      <c r="D4" s="185" t="s">
        <v>286</v>
      </c>
      <c r="F4" s="184" t="s">
        <v>3</v>
      </c>
      <c r="G4" s="185" t="s">
        <v>325</v>
      </c>
      <c r="K4" s="184" t="s">
        <v>3</v>
      </c>
      <c r="L4" s="185" t="s">
        <v>326</v>
      </c>
      <c r="M4" s="51"/>
      <c r="O4" s="187" t="s">
        <v>3</v>
      </c>
      <c r="P4" s="188" t="s">
        <v>453</v>
      </c>
      <c r="Q4" s="95"/>
      <c r="R4" s="187" t="s">
        <v>3</v>
      </c>
      <c r="S4" s="188" t="s">
        <v>455</v>
      </c>
      <c r="T4" s="32"/>
    </row>
    <row r="5" spans="1:20">
      <c r="A5" s="30"/>
      <c r="B5" s="30"/>
      <c r="F5" s="51"/>
      <c r="G5" s="51"/>
      <c r="K5" s="51"/>
      <c r="L5" s="51"/>
      <c r="M5" s="51"/>
      <c r="O5" s="95"/>
      <c r="P5" s="95"/>
      <c r="Q5" s="95"/>
      <c r="R5" s="95"/>
      <c r="S5" s="95"/>
      <c r="T5" s="95"/>
    </row>
    <row r="6" spans="1:20">
      <c r="A6" s="24" t="s">
        <v>682</v>
      </c>
      <c r="B6" s="24" t="s">
        <v>121</v>
      </c>
      <c r="C6" s="184" t="s">
        <v>288</v>
      </c>
      <c r="D6" t="s">
        <v>301</v>
      </c>
      <c r="F6" s="184" t="s">
        <v>288</v>
      </c>
      <c r="G6" s="185" t="s">
        <v>337</v>
      </c>
      <c r="H6" s="185" t="s">
        <v>241</v>
      </c>
      <c r="I6" s="185" t="s">
        <v>405</v>
      </c>
      <c r="K6" s="184" t="s">
        <v>288</v>
      </c>
      <c r="L6" s="185" t="s">
        <v>338</v>
      </c>
      <c r="M6" s="185" t="s">
        <v>409</v>
      </c>
      <c r="O6" s="187" t="s">
        <v>722</v>
      </c>
      <c r="P6" t="s">
        <v>459</v>
      </c>
      <c r="Q6" s="95"/>
      <c r="R6" s="187" t="s">
        <v>722</v>
      </c>
      <c r="S6" s="188" t="s">
        <v>460</v>
      </c>
      <c r="T6" s="188"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185">
        <v>0</v>
      </c>
      <c r="K7" s="4" t="s">
        <v>48</v>
      </c>
      <c r="L7" s="5">
        <v>240</v>
      </c>
      <c r="M7" s="5">
        <v>0</v>
      </c>
      <c r="O7" s="4" t="s">
        <v>47</v>
      </c>
      <c r="P7" s="5">
        <v>7</v>
      </c>
      <c r="Q7" s="95"/>
      <c r="R7" s="4" t="s">
        <v>47</v>
      </c>
      <c r="S7" s="5">
        <v>2</v>
      </c>
      <c r="T7" s="5">
        <v>0</v>
      </c>
    </row>
    <row r="8" spans="1:20">
      <c r="C8" s="4" t="s">
        <v>17</v>
      </c>
      <c r="D8" s="5">
        <v>368</v>
      </c>
      <c r="F8" s="4" t="s">
        <v>17</v>
      </c>
      <c r="G8" s="185">
        <v>396</v>
      </c>
      <c r="H8" s="5">
        <v>396</v>
      </c>
      <c r="I8" s="185">
        <v>0</v>
      </c>
      <c r="K8" s="4" t="s">
        <v>17</v>
      </c>
      <c r="L8" s="185">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23" t="s">
        <v>293</v>
      </c>
      <c r="C4" s="218"/>
      <c r="D4" s="218"/>
      <c r="E4" s="218"/>
      <c r="F4" s="218"/>
      <c r="G4" s="218"/>
      <c r="H4" s="218"/>
      <c r="I4" s="218"/>
      <c r="J4" s="218"/>
      <c r="K4" s="218"/>
      <c r="L4" s="218"/>
      <c r="M4" s="218"/>
      <c r="N4" s="218"/>
      <c r="O4" s="218"/>
      <c r="P4" s="218"/>
      <c r="Q4" s="223"/>
      <c r="R4" s="218"/>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23" t="s">
        <v>514</v>
      </c>
      <c r="D4" s="224"/>
      <c r="E4" s="224"/>
      <c r="F4" s="224"/>
      <c r="G4" s="224"/>
      <c r="H4" s="224"/>
      <c r="I4" s="224"/>
      <c r="J4" s="224"/>
      <c r="K4" s="224"/>
      <c r="L4" s="224"/>
      <c r="N4" s="223" t="s">
        <v>515</v>
      </c>
      <c r="O4" s="224"/>
      <c r="P4" s="224"/>
      <c r="Q4" s="224"/>
      <c r="R4" s="224"/>
      <c r="S4" s="224"/>
      <c r="T4" s="224"/>
      <c r="U4" s="224"/>
      <c r="V4" s="224"/>
      <c r="W4" s="224"/>
      <c r="Y4" s="223" t="s">
        <v>293</v>
      </c>
      <c r="Z4" s="224"/>
      <c r="AA4" s="224"/>
      <c r="AB4" s="224"/>
      <c r="AC4" s="224"/>
      <c r="AD4" s="224"/>
      <c r="AE4" s="224"/>
      <c r="AF4" s="224"/>
      <c r="AG4" s="224"/>
      <c r="AH4" s="224"/>
      <c r="AI4" s="199"/>
      <c r="AJ4" s="199"/>
      <c r="AK4" s="199"/>
      <c r="AL4" s="223"/>
      <c r="AM4" s="224"/>
      <c r="AN4" s="224"/>
    </row>
    <row r="5" spans="1:40">
      <c r="A5" s="30"/>
      <c r="B5" s="44"/>
      <c r="C5" s="184" t="s">
        <v>0</v>
      </c>
      <c r="D5" s="185" t="s">
        <v>16</v>
      </c>
      <c r="E5" s="32"/>
      <c r="H5" s="32"/>
      <c r="I5" s="184" t="s">
        <v>0</v>
      </c>
      <c r="J5" s="185" t="s">
        <v>16</v>
      </c>
      <c r="N5" s="184" t="s">
        <v>0</v>
      </c>
      <c r="O5" s="185" t="s">
        <v>16</v>
      </c>
      <c r="P5" s="32"/>
      <c r="S5" s="32"/>
      <c r="T5" s="184" t="s">
        <v>0</v>
      </c>
      <c r="U5" s="185" t="s">
        <v>16</v>
      </c>
      <c r="Y5" s="182" t="s">
        <v>560</v>
      </c>
      <c r="Z5" s="183" t="s">
        <v>16</v>
      </c>
      <c r="AA5" s="44"/>
      <c r="AB5" s="44"/>
      <c r="AC5" s="44"/>
      <c r="AD5" s="44"/>
      <c r="AE5" s="44"/>
      <c r="AF5" s="44"/>
      <c r="AG5" s="44"/>
      <c r="AH5" s="44"/>
      <c r="AI5" s="44"/>
      <c r="AJ5" s="44"/>
      <c r="AK5" s="44"/>
      <c r="AL5" s="44"/>
      <c r="AM5" s="44"/>
      <c r="AN5" s="44"/>
    </row>
    <row r="6" spans="1:40">
      <c r="A6" s="30"/>
      <c r="B6" s="44"/>
      <c r="C6" s="184" t="s">
        <v>3</v>
      </c>
      <c r="D6" s="185" t="s">
        <v>302</v>
      </c>
      <c r="E6" s="32"/>
      <c r="H6" s="32"/>
      <c r="I6" s="184" t="s">
        <v>3</v>
      </c>
      <c r="J6" s="185" t="s">
        <v>302</v>
      </c>
      <c r="N6" s="184" t="s">
        <v>3</v>
      </c>
      <c r="O6" s="185" t="s">
        <v>302</v>
      </c>
      <c r="P6" s="32"/>
      <c r="S6" s="32"/>
      <c r="T6" s="184" t="s">
        <v>3</v>
      </c>
      <c r="U6" s="185"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184" t="s">
        <v>288</v>
      </c>
      <c r="D8" s="185" t="s">
        <v>304</v>
      </c>
      <c r="E8" s="185" t="s">
        <v>407</v>
      </c>
      <c r="F8" s="185" t="s">
        <v>303</v>
      </c>
      <c r="G8" s="185" t="s">
        <v>406</v>
      </c>
      <c r="I8" s="184" t="s">
        <v>288</v>
      </c>
      <c r="J8" s="185" t="s">
        <v>308</v>
      </c>
      <c r="K8" s="185" t="s">
        <v>309</v>
      </c>
      <c r="L8" s="185" t="s">
        <v>310</v>
      </c>
      <c r="N8" s="184" t="s">
        <v>288</v>
      </c>
      <c r="O8" s="185" t="s">
        <v>304</v>
      </c>
      <c r="P8" s="185" t="s">
        <v>407</v>
      </c>
      <c r="Q8" s="185" t="s">
        <v>303</v>
      </c>
      <c r="R8" s="185" t="s">
        <v>406</v>
      </c>
      <c r="T8" s="184" t="s">
        <v>288</v>
      </c>
      <c r="U8" s="185" t="s">
        <v>308</v>
      </c>
      <c r="V8" s="185" t="s">
        <v>309</v>
      </c>
      <c r="W8" s="185"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25" t="s">
        <v>146</v>
      </c>
      <c r="B2" s="216"/>
      <c r="C2" s="216"/>
      <c r="D2" s="216"/>
      <c r="E2" s="216"/>
      <c r="F2" s="216"/>
      <c r="G2" s="216"/>
      <c r="H2" s="216"/>
      <c r="I2" s="226"/>
      <c r="J2" s="85"/>
      <c r="K2" s="217" t="s">
        <v>356</v>
      </c>
      <c r="L2" s="199"/>
      <c r="M2" s="56"/>
      <c r="N2" s="217" t="s">
        <v>367</v>
      </c>
      <c r="O2" s="199"/>
      <c r="P2" s="199"/>
      <c r="Q2" s="199"/>
      <c r="R2" s="199"/>
      <c r="S2" s="199"/>
      <c r="T2" s="199"/>
      <c r="U2" s="199"/>
      <c r="V2" s="199"/>
      <c r="W2" s="199"/>
      <c r="X2" s="199"/>
      <c r="Y2" s="199"/>
    </row>
    <row r="3" spans="1:26" s="30" customFormat="1">
      <c r="A3"/>
      <c r="B3"/>
      <c r="C3" s="176"/>
      <c r="D3" s="54"/>
      <c r="E3"/>
      <c r="F3"/>
      <c r="G3" s="54"/>
      <c r="H3"/>
      <c r="I3"/>
      <c r="J3" s="85"/>
      <c r="K3"/>
      <c r="L3"/>
      <c r="M3" s="56"/>
      <c r="N3"/>
      <c r="O3"/>
      <c r="R3"/>
      <c r="S3"/>
      <c r="T3" s="33"/>
      <c r="V3"/>
      <c r="W3"/>
    </row>
    <row r="4" spans="1:26">
      <c r="A4" s="187" t="s">
        <v>149</v>
      </c>
      <c r="B4" s="188" t="s">
        <v>16</v>
      </c>
      <c r="D4" s="32"/>
      <c r="E4" s="187" t="s">
        <v>149</v>
      </c>
      <c r="F4" s="188" t="s">
        <v>16</v>
      </c>
      <c r="G4" s="32"/>
      <c r="H4" s="187" t="s">
        <v>149</v>
      </c>
      <c r="I4" s="188" t="s">
        <v>16</v>
      </c>
      <c r="K4" s="165" t="s">
        <v>149</v>
      </c>
      <c r="L4" s="166" t="s">
        <v>356</v>
      </c>
      <c r="N4" s="187" t="s">
        <v>0</v>
      </c>
      <c r="O4" s="188" t="s">
        <v>16</v>
      </c>
      <c r="Q4" s="8"/>
      <c r="R4" s="187" t="s">
        <v>0</v>
      </c>
      <c r="S4" s="188" t="s">
        <v>16</v>
      </c>
      <c r="T4"/>
      <c r="V4" s="187" t="s">
        <v>0</v>
      </c>
      <c r="W4" s="188" t="s">
        <v>16</v>
      </c>
      <c r="Z4" s="8"/>
    </row>
    <row r="5" spans="1:26">
      <c r="A5" s="187" t="s">
        <v>0</v>
      </c>
      <c r="B5" s="188" t="s">
        <v>16</v>
      </c>
      <c r="D5" s="32"/>
      <c r="E5" s="187" t="s">
        <v>0</v>
      </c>
      <c r="F5" s="188" t="s">
        <v>16</v>
      </c>
      <c r="G5" s="32"/>
      <c r="H5" s="187" t="s">
        <v>0</v>
      </c>
      <c r="I5" s="188" t="s">
        <v>16</v>
      </c>
      <c r="K5" s="165" t="s">
        <v>0</v>
      </c>
      <c r="L5" s="166" t="s">
        <v>16</v>
      </c>
      <c r="N5" s="187" t="s">
        <v>51</v>
      </c>
      <c r="O5" s="188" t="s">
        <v>16</v>
      </c>
      <c r="Q5" s="8"/>
      <c r="R5" s="187" t="s">
        <v>51</v>
      </c>
      <c r="S5" s="188" t="s">
        <v>16</v>
      </c>
      <c r="T5"/>
      <c r="V5" s="187" t="s">
        <v>51</v>
      </c>
      <c r="W5" s="188" t="s">
        <v>16</v>
      </c>
      <c r="Z5" s="8"/>
    </row>
    <row r="6" spans="1:26">
      <c r="A6" s="187" t="s">
        <v>3</v>
      </c>
      <c r="B6" s="188" t="s">
        <v>108</v>
      </c>
      <c r="D6" s="32"/>
      <c r="E6" s="187" t="s">
        <v>3</v>
      </c>
      <c r="F6" s="188" t="s">
        <v>142</v>
      </c>
      <c r="G6" s="32"/>
      <c r="H6" s="187" t="s">
        <v>3</v>
      </c>
      <c r="I6" s="188" t="s">
        <v>111</v>
      </c>
      <c r="K6" s="165" t="s">
        <v>3</v>
      </c>
      <c r="L6" s="166" t="s">
        <v>108</v>
      </c>
      <c r="N6" s="187" t="s">
        <v>3</v>
      </c>
      <c r="O6" s="188" t="s">
        <v>13</v>
      </c>
      <c r="Q6" s="8"/>
      <c r="R6" s="187" t="s">
        <v>3</v>
      </c>
      <c r="S6" s="188" t="s">
        <v>14</v>
      </c>
      <c r="T6"/>
      <c r="V6" s="187" t="s">
        <v>3</v>
      </c>
      <c r="W6" s="188" t="s">
        <v>8</v>
      </c>
      <c r="Z6" s="8"/>
    </row>
    <row r="7" spans="1:26">
      <c r="Q7" s="8"/>
      <c r="T7"/>
      <c r="Z7" s="8"/>
    </row>
    <row r="8" spans="1:26" ht="28.8">
      <c r="A8" s="187" t="s">
        <v>722</v>
      </c>
      <c r="B8" s="31" t="s">
        <v>427</v>
      </c>
      <c r="C8" s="188" t="s">
        <v>241</v>
      </c>
      <c r="E8" s="187" t="s">
        <v>722</v>
      </c>
      <c r="F8" s="31" t="s">
        <v>378</v>
      </c>
      <c r="H8" s="187" t="s">
        <v>722</v>
      </c>
      <c r="I8" s="31" t="s">
        <v>428</v>
      </c>
      <c r="J8" s="31"/>
      <c r="K8" s="165" t="s">
        <v>722</v>
      </c>
      <c r="L8" t="s">
        <v>427</v>
      </c>
      <c r="N8" s="187" t="s">
        <v>722</v>
      </c>
      <c r="O8" s="31" t="s">
        <v>375</v>
      </c>
      <c r="P8" s="31" t="s">
        <v>405</v>
      </c>
      <c r="Q8" s="8"/>
      <c r="R8" s="187" t="s">
        <v>722</v>
      </c>
      <c r="S8" s="31" t="s">
        <v>376</v>
      </c>
      <c r="T8" s="31" t="s">
        <v>409</v>
      </c>
      <c r="V8" s="187" t="s">
        <v>722</v>
      </c>
      <c r="W8" s="188"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25" t="s">
        <v>377</v>
      </c>
      <c r="C1" s="216"/>
      <c r="D1" s="216"/>
      <c r="E1" s="216"/>
      <c r="F1" s="216"/>
      <c r="G1" s="216"/>
      <c r="H1" s="216"/>
      <c r="I1" s="216"/>
      <c r="J1" s="226"/>
      <c r="K1" s="85"/>
      <c r="L1" s="217" t="s">
        <v>356</v>
      </c>
      <c r="M1" s="218"/>
      <c r="N1" s="85"/>
      <c r="O1" s="227" t="s">
        <v>367</v>
      </c>
      <c r="P1" s="218"/>
      <c r="Q1" s="218"/>
      <c r="R1" s="218"/>
      <c r="S1" s="218"/>
      <c r="T1" s="218"/>
      <c r="U1" s="218"/>
      <c r="V1" s="218"/>
      <c r="W1" s="218"/>
      <c r="X1" s="218"/>
      <c r="Y1" s="218"/>
      <c r="Z1" s="218"/>
    </row>
    <row r="2" spans="1:37">
      <c r="A2" s="30"/>
      <c r="B2" s="187" t="s">
        <v>149</v>
      </c>
      <c r="C2" s="188" t="s">
        <v>16</v>
      </c>
      <c r="E2" s="54"/>
      <c r="F2" s="187" t="s">
        <v>149</v>
      </c>
      <c r="G2" s="188" t="s">
        <v>16</v>
      </c>
      <c r="H2" s="54"/>
      <c r="I2" s="187" t="s">
        <v>149</v>
      </c>
      <c r="J2" s="188" t="s">
        <v>16</v>
      </c>
      <c r="L2" s="165" t="s">
        <v>149</v>
      </c>
      <c r="M2" s="166" t="s">
        <v>356</v>
      </c>
      <c r="N2" s="85"/>
      <c r="O2" s="187" t="s">
        <v>0</v>
      </c>
      <c r="P2" s="188" t="s">
        <v>16</v>
      </c>
      <c r="Q2" s="30"/>
      <c r="R2" s="30"/>
      <c r="S2" s="187" t="s">
        <v>0</v>
      </c>
      <c r="T2" s="188" t="s">
        <v>16</v>
      </c>
      <c r="U2" s="30"/>
      <c r="V2" s="30"/>
      <c r="W2" s="187" t="s">
        <v>0</v>
      </c>
      <c r="X2" s="188" t="s">
        <v>16</v>
      </c>
      <c r="Y2" s="85"/>
      <c r="Z2" s="85"/>
      <c r="AA2" s="85"/>
      <c r="AB2" s="85"/>
      <c r="AC2" s="85"/>
      <c r="AD2" s="85"/>
      <c r="AE2" s="85"/>
      <c r="AF2" s="85"/>
      <c r="AG2" s="85"/>
      <c r="AH2" s="85"/>
      <c r="AI2" s="85"/>
      <c r="AJ2" s="85"/>
      <c r="AK2" s="85"/>
    </row>
    <row r="3" spans="1:37" s="30" customFormat="1">
      <c r="B3" s="187" t="s">
        <v>0</v>
      </c>
      <c r="C3" s="188" t="s">
        <v>16</v>
      </c>
      <c r="D3" s="176"/>
      <c r="F3" s="187" t="s">
        <v>0</v>
      </c>
      <c r="G3" s="188" t="s">
        <v>16</v>
      </c>
      <c r="I3" s="187" t="s">
        <v>0</v>
      </c>
      <c r="J3" s="188" t="s">
        <v>16</v>
      </c>
      <c r="K3" s="85"/>
      <c r="L3" s="165" t="s">
        <v>0</v>
      </c>
      <c r="M3" s="166" t="s">
        <v>16</v>
      </c>
      <c r="N3" s="85"/>
      <c r="O3" s="187" t="s">
        <v>1</v>
      </c>
      <c r="P3" s="188" t="s">
        <v>16</v>
      </c>
      <c r="S3" s="187" t="s">
        <v>1</v>
      </c>
      <c r="T3" s="188" t="s">
        <v>16</v>
      </c>
      <c r="U3" s="33"/>
      <c r="W3" s="187" t="s">
        <v>1</v>
      </c>
      <c r="X3" s="188" t="s">
        <v>16</v>
      </c>
      <c r="Y3" s="85"/>
      <c r="Z3" s="85"/>
      <c r="AA3" s="85"/>
      <c r="AB3" s="85"/>
      <c r="AC3" s="85"/>
      <c r="AD3" s="85"/>
      <c r="AE3" s="85"/>
      <c r="AF3" s="85"/>
      <c r="AG3" s="85"/>
      <c r="AH3" s="85"/>
      <c r="AI3" s="85"/>
      <c r="AJ3" s="85"/>
      <c r="AK3" s="85"/>
    </row>
    <row r="4" spans="1:37">
      <c r="A4" s="30"/>
      <c r="B4" s="187" t="s">
        <v>1</v>
      </c>
      <c r="C4" s="188" t="s">
        <v>16</v>
      </c>
      <c r="E4" s="32"/>
      <c r="F4" s="187" t="s">
        <v>1</v>
      </c>
      <c r="G4" s="188" t="s">
        <v>16</v>
      </c>
      <c r="H4" s="32"/>
      <c r="I4" s="187" t="s">
        <v>1</v>
      </c>
      <c r="J4" s="188" t="s">
        <v>16</v>
      </c>
      <c r="L4" s="165" t="s">
        <v>1</v>
      </c>
      <c r="M4" s="166" t="s">
        <v>16</v>
      </c>
      <c r="O4" s="187" t="s">
        <v>2</v>
      </c>
      <c r="P4" s="188" t="s">
        <v>16</v>
      </c>
      <c r="R4" s="8"/>
      <c r="S4" s="187" t="s">
        <v>2</v>
      </c>
      <c r="T4" s="188" t="s">
        <v>16</v>
      </c>
      <c r="U4"/>
      <c r="W4" s="187" t="s">
        <v>2</v>
      </c>
      <c r="X4" s="188" t="s">
        <v>16</v>
      </c>
      <c r="Y4" s="85"/>
      <c r="AA4" s="85"/>
      <c r="AB4" s="85"/>
      <c r="AC4" s="85"/>
      <c r="AD4" s="85"/>
      <c r="AE4" s="85"/>
      <c r="AF4" s="85"/>
      <c r="AG4" s="85"/>
      <c r="AH4" s="85"/>
      <c r="AI4" s="85"/>
      <c r="AJ4" s="85"/>
      <c r="AK4" s="85"/>
    </row>
    <row r="5" spans="1:37">
      <c r="A5" s="30"/>
      <c r="B5" s="187" t="s">
        <v>2</v>
      </c>
      <c r="C5" s="188" t="s">
        <v>16</v>
      </c>
      <c r="E5" s="32"/>
      <c r="F5" s="187" t="s">
        <v>2</v>
      </c>
      <c r="G5" s="188" t="s">
        <v>16</v>
      </c>
      <c r="H5" s="32"/>
      <c r="I5" s="187" t="s">
        <v>2</v>
      </c>
      <c r="J5" s="188" t="s">
        <v>16</v>
      </c>
      <c r="L5" s="165" t="s">
        <v>2</v>
      </c>
      <c r="M5" s="166" t="s">
        <v>16</v>
      </c>
      <c r="O5" s="187" t="s">
        <v>51</v>
      </c>
      <c r="P5" s="188" t="s">
        <v>16</v>
      </c>
      <c r="R5" s="8"/>
      <c r="S5" s="187" t="s">
        <v>51</v>
      </c>
      <c r="T5" s="188" t="s">
        <v>16</v>
      </c>
      <c r="U5"/>
      <c r="W5" s="187" t="s">
        <v>51</v>
      </c>
      <c r="X5" s="188" t="s">
        <v>16</v>
      </c>
      <c r="AA5" s="8"/>
    </row>
    <row r="6" spans="1:37">
      <c r="A6" s="30"/>
      <c r="B6" s="187" t="s">
        <v>3</v>
      </c>
      <c r="C6" s="188" t="s">
        <v>108</v>
      </c>
      <c r="E6" s="32"/>
      <c r="F6" s="187" t="s">
        <v>3</v>
      </c>
      <c r="G6" s="188" t="s">
        <v>142</v>
      </c>
      <c r="H6" s="32"/>
      <c r="I6" s="187" t="s">
        <v>3</v>
      </c>
      <c r="J6" s="188" t="s">
        <v>111</v>
      </c>
      <c r="L6" s="165" t="s">
        <v>3</v>
      </c>
      <c r="M6" s="166" t="s">
        <v>108</v>
      </c>
      <c r="O6" s="187" t="s">
        <v>3</v>
      </c>
      <c r="P6" s="188" t="s">
        <v>13</v>
      </c>
      <c r="R6" s="8"/>
      <c r="S6" s="187" t="s">
        <v>3</v>
      </c>
      <c r="T6" s="188" t="s">
        <v>14</v>
      </c>
      <c r="U6"/>
      <c r="W6" s="187" t="s">
        <v>3</v>
      </c>
      <c r="X6" s="188" t="s">
        <v>8</v>
      </c>
      <c r="AA6" s="8"/>
    </row>
    <row r="7" spans="1:37">
      <c r="A7" s="30"/>
      <c r="R7" s="8"/>
      <c r="U7"/>
      <c r="AA7" s="8"/>
    </row>
    <row r="8" spans="1:37" ht="28.8">
      <c r="A8" s="24" t="s">
        <v>682</v>
      </c>
      <c r="B8" s="187" t="s">
        <v>288</v>
      </c>
      <c r="C8" s="31" t="s">
        <v>375</v>
      </c>
      <c r="D8" s="188" t="s">
        <v>241</v>
      </c>
      <c r="F8" s="187" t="s">
        <v>288</v>
      </c>
      <c r="G8" s="31" t="s">
        <v>378</v>
      </c>
      <c r="I8" s="187" t="s">
        <v>288</v>
      </c>
      <c r="J8" s="31" t="s">
        <v>376</v>
      </c>
      <c r="K8" s="31"/>
      <c r="L8" s="165" t="s">
        <v>288</v>
      </c>
      <c r="M8" t="s">
        <v>375</v>
      </c>
      <c r="O8" s="187" t="s">
        <v>288</v>
      </c>
      <c r="P8" s="31" t="s">
        <v>375</v>
      </c>
      <c r="Q8" s="31" t="s">
        <v>376</v>
      </c>
      <c r="R8" s="8"/>
      <c r="S8" s="187" t="s">
        <v>288</v>
      </c>
      <c r="T8" s="31" t="s">
        <v>376</v>
      </c>
      <c r="U8" s="31" t="s">
        <v>409</v>
      </c>
      <c r="W8" s="187" t="s">
        <v>288</v>
      </c>
      <c r="X8" s="188"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15" t="s">
        <v>476</v>
      </c>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36"/>
      <c r="AD4" s="36"/>
    </row>
    <row r="5" spans="1:30">
      <c r="A5" s="30"/>
      <c r="B5" s="44"/>
      <c r="C5" s="184" t="s">
        <v>0</v>
      </c>
      <c r="D5" s="185" t="s">
        <v>16</v>
      </c>
      <c r="F5" s="32"/>
      <c r="G5" s="184" t="s">
        <v>0</v>
      </c>
      <c r="H5" s="185" t="s">
        <v>16</v>
      </c>
      <c r="I5" s="32"/>
      <c r="J5" s="184" t="s">
        <v>0</v>
      </c>
      <c r="K5" s="185" t="s">
        <v>16</v>
      </c>
      <c r="M5" s="184" t="s">
        <v>0</v>
      </c>
      <c r="N5" s="185" t="s">
        <v>16</v>
      </c>
      <c r="O5" s="228" t="s">
        <v>538</v>
      </c>
      <c r="P5" s="199"/>
      <c r="U5" s="184" t="s">
        <v>0</v>
      </c>
      <c r="V5" s="185" t="s">
        <v>16</v>
      </c>
      <c r="W5" s="228" t="s">
        <v>539</v>
      </c>
      <c r="X5" s="199"/>
      <c r="Y5" s="199"/>
      <c r="Z5" s="108"/>
      <c r="AA5" s="108"/>
    </row>
    <row r="6" spans="1:30">
      <c r="A6" s="30"/>
      <c r="B6" s="44"/>
      <c r="C6" s="184" t="s">
        <v>3</v>
      </c>
      <c r="D6" s="185" t="s">
        <v>401</v>
      </c>
      <c r="F6" s="32"/>
      <c r="G6" s="184" t="s">
        <v>3</v>
      </c>
      <c r="H6" s="185" t="s">
        <v>144</v>
      </c>
      <c r="I6" s="32"/>
      <c r="J6" s="184" t="s">
        <v>3</v>
      </c>
      <c r="K6" s="185" t="s">
        <v>402</v>
      </c>
      <c r="M6" s="184" t="s">
        <v>3</v>
      </c>
      <c r="N6" s="185" t="s">
        <v>302</v>
      </c>
      <c r="U6" s="184" t="s">
        <v>3</v>
      </c>
      <c r="V6" s="185" t="s">
        <v>302</v>
      </c>
      <c r="W6" s="108"/>
      <c r="X6" s="108"/>
      <c r="Y6" s="108"/>
      <c r="Z6" s="108"/>
      <c r="AA6" s="108"/>
    </row>
    <row r="7" spans="1:30">
      <c r="A7" s="30"/>
      <c r="B7" s="44"/>
      <c r="M7" s="106"/>
      <c r="N7" s="106"/>
      <c r="U7" s="108"/>
      <c r="V7" s="108"/>
      <c r="W7" s="108"/>
      <c r="X7" s="108"/>
      <c r="Y7" s="108"/>
      <c r="Z7" s="108"/>
      <c r="AA7" s="108"/>
    </row>
    <row r="8" spans="1:30">
      <c r="A8" s="24" t="s">
        <v>682</v>
      </c>
      <c r="B8" s="45" t="s">
        <v>296</v>
      </c>
      <c r="C8" s="184" t="s">
        <v>288</v>
      </c>
      <c r="D8" s="185" t="s">
        <v>329</v>
      </c>
      <c r="E8" s="185" t="s">
        <v>241</v>
      </c>
      <c r="G8" s="184" t="s">
        <v>288</v>
      </c>
      <c r="H8" t="s">
        <v>336</v>
      </c>
      <c r="J8" s="184" t="s">
        <v>288</v>
      </c>
      <c r="K8" t="s">
        <v>295</v>
      </c>
      <c r="M8" s="184" t="s">
        <v>288</v>
      </c>
      <c r="N8" s="185" t="s">
        <v>535</v>
      </c>
      <c r="O8" s="185" t="s">
        <v>536</v>
      </c>
      <c r="P8" s="185" t="s">
        <v>537</v>
      </c>
      <c r="Q8" s="185" t="s">
        <v>348</v>
      </c>
      <c r="R8" s="185" t="s">
        <v>241</v>
      </c>
      <c r="S8" s="185" t="s">
        <v>523</v>
      </c>
      <c r="U8" s="184" t="s">
        <v>288</v>
      </c>
      <c r="V8" s="185" t="s">
        <v>540</v>
      </c>
      <c r="W8" s="185" t="s">
        <v>536</v>
      </c>
      <c r="X8" s="185" t="s">
        <v>541</v>
      </c>
      <c r="Y8" s="185" t="s">
        <v>537</v>
      </c>
      <c r="Z8" s="185" t="s">
        <v>348</v>
      </c>
      <c r="AA8" s="185" t="s">
        <v>241</v>
      </c>
      <c r="AB8" s="185" t="s">
        <v>523</v>
      </c>
    </row>
    <row r="9" spans="1:30">
      <c r="A9" s="28" t="str">
        <f>INDEX('OS-Machine Info'!$B:$B,MATCH(C9,'OS-Machine Info'!$A:$A,0))</f>
        <v>TestDC</v>
      </c>
      <c r="B9" s="46" t="str">
        <f>INDEX('OS-Machine Info'!$X:X,MATCH(C9,'OS-Machine Info'!$A:$A,0))</f>
        <v>GC-CMS</v>
      </c>
      <c r="C9" s="4" t="s">
        <v>48</v>
      </c>
      <c r="D9" s="5">
        <v>396</v>
      </c>
      <c r="E9" s="5">
        <v>396</v>
      </c>
      <c r="F9" s="5"/>
      <c r="G9" s="4" t="s">
        <v>48</v>
      </c>
      <c r="H9" s="185">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5">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15" t="s">
        <v>293</v>
      </c>
      <c r="D4" s="218"/>
      <c r="E4" s="218"/>
      <c r="F4" s="218"/>
      <c r="G4" s="218"/>
      <c r="H4" s="218"/>
      <c r="I4" s="218"/>
      <c r="J4" s="218"/>
      <c r="K4" s="218"/>
      <c r="L4" s="218"/>
      <c r="M4" s="218"/>
    </row>
    <row r="5" spans="1:13">
      <c r="A5" s="30"/>
      <c r="B5" s="44"/>
      <c r="C5" s="184" t="s">
        <v>0</v>
      </c>
      <c r="D5" s="185" t="s">
        <v>16</v>
      </c>
      <c r="E5" s="32"/>
      <c r="F5" s="184" t="s">
        <v>0</v>
      </c>
      <c r="G5" s="185" t="s">
        <v>16</v>
      </c>
      <c r="H5" s="32"/>
      <c r="I5" s="184" t="s">
        <v>0</v>
      </c>
      <c r="J5" s="185" t="s">
        <v>16</v>
      </c>
      <c r="L5" s="184" t="s">
        <v>0</v>
      </c>
      <c r="M5" s="185" t="s">
        <v>16</v>
      </c>
    </row>
    <row r="6" spans="1:13">
      <c r="A6" s="30"/>
      <c r="B6" s="44"/>
      <c r="C6" s="184" t="s">
        <v>3</v>
      </c>
      <c r="D6" s="185" t="s">
        <v>342</v>
      </c>
      <c r="E6" s="32"/>
      <c r="F6" s="184" t="s">
        <v>3</v>
      </c>
      <c r="G6" s="185" t="s">
        <v>423</v>
      </c>
      <c r="H6" s="32"/>
      <c r="I6" s="184" t="s">
        <v>3</v>
      </c>
      <c r="J6" s="185" t="s">
        <v>451</v>
      </c>
      <c r="L6" s="184" t="s">
        <v>3</v>
      </c>
      <c r="M6" s="185" t="s">
        <v>426</v>
      </c>
    </row>
    <row r="7" spans="1:13">
      <c r="A7" s="30"/>
      <c r="B7" s="44"/>
      <c r="C7" s="56"/>
      <c r="D7" s="56"/>
      <c r="F7" s="81"/>
      <c r="G7" s="81"/>
      <c r="I7" s="84"/>
      <c r="J7" s="84"/>
      <c r="L7" s="89"/>
      <c r="M7" s="89"/>
    </row>
    <row r="8" spans="1:13">
      <c r="A8" s="24" t="s">
        <v>682</v>
      </c>
      <c r="B8" s="45" t="s">
        <v>296</v>
      </c>
      <c r="C8" s="184" t="s">
        <v>288</v>
      </c>
      <c r="D8" t="s">
        <v>467</v>
      </c>
      <c r="F8" s="184" t="s">
        <v>288</v>
      </c>
      <c r="G8" t="s">
        <v>468</v>
      </c>
      <c r="I8" s="184" t="s">
        <v>288</v>
      </c>
      <c r="J8" t="s">
        <v>470</v>
      </c>
      <c r="L8" s="184" t="s">
        <v>288</v>
      </c>
      <c r="M8" t="s">
        <v>469</v>
      </c>
    </row>
    <row r="9" spans="1:13">
      <c r="A9" s="28" t="str">
        <f>INDEX('OS-Machine Info'!$B:$B,MATCH(C9,'OS-Machine Info'!$A:$A,0))</f>
        <v>TestDC</v>
      </c>
      <c r="B9" s="46" t="str">
        <f>INDEX('OS-Machine Info'!$X:X,MATCH(C9,'OS-Machine Info'!$A:$A,0))</f>
        <v>GC-CMS</v>
      </c>
      <c r="C9" s="4" t="s">
        <v>48</v>
      </c>
      <c r="D9" s="185">
        <v>2</v>
      </c>
      <c r="E9" s="5"/>
      <c r="F9" s="4" t="s">
        <v>48</v>
      </c>
      <c r="G9" s="185">
        <v>1</v>
      </c>
      <c r="H9" s="5"/>
      <c r="I9" s="4" t="s">
        <v>48</v>
      </c>
      <c r="J9" s="185">
        <v>3</v>
      </c>
      <c r="L9" s="4" t="s">
        <v>48</v>
      </c>
      <c r="M9" s="185">
        <v>1</v>
      </c>
    </row>
    <row r="10" spans="1:13">
      <c r="C10" s="4" t="s">
        <v>17</v>
      </c>
      <c r="D10" s="185">
        <v>2</v>
      </c>
      <c r="E10" s="5"/>
      <c r="F10" s="4" t="s">
        <v>17</v>
      </c>
      <c r="G10" s="185">
        <v>1</v>
      </c>
      <c r="H10" s="5"/>
      <c r="I10" s="4" t="s">
        <v>17</v>
      </c>
      <c r="J10" s="185">
        <v>3</v>
      </c>
      <c r="L10" s="4" t="s">
        <v>17</v>
      </c>
      <c r="M10" s="185">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8.44140625" style="193" customWidth="1"/>
    <col min="8" max="8" width="7.88671875" style="193" customWidth="1"/>
    <col min="9" max="9" width="7" style="145" customWidth="1"/>
    <col min="10" max="10" width="7" style="193" customWidth="1"/>
    <col min="11" max="11" width="16.44140625" style="145" customWidth="1"/>
    <col min="12" max="12" width="35.33203125" style="145" customWidth="1"/>
    <col min="13" max="13" width="8.44140625" style="193" customWidth="1"/>
    <col min="14" max="14" width="7.88671875" style="193" customWidth="1"/>
    <col min="15" max="15" width="7" style="193" customWidth="1"/>
    <col min="16" max="16" width="9.109375" style="145"/>
    <col min="17" max="17" width="16.44140625" style="145" customWidth="1"/>
    <col min="18" max="18" width="27.6640625" style="145" customWidth="1"/>
    <col min="19" max="19" width="7" style="193" customWidth="1"/>
    <col min="20" max="20" width="9.109375" style="145"/>
    <col min="21" max="21" width="16.44140625" style="145" customWidth="1"/>
    <col min="22" max="22" width="31.33203125" style="145" customWidth="1"/>
    <col min="23" max="23" width="23.109375" style="145" customWidth="1"/>
    <col min="24" max="24" width="9.109375" style="145"/>
    <col min="25" max="25" width="16.44140625" style="145" customWidth="1"/>
    <col min="26" max="26" width="27.88671875" style="145" customWidth="1"/>
    <col min="27" max="27" width="9.109375" style="145"/>
    <col min="28" max="28" width="16.44140625" style="145" customWidth="1"/>
    <col min="29" max="29" width="27.44140625" style="145" customWidth="1"/>
    <col min="30" max="30" width="9.109375" style="145"/>
    <col min="31" max="31" width="16.44140625" style="145" customWidth="1"/>
    <col min="32" max="32" width="31.77734375" style="145" customWidth="1"/>
    <col min="33" max="33" width="9.109375" style="145"/>
    <col min="34" max="34" width="16.44140625" style="145" customWidth="1"/>
    <col min="35" max="35" width="31.21875" style="145" customWidth="1"/>
    <col min="36" max="16384" width="9.109375" style="145"/>
  </cols>
  <sheetData>
    <row r="1" spans="1:35" s="30" customFormat="1"/>
    <row r="2" spans="1:35" s="30" customFormat="1">
      <c r="B2" s="215" t="s">
        <v>293</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row>
    <row r="3" spans="1:35">
      <c r="A3" s="29"/>
      <c r="B3"/>
      <c r="C3"/>
      <c r="E3"/>
      <c r="F3"/>
      <c r="K3"/>
      <c r="L3"/>
      <c r="Q3"/>
      <c r="R3"/>
      <c r="U3"/>
      <c r="V3"/>
      <c r="W3" s="32"/>
      <c r="X3" s="32"/>
      <c r="Y3"/>
      <c r="Z3"/>
      <c r="AA3" s="32"/>
      <c r="AB3"/>
      <c r="AC3"/>
      <c r="AE3"/>
      <c r="AF3"/>
      <c r="AH3"/>
      <c r="AI3"/>
    </row>
    <row r="4" spans="1:35">
      <c r="A4" s="29"/>
      <c r="B4" s="187" t="s">
        <v>0</v>
      </c>
      <c r="C4" s="188" t="s">
        <v>16</v>
      </c>
      <c r="E4" s="192" t="s">
        <v>0</v>
      </c>
      <c r="F4" s="193" t="s">
        <v>16</v>
      </c>
      <c r="K4" s="192" t="s">
        <v>0</v>
      </c>
      <c r="L4" s="193" t="s">
        <v>16</v>
      </c>
      <c r="Q4" s="192" t="s">
        <v>0</v>
      </c>
      <c r="R4" s="193" t="s">
        <v>16</v>
      </c>
      <c r="U4" s="187" t="s">
        <v>0</v>
      </c>
      <c r="V4" s="188" t="s">
        <v>16</v>
      </c>
      <c r="W4" s="32"/>
      <c r="X4" s="32"/>
      <c r="Y4" s="187" t="s">
        <v>0</v>
      </c>
      <c r="Z4" s="188" t="s">
        <v>16</v>
      </c>
      <c r="AA4" s="32"/>
      <c r="AB4" s="187" t="s">
        <v>0</v>
      </c>
      <c r="AC4" s="188" t="s">
        <v>16</v>
      </c>
      <c r="AE4" s="187" t="s">
        <v>0</v>
      </c>
      <c r="AF4" s="188" t="s">
        <v>16</v>
      </c>
      <c r="AH4" s="187" t="s">
        <v>0</v>
      </c>
      <c r="AI4" s="188" t="s">
        <v>16</v>
      </c>
    </row>
    <row r="5" spans="1:35">
      <c r="A5" s="29"/>
      <c r="B5" s="187" t="s">
        <v>3</v>
      </c>
      <c r="C5" s="188" t="s">
        <v>637</v>
      </c>
      <c r="E5" s="192" t="s">
        <v>3</v>
      </c>
      <c r="F5" s="193" t="s">
        <v>638</v>
      </c>
      <c r="K5" s="192" t="s">
        <v>3</v>
      </c>
      <c r="L5" s="193" t="s">
        <v>640</v>
      </c>
      <c r="Q5" s="192" t="s">
        <v>3</v>
      </c>
      <c r="R5" s="193" t="s">
        <v>639</v>
      </c>
      <c r="U5" s="187" t="s">
        <v>3</v>
      </c>
      <c r="V5" s="188" t="s">
        <v>634</v>
      </c>
      <c r="Y5" s="187" t="s">
        <v>3</v>
      </c>
      <c r="Z5" s="188" t="s">
        <v>635</v>
      </c>
      <c r="AB5" s="187" t="s">
        <v>3</v>
      </c>
      <c r="AC5" s="188" t="s">
        <v>645</v>
      </c>
      <c r="AE5" s="187" t="s">
        <v>3</v>
      </c>
      <c r="AF5" s="188" t="s">
        <v>642</v>
      </c>
      <c r="AH5" s="187" t="s">
        <v>3</v>
      </c>
      <c r="AI5" s="188" t="s">
        <v>644</v>
      </c>
    </row>
    <row r="6" spans="1:35">
      <c r="A6" s="29"/>
    </row>
    <row r="7" spans="1:35">
      <c r="A7" s="24" t="s">
        <v>93</v>
      </c>
      <c r="B7" s="187" t="s">
        <v>722</v>
      </c>
      <c r="C7" t="s">
        <v>287</v>
      </c>
      <c r="E7" s="192" t="s">
        <v>722</v>
      </c>
      <c r="F7" s="193" t="s">
        <v>647</v>
      </c>
      <c r="G7" s="193" t="s">
        <v>810</v>
      </c>
      <c r="H7" s="193" t="s">
        <v>241</v>
      </c>
      <c r="I7" s="193" t="s">
        <v>523</v>
      </c>
      <c r="K7" s="192" t="s">
        <v>722</v>
      </c>
      <c r="L7" s="193" t="s">
        <v>648</v>
      </c>
      <c r="M7" s="193" t="s">
        <v>809</v>
      </c>
      <c r="N7" s="193" t="s">
        <v>241</v>
      </c>
      <c r="O7" s="193" t="s">
        <v>523</v>
      </c>
      <c r="Q7" s="192" t="s">
        <v>722</v>
      </c>
      <c r="R7" s="193" t="s">
        <v>299</v>
      </c>
      <c r="S7" s="193" t="s">
        <v>523</v>
      </c>
      <c r="U7" s="187" t="s">
        <v>722</v>
      </c>
      <c r="V7" s="188" t="s">
        <v>332</v>
      </c>
      <c r="W7" s="188" t="s">
        <v>405</v>
      </c>
      <c r="Y7" s="187" t="s">
        <v>722</v>
      </c>
      <c r="Z7" t="s">
        <v>295</v>
      </c>
      <c r="AB7" s="187" t="s">
        <v>722</v>
      </c>
      <c r="AC7" t="s">
        <v>649</v>
      </c>
      <c r="AE7" s="187" t="s">
        <v>722</v>
      </c>
      <c r="AF7" t="s">
        <v>650</v>
      </c>
      <c r="AH7" s="187" t="s">
        <v>722</v>
      </c>
      <c r="AI7" t="s">
        <v>651</v>
      </c>
    </row>
    <row r="8" spans="1:35">
      <c r="A8" s="23" t="e">
        <f>INDEX('DDL Tables'!$F:$F,MATCH(SUBSTITUTE(B8," (index)", ""),'DDL Tables'!$C:$C,0))</f>
        <v>#N/A</v>
      </c>
      <c r="B8" s="4" t="s">
        <v>47</v>
      </c>
      <c r="C8" s="5">
        <v>12</v>
      </c>
      <c r="E8" s="4" t="s">
        <v>47</v>
      </c>
      <c r="F8" s="103">
        <v>7.89</v>
      </c>
      <c r="G8" s="103">
        <v>7.89</v>
      </c>
      <c r="H8" s="103">
        <v>7.89</v>
      </c>
      <c r="I8" s="103">
        <v>0</v>
      </c>
      <c r="J8" s="103"/>
      <c r="K8" s="4" t="s">
        <v>47</v>
      </c>
      <c r="L8" s="103">
        <v>1.23</v>
      </c>
      <c r="M8" s="103">
        <v>1.23</v>
      </c>
      <c r="N8" s="103">
        <v>1.23</v>
      </c>
      <c r="O8" s="103">
        <v>0</v>
      </c>
      <c r="Q8" s="4" t="s">
        <v>47</v>
      </c>
      <c r="R8" s="103">
        <v>3.45</v>
      </c>
      <c r="S8" s="103">
        <v>0</v>
      </c>
      <c r="U8" s="4" t="s">
        <v>47</v>
      </c>
      <c r="V8" s="5">
        <v>123</v>
      </c>
      <c r="W8" s="5">
        <v>0</v>
      </c>
      <c r="Y8" s="4" t="s">
        <v>47</v>
      </c>
      <c r="Z8" s="5">
        <v>54</v>
      </c>
      <c r="AB8" s="4" t="s">
        <v>47</v>
      </c>
      <c r="AC8" s="103">
        <v>23.45</v>
      </c>
      <c r="AE8" s="4" t="s">
        <v>47</v>
      </c>
      <c r="AF8" s="103">
        <v>12.43</v>
      </c>
      <c r="AH8" s="4" t="s">
        <v>47</v>
      </c>
      <c r="AI8" s="103">
        <v>2.34</v>
      </c>
    </row>
    <row r="9" spans="1:35">
      <c r="B9" s="4" t="s">
        <v>17</v>
      </c>
      <c r="C9" s="5">
        <v>12</v>
      </c>
      <c r="E9" s="4" t="s">
        <v>17</v>
      </c>
      <c r="F9" s="103">
        <v>7.89</v>
      </c>
      <c r="G9" s="103">
        <v>7.89</v>
      </c>
      <c r="H9" s="103">
        <v>7.89</v>
      </c>
      <c r="I9" s="103">
        <v>0</v>
      </c>
      <c r="J9" s="103"/>
      <c r="K9" s="4" t="s">
        <v>17</v>
      </c>
      <c r="L9" s="103">
        <v>1.23</v>
      </c>
      <c r="M9" s="103">
        <v>1.23</v>
      </c>
      <c r="N9" s="103">
        <v>1.23</v>
      </c>
      <c r="O9" s="103">
        <v>0</v>
      </c>
      <c r="Q9" s="4" t="s">
        <v>17</v>
      </c>
      <c r="R9" s="103">
        <v>3.45</v>
      </c>
      <c r="S9" s="103">
        <v>0</v>
      </c>
      <c r="U9" s="4" t="s">
        <v>17</v>
      </c>
      <c r="V9" s="5">
        <v>123</v>
      </c>
      <c r="W9" s="5">
        <v>0</v>
      </c>
      <c r="Y9" s="4" t="s">
        <v>17</v>
      </c>
      <c r="Z9" s="5">
        <v>54</v>
      </c>
      <c r="AB9" s="4" t="s">
        <v>17</v>
      </c>
      <c r="AC9" s="103">
        <v>23.45</v>
      </c>
      <c r="AE9" s="4" t="s">
        <v>17</v>
      </c>
      <c r="AF9" s="103">
        <v>12.43</v>
      </c>
      <c r="AH9" s="4" t="s">
        <v>17</v>
      </c>
      <c r="AI9" s="103">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8.44140625" style="193" customWidth="1"/>
    <col min="9" max="9" width="7.88671875" style="193" customWidth="1"/>
    <col min="10" max="10" width="7" style="193" customWidth="1"/>
    <col min="11" max="11" width="9.109375" style="145"/>
    <col min="12" max="12" width="10.77734375" style="145" customWidth="1"/>
    <col min="13" max="13" width="35.33203125" style="145" customWidth="1"/>
    <col min="14" max="14" width="8.44140625" style="193" customWidth="1"/>
    <col min="15" max="15" width="7.88671875" style="193" customWidth="1"/>
    <col min="16" max="16" width="7" style="193" customWidth="1"/>
    <col min="17" max="17" width="9.109375" style="145"/>
    <col min="18" max="18" width="10.77734375" style="145" customWidth="1"/>
    <col min="19" max="19" width="27.6640625" style="145" customWidth="1"/>
    <col min="20" max="20" width="7" style="146" customWidth="1"/>
    <col min="21" max="21" width="9.109375" style="145"/>
    <col min="22" max="22" width="10.77734375" style="145" customWidth="1"/>
    <col min="23" max="23" width="31.33203125" style="145" customWidth="1"/>
    <col min="24" max="24" width="23.109375" style="145" customWidth="1"/>
    <col min="25" max="25" width="9.109375" style="145"/>
    <col min="26" max="26" width="10.77734375" style="145" customWidth="1"/>
    <col min="27" max="27" width="27.88671875" style="145" customWidth="1"/>
    <col min="28" max="28" width="9.109375" style="145"/>
    <col min="29" max="29" width="10.77734375" style="145" customWidth="1"/>
    <col min="30" max="30" width="27.44140625" style="145" customWidth="1"/>
    <col min="31" max="31" width="9.109375" style="145"/>
    <col min="32" max="32" width="10.77734375" style="145" customWidth="1"/>
    <col min="33" max="33" width="31.77734375" style="145" customWidth="1"/>
    <col min="34" max="34" width="9.109375" style="145"/>
    <col min="35" max="35" width="10.77734375" style="145" customWidth="1"/>
    <col min="36" max="36" width="28.21875" style="145" customWidth="1"/>
    <col min="37" max="37" width="23.77734375" style="145" customWidth="1"/>
    <col min="38" max="38" width="9.109375" style="145"/>
    <col min="39" max="39" width="10.77734375" style="145" bestFit="1" customWidth="1"/>
    <col min="40" max="40" width="21.109375" style="145" bestFit="1" customWidth="1"/>
    <col min="41" max="41" width="15.21875" style="145" customWidth="1"/>
    <col min="42" max="42" width="22.21875" style="145" customWidth="1"/>
    <col min="43" max="43" width="15.44140625" style="145" customWidth="1"/>
    <col min="44" max="44" width="10.77734375" style="145" bestFit="1" customWidth="1"/>
    <col min="45" max="45" width="19.44140625" style="145" customWidth="1"/>
    <col min="46" max="46" width="15.21875" style="145" customWidth="1"/>
    <col min="47" max="47" width="22.21875" style="145" bestFit="1" customWidth="1"/>
    <col min="48" max="48" width="15.44140625" style="145" customWidth="1"/>
    <col min="49" max="49" width="4.77734375" style="145" customWidth="1"/>
    <col min="50" max="50" width="10.77734375" style="145" bestFit="1" customWidth="1"/>
    <col min="51" max="51" width="29.77734375" style="145" customWidth="1"/>
    <col min="52" max="52" width="11.77734375" style="145" customWidth="1"/>
    <col min="53" max="53" width="18.77734375" style="145" customWidth="1"/>
    <col min="54" max="54" width="12" style="145" customWidth="1"/>
    <col min="55" max="55" width="10.77734375" style="145" bestFit="1" customWidth="1"/>
    <col min="56" max="56" width="28.109375" style="145" customWidth="1"/>
    <col min="57" max="57" width="11.77734375" style="145" customWidth="1"/>
    <col min="58" max="58" width="18.77734375" style="145" customWidth="1"/>
    <col min="59" max="59" width="12" style="145" customWidth="1"/>
    <col min="60" max="16384" width="9.109375" style="145"/>
  </cols>
  <sheetData>
    <row r="1" spans="1:59" s="30" customFormat="1">
      <c r="AX1" s="215"/>
      <c r="AY1" s="218"/>
      <c r="AZ1" s="218"/>
      <c r="BA1" s="218"/>
      <c r="BB1" s="218"/>
      <c r="BC1" s="215"/>
      <c r="BD1" s="218"/>
      <c r="BE1" s="218"/>
      <c r="BF1" s="218"/>
      <c r="BG1" s="218"/>
    </row>
    <row r="2" spans="1:59" s="30" customFormat="1">
      <c r="C2" s="215" t="s">
        <v>293</v>
      </c>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X2" s="215"/>
      <c r="AY2" s="218"/>
      <c r="AZ2" s="218"/>
      <c r="BA2" s="218"/>
      <c r="BB2" s="218"/>
      <c r="BC2" s="215"/>
      <c r="BD2" s="218"/>
      <c r="BE2" s="218"/>
      <c r="BF2" s="218"/>
      <c r="BG2" s="218"/>
    </row>
    <row r="3" spans="1:59" s="30" customFormat="1">
      <c r="C3" s="187" t="s">
        <v>0</v>
      </c>
      <c r="D3" s="188" t="s">
        <v>16</v>
      </c>
      <c r="E3" s="144"/>
      <c r="F3" s="192" t="s">
        <v>0</v>
      </c>
      <c r="G3" s="193" t="s">
        <v>16</v>
      </c>
      <c r="H3" s="193"/>
      <c r="I3" s="193"/>
      <c r="J3" s="193"/>
      <c r="K3" s="144"/>
      <c r="L3" s="192" t="s">
        <v>0</v>
      </c>
      <c r="M3" s="193" t="s">
        <v>16</v>
      </c>
      <c r="N3" s="193"/>
      <c r="O3" s="193"/>
      <c r="P3" s="193"/>
      <c r="Q3" s="144"/>
      <c r="R3" s="187" t="s">
        <v>0</v>
      </c>
      <c r="S3" s="188" t="s">
        <v>16</v>
      </c>
      <c r="T3" s="146"/>
      <c r="U3" s="144"/>
      <c r="V3" s="187" t="s">
        <v>0</v>
      </c>
      <c r="W3" s="188" t="s">
        <v>16</v>
      </c>
      <c r="X3" s="144"/>
      <c r="Y3" s="144"/>
      <c r="Z3" s="187" t="s">
        <v>0</v>
      </c>
      <c r="AA3" s="188" t="s">
        <v>16</v>
      </c>
      <c r="AB3" s="144"/>
      <c r="AC3" s="187" t="s">
        <v>0</v>
      </c>
      <c r="AD3" s="188" t="s">
        <v>16</v>
      </c>
      <c r="AE3" s="144"/>
      <c r="AF3" s="187" t="s">
        <v>0</v>
      </c>
      <c r="AG3" s="188" t="s">
        <v>16</v>
      </c>
      <c r="AH3" s="144"/>
      <c r="AI3" s="187" t="s">
        <v>0</v>
      </c>
      <c r="AJ3" s="188" t="s">
        <v>16</v>
      </c>
      <c r="AX3" s="215"/>
      <c r="AY3" s="218"/>
      <c r="AZ3" s="218"/>
      <c r="BA3" s="218"/>
      <c r="BB3" s="218"/>
      <c r="BC3" s="215"/>
      <c r="BD3" s="218"/>
      <c r="BE3" s="218"/>
      <c r="BF3" s="218"/>
      <c r="BG3" s="218"/>
    </row>
    <row r="4" spans="1:59">
      <c r="A4" s="30"/>
      <c r="B4" s="29"/>
      <c r="C4" s="187" t="s">
        <v>1</v>
      </c>
      <c r="D4" s="188" t="s">
        <v>16</v>
      </c>
      <c r="F4" s="192" t="s">
        <v>1</v>
      </c>
      <c r="G4" s="193" t="s">
        <v>16</v>
      </c>
      <c r="L4" s="192" t="s">
        <v>1</v>
      </c>
      <c r="M4" s="193" t="s">
        <v>16</v>
      </c>
      <c r="R4" s="187" t="s">
        <v>1</v>
      </c>
      <c r="S4" s="188" t="s">
        <v>16</v>
      </c>
      <c r="V4" s="187" t="s">
        <v>1</v>
      </c>
      <c r="W4" s="188" t="s">
        <v>16</v>
      </c>
      <c r="X4" s="32"/>
      <c r="Y4" s="32"/>
      <c r="Z4" s="187" t="s">
        <v>1</v>
      </c>
      <c r="AA4" s="188" t="s">
        <v>16</v>
      </c>
      <c r="AB4" s="32"/>
      <c r="AC4" s="187" t="s">
        <v>1</v>
      </c>
      <c r="AD4" s="188" t="s">
        <v>16</v>
      </c>
      <c r="AF4" s="187" t="s">
        <v>1</v>
      </c>
      <c r="AG4" s="188" t="s">
        <v>16</v>
      </c>
      <c r="AI4" s="187" t="s">
        <v>1</v>
      </c>
      <c r="AJ4" s="188" t="s">
        <v>16</v>
      </c>
      <c r="AM4" s="217" t="s">
        <v>437</v>
      </c>
      <c r="AN4" s="218"/>
      <c r="AO4" s="218"/>
      <c r="AP4" s="218"/>
      <c r="AQ4" s="218"/>
      <c r="AR4" s="218"/>
      <c r="AS4" s="218"/>
      <c r="AT4" s="218"/>
      <c r="AU4" s="218"/>
      <c r="AV4" s="218"/>
      <c r="AX4" s="215" t="s">
        <v>293</v>
      </c>
      <c r="AY4" s="218"/>
      <c r="AZ4" s="218"/>
      <c r="BA4" s="218"/>
      <c r="BB4" s="218"/>
      <c r="BC4" s="218"/>
      <c r="BD4" s="218"/>
      <c r="BE4" s="218"/>
      <c r="BF4" s="218"/>
      <c r="BG4" s="218"/>
    </row>
    <row r="5" spans="1:59">
      <c r="A5" s="30"/>
      <c r="B5" s="29"/>
      <c r="C5" s="187" t="s">
        <v>2</v>
      </c>
      <c r="D5" s="188" t="s">
        <v>16</v>
      </c>
      <c r="F5" s="192" t="s">
        <v>2</v>
      </c>
      <c r="G5" s="193" t="s">
        <v>16</v>
      </c>
      <c r="L5" s="192" t="s">
        <v>2</v>
      </c>
      <c r="M5" s="193" t="s">
        <v>16</v>
      </c>
      <c r="R5" s="187" t="s">
        <v>2</v>
      </c>
      <c r="S5" s="188" t="s">
        <v>16</v>
      </c>
      <c r="V5" s="187" t="s">
        <v>2</v>
      </c>
      <c r="W5" s="188" t="s">
        <v>16</v>
      </c>
      <c r="X5" s="32"/>
      <c r="Y5" s="32"/>
      <c r="Z5" s="187" t="s">
        <v>2</v>
      </c>
      <c r="AA5" s="188" t="s">
        <v>16</v>
      </c>
      <c r="AB5" s="32"/>
      <c r="AC5" s="187" t="s">
        <v>2</v>
      </c>
      <c r="AD5" s="188" t="s">
        <v>16</v>
      </c>
      <c r="AF5" s="187" t="s">
        <v>2</v>
      </c>
      <c r="AG5" s="188" t="s">
        <v>16</v>
      </c>
      <c r="AI5" s="187" t="s">
        <v>2</v>
      </c>
      <c r="AJ5" s="188" t="s">
        <v>16</v>
      </c>
      <c r="AM5" s="184" t="s">
        <v>0</v>
      </c>
      <c r="AN5" s="185" t="s">
        <v>16</v>
      </c>
      <c r="AO5" s="30"/>
      <c r="AP5" s="30"/>
      <c r="AQ5" s="30"/>
      <c r="AR5" s="184" t="s">
        <v>0</v>
      </c>
      <c r="AS5" s="185" t="s">
        <v>16</v>
      </c>
      <c r="AT5" s="30"/>
      <c r="AU5" s="30"/>
      <c r="AV5" s="30"/>
      <c r="AX5" s="184" t="s">
        <v>0</v>
      </c>
      <c r="AY5" s="185" t="s">
        <v>16</v>
      </c>
      <c r="AZ5" s="215"/>
      <c r="BA5" s="218"/>
      <c r="BB5" s="218"/>
      <c r="BC5" s="184" t="s">
        <v>0</v>
      </c>
      <c r="BD5" s="185" t="s">
        <v>16</v>
      </c>
      <c r="BE5" s="215"/>
      <c r="BF5" s="218"/>
      <c r="BG5" s="218"/>
    </row>
    <row r="6" spans="1:59">
      <c r="A6" s="30"/>
      <c r="B6" s="29"/>
      <c r="C6" s="187" t="s">
        <v>3</v>
      </c>
      <c r="D6" s="188" t="s">
        <v>637</v>
      </c>
      <c r="F6" s="192" t="s">
        <v>3</v>
      </c>
      <c r="G6" s="193" t="s">
        <v>638</v>
      </c>
      <c r="L6" s="192" t="s">
        <v>3</v>
      </c>
      <c r="M6" s="193" t="s">
        <v>640</v>
      </c>
      <c r="R6" s="187" t="s">
        <v>3</v>
      </c>
      <c r="S6" s="188" t="s">
        <v>639</v>
      </c>
      <c r="V6" s="187" t="s">
        <v>3</v>
      </c>
      <c r="W6" s="188" t="s">
        <v>634</v>
      </c>
      <c r="Z6" s="187" t="s">
        <v>3</v>
      </c>
      <c r="AA6" s="188" t="s">
        <v>635</v>
      </c>
      <c r="AC6" s="187" t="s">
        <v>3</v>
      </c>
      <c r="AD6" s="188" t="s">
        <v>645</v>
      </c>
      <c r="AF6" s="187" t="s">
        <v>3</v>
      </c>
      <c r="AG6" s="188" t="s">
        <v>642</v>
      </c>
      <c r="AI6" s="187" t="s">
        <v>3</v>
      </c>
      <c r="AJ6" s="188" t="s">
        <v>643</v>
      </c>
      <c r="AM6" s="184" t="s">
        <v>3</v>
      </c>
      <c r="AN6" s="185" t="s">
        <v>75</v>
      </c>
      <c r="AO6" s="171"/>
      <c r="AP6" s="171"/>
      <c r="AQ6" s="171"/>
      <c r="AR6" s="184" t="s">
        <v>3</v>
      </c>
      <c r="AS6" s="185" t="s">
        <v>76</v>
      </c>
      <c r="AT6" s="171"/>
      <c r="AU6" s="171"/>
      <c r="AV6" s="171"/>
      <c r="AX6" s="184" t="s">
        <v>3</v>
      </c>
      <c r="AY6" s="185" t="s">
        <v>193</v>
      </c>
      <c r="AZ6" s="215"/>
      <c r="BA6" s="218"/>
      <c r="BB6" s="218"/>
      <c r="BC6" s="184" t="s">
        <v>3</v>
      </c>
      <c r="BD6" s="185" t="s">
        <v>208</v>
      </c>
      <c r="BE6" s="215"/>
      <c r="BF6" s="218"/>
      <c r="BG6" s="218"/>
    </row>
    <row r="7" spans="1:59">
      <c r="A7" s="30"/>
      <c r="B7" s="29"/>
      <c r="AM7" s="171"/>
      <c r="AN7" s="171"/>
      <c r="AO7" s="171"/>
      <c r="AP7" s="171"/>
      <c r="AQ7" s="171"/>
      <c r="AR7" s="171"/>
      <c r="AS7" s="171"/>
      <c r="AT7" s="171"/>
      <c r="AU7" s="171"/>
      <c r="AV7" s="171"/>
      <c r="AX7" s="171"/>
      <c r="AY7" s="171"/>
      <c r="AZ7" s="215"/>
      <c r="BA7" s="218"/>
      <c r="BB7" s="218"/>
      <c r="BC7" s="171"/>
      <c r="BD7" s="171"/>
      <c r="BE7" s="215"/>
      <c r="BF7" s="218"/>
      <c r="BG7" s="218"/>
    </row>
    <row r="8" spans="1:59">
      <c r="A8" s="24" t="s">
        <v>682</v>
      </c>
      <c r="B8" s="24" t="s">
        <v>121</v>
      </c>
      <c r="C8" s="187" t="s">
        <v>288</v>
      </c>
      <c r="D8" t="s">
        <v>287</v>
      </c>
      <c r="F8" s="192" t="s">
        <v>288</v>
      </c>
      <c r="G8" s="193" t="s">
        <v>647</v>
      </c>
      <c r="H8" s="193" t="s">
        <v>810</v>
      </c>
      <c r="I8" s="193" t="s">
        <v>241</v>
      </c>
      <c r="J8" s="193" t="s">
        <v>523</v>
      </c>
      <c r="L8" s="192" t="s">
        <v>288</v>
      </c>
      <c r="M8" s="193" t="s">
        <v>648</v>
      </c>
      <c r="N8" s="193" t="s">
        <v>809</v>
      </c>
      <c r="O8" s="193" t="s">
        <v>241</v>
      </c>
      <c r="P8" s="193" t="s">
        <v>523</v>
      </c>
      <c r="R8" s="187" t="s">
        <v>288</v>
      </c>
      <c r="S8" s="188" t="s">
        <v>299</v>
      </c>
      <c r="T8" s="188" t="s">
        <v>523</v>
      </c>
      <c r="V8" s="187" t="s">
        <v>288</v>
      </c>
      <c r="W8" s="188" t="s">
        <v>332</v>
      </c>
      <c r="X8" s="188" t="s">
        <v>405</v>
      </c>
      <c r="Z8" s="187" t="s">
        <v>288</v>
      </c>
      <c r="AA8" t="s">
        <v>295</v>
      </c>
      <c r="AC8" s="187" t="s">
        <v>288</v>
      </c>
      <c r="AD8" t="s">
        <v>649</v>
      </c>
      <c r="AF8" s="187" t="s">
        <v>288</v>
      </c>
      <c r="AG8" t="s">
        <v>650</v>
      </c>
      <c r="AI8" s="187" t="s">
        <v>288</v>
      </c>
      <c r="AJ8" s="188" t="s">
        <v>652</v>
      </c>
      <c r="AK8" s="188" t="s">
        <v>653</v>
      </c>
      <c r="AM8" s="184" t="s">
        <v>288</v>
      </c>
      <c r="AN8" s="185" t="s">
        <v>732</v>
      </c>
      <c r="AO8" s="185" t="s">
        <v>733</v>
      </c>
      <c r="AP8" s="185" t="s">
        <v>734</v>
      </c>
      <c r="AQ8" s="185" t="s">
        <v>735</v>
      </c>
      <c r="AR8" s="184" t="s">
        <v>288</v>
      </c>
      <c r="AS8" s="185" t="s">
        <v>732</v>
      </c>
      <c r="AT8" s="185" t="s">
        <v>733</v>
      </c>
      <c r="AU8" s="185" t="s">
        <v>734</v>
      </c>
      <c r="AV8" s="185" t="s">
        <v>735</v>
      </c>
      <c r="AX8" s="184" t="s">
        <v>288</v>
      </c>
      <c r="AY8" s="185" t="s">
        <v>728</v>
      </c>
      <c r="AZ8" s="185" t="s">
        <v>729</v>
      </c>
      <c r="BA8" s="185" t="s">
        <v>730</v>
      </c>
      <c r="BB8" s="185" t="s">
        <v>731</v>
      </c>
      <c r="BC8" s="184" t="s">
        <v>288</v>
      </c>
      <c r="BD8" s="185" t="s">
        <v>728</v>
      </c>
      <c r="BE8" s="185" t="s">
        <v>729</v>
      </c>
      <c r="BF8" s="185" t="s">
        <v>730</v>
      </c>
      <c r="BG8" s="185" t="s">
        <v>731</v>
      </c>
    </row>
    <row r="9" spans="1:59">
      <c r="A9" s="28" t="str">
        <f>INDEX('OS-Machine Info'!$B:$B,MATCH(C9,'OS-Machine Info'!$A:$A,0))</f>
        <v>TestDC</v>
      </c>
      <c r="B9" s="49">
        <f>INDEX('Node Information'!$J:$J,MATCH(C9,'Node Information'!$A:$A,0))</f>
        <v>6.5428240740740704E-2</v>
      </c>
      <c r="C9" s="4" t="s">
        <v>48</v>
      </c>
      <c r="D9" s="5">
        <v>12</v>
      </c>
      <c r="F9" s="4" t="s">
        <v>48</v>
      </c>
      <c r="G9" s="103">
        <v>7.89</v>
      </c>
      <c r="H9" s="103">
        <v>7.89</v>
      </c>
      <c r="I9" s="103">
        <v>7.89</v>
      </c>
      <c r="J9" s="103">
        <v>0</v>
      </c>
      <c r="L9" s="4" t="s">
        <v>48</v>
      </c>
      <c r="M9" s="103">
        <v>1.23</v>
      </c>
      <c r="N9" s="103">
        <v>1.23</v>
      </c>
      <c r="O9" s="103">
        <v>1.23</v>
      </c>
      <c r="P9" s="103">
        <v>0</v>
      </c>
      <c r="R9" s="4" t="s">
        <v>48</v>
      </c>
      <c r="S9" s="103">
        <v>3.45</v>
      </c>
      <c r="T9" s="103">
        <v>0</v>
      </c>
      <c r="V9" s="4" t="s">
        <v>48</v>
      </c>
      <c r="W9" s="5">
        <v>123</v>
      </c>
      <c r="X9" s="5">
        <v>0</v>
      </c>
      <c r="Z9" s="4" t="s">
        <v>48</v>
      </c>
      <c r="AA9" s="5">
        <v>54</v>
      </c>
      <c r="AC9" s="4" t="s">
        <v>48</v>
      </c>
      <c r="AD9" s="103">
        <v>23.45</v>
      </c>
      <c r="AF9" s="4" t="s">
        <v>48</v>
      </c>
      <c r="AG9" s="103">
        <v>12.43</v>
      </c>
      <c r="AI9" s="4" t="s">
        <v>48</v>
      </c>
      <c r="AJ9" s="103">
        <v>5.67</v>
      </c>
      <c r="AK9" s="103">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103">
        <v>7.89</v>
      </c>
      <c r="H10" s="103">
        <v>7.89</v>
      </c>
      <c r="I10" s="103">
        <v>7.89</v>
      </c>
      <c r="J10" s="103">
        <v>0</v>
      </c>
      <c r="L10" s="4" t="s">
        <v>17</v>
      </c>
      <c r="M10" s="103">
        <v>1.23</v>
      </c>
      <c r="N10" s="103">
        <v>1.23</v>
      </c>
      <c r="O10" s="103">
        <v>1.23</v>
      </c>
      <c r="P10" s="103">
        <v>0</v>
      </c>
      <c r="R10" s="4" t="s">
        <v>17</v>
      </c>
      <c r="S10" s="103">
        <v>3.45</v>
      </c>
      <c r="T10" s="103">
        <v>0</v>
      </c>
      <c r="V10" s="4" t="s">
        <v>17</v>
      </c>
      <c r="W10" s="5">
        <v>123</v>
      </c>
      <c r="X10" s="5">
        <v>0</v>
      </c>
      <c r="Z10" s="4" t="s">
        <v>17</v>
      </c>
      <c r="AA10" s="5">
        <v>54</v>
      </c>
      <c r="AC10" s="4" t="s">
        <v>17</v>
      </c>
      <c r="AD10" s="103">
        <v>23.45</v>
      </c>
      <c r="AF10" s="4" t="s">
        <v>17</v>
      </c>
      <c r="AG10" s="103">
        <v>12.43</v>
      </c>
      <c r="AI10" s="4" t="s">
        <v>17</v>
      </c>
      <c r="AJ10" s="103">
        <v>5.67</v>
      </c>
      <c r="AK10" s="103">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93" customWidth="1"/>
    <col min="8" max="8" width="7.88671875" style="193" customWidth="1"/>
    <col min="9" max="9" width="7" style="193" customWidth="1"/>
    <col min="11" max="11" width="16.44140625" customWidth="1"/>
    <col min="12" max="12" width="41.33203125" customWidth="1"/>
    <col min="13" max="13" width="8.44140625" style="193" customWidth="1"/>
    <col min="14" max="14" width="7.88671875" style="193" customWidth="1"/>
    <col min="15" max="15" width="7" style="193" customWidth="1"/>
    <col min="17" max="17" width="16.44140625" customWidth="1"/>
    <col min="18" max="18" width="22.109375" customWidth="1"/>
    <col min="19" max="19" width="7" style="193" customWidth="1"/>
    <col min="21" max="21" width="16.44140625" customWidth="1"/>
    <col min="22" max="22" width="29.33203125" customWidth="1"/>
    <col min="23" max="23" width="23.109375" customWidth="1"/>
    <col min="25" max="25" width="16.44140625" customWidth="1"/>
    <col min="26" max="26" width="25.77734375" customWidth="1"/>
  </cols>
  <sheetData>
    <row r="1" spans="1:27" s="30" customFormat="1"/>
    <row r="2" spans="1:27" s="30" customFormat="1">
      <c r="B2" s="215" t="s">
        <v>293</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row>
    <row r="3" spans="1:27">
      <c r="A3" s="29"/>
      <c r="W3" s="32"/>
      <c r="X3" s="32"/>
      <c r="AA3" s="32"/>
    </row>
    <row r="4" spans="1:27">
      <c r="A4" s="29"/>
      <c r="B4" s="187" t="s">
        <v>0</v>
      </c>
      <c r="C4" s="188" t="s">
        <v>16</v>
      </c>
      <c r="E4" s="192" t="s">
        <v>0</v>
      </c>
      <c r="F4" s="193" t="s">
        <v>16</v>
      </c>
      <c r="K4" s="192" t="s">
        <v>0</v>
      </c>
      <c r="L4" s="193" t="s">
        <v>16</v>
      </c>
      <c r="Q4" s="192" t="s">
        <v>0</v>
      </c>
      <c r="R4" s="193" t="s">
        <v>16</v>
      </c>
      <c r="U4" s="187" t="s">
        <v>0</v>
      </c>
      <c r="V4" s="188" t="s">
        <v>16</v>
      </c>
      <c r="W4" s="32"/>
      <c r="X4" s="32"/>
      <c r="Y4" s="187" t="s">
        <v>0</v>
      </c>
      <c r="Z4" s="188" t="s">
        <v>16</v>
      </c>
      <c r="AA4" s="32"/>
    </row>
    <row r="5" spans="1:27">
      <c r="A5" s="29"/>
      <c r="B5" s="187" t="s">
        <v>3</v>
      </c>
      <c r="C5" s="188" t="s">
        <v>141</v>
      </c>
      <c r="E5" s="192" t="s">
        <v>3</v>
      </c>
      <c r="F5" s="193" t="s">
        <v>150</v>
      </c>
      <c r="K5" s="192" t="s">
        <v>3</v>
      </c>
      <c r="L5" s="193" t="s">
        <v>152</v>
      </c>
      <c r="Q5" s="192" t="s">
        <v>3</v>
      </c>
      <c r="R5" s="193" t="s">
        <v>153</v>
      </c>
      <c r="U5" s="187" t="s">
        <v>3</v>
      </c>
      <c r="V5" s="188" t="s">
        <v>403</v>
      </c>
      <c r="Y5" s="187" t="s">
        <v>3</v>
      </c>
      <c r="Z5" s="188" t="s">
        <v>404</v>
      </c>
    </row>
    <row r="6" spans="1:27">
      <c r="A6" s="29"/>
    </row>
    <row r="7" spans="1:27">
      <c r="A7" s="24" t="s">
        <v>93</v>
      </c>
      <c r="B7" s="187" t="s">
        <v>722</v>
      </c>
      <c r="C7" t="s">
        <v>287</v>
      </c>
      <c r="E7" s="192" t="s">
        <v>722</v>
      </c>
      <c r="F7" s="193" t="s">
        <v>297</v>
      </c>
      <c r="G7" s="193" t="s">
        <v>810</v>
      </c>
      <c r="H7" s="193" t="s">
        <v>241</v>
      </c>
      <c r="I7" s="193" t="s">
        <v>523</v>
      </c>
      <c r="K7" s="192" t="s">
        <v>722</v>
      </c>
      <c r="L7" s="193" t="s">
        <v>298</v>
      </c>
      <c r="M7" s="193" t="s">
        <v>809</v>
      </c>
      <c r="N7" s="193" t="s">
        <v>241</v>
      </c>
      <c r="O7" s="193" t="s">
        <v>523</v>
      </c>
      <c r="Q7" s="192" t="s">
        <v>722</v>
      </c>
      <c r="R7" s="193" t="s">
        <v>299</v>
      </c>
      <c r="S7" s="193" t="s">
        <v>523</v>
      </c>
      <c r="U7" s="187" t="s">
        <v>722</v>
      </c>
      <c r="V7" s="188" t="s">
        <v>332</v>
      </c>
      <c r="W7" s="188" t="s">
        <v>405</v>
      </c>
      <c r="Y7" s="187" t="s">
        <v>722</v>
      </c>
      <c r="Z7" t="s">
        <v>295</v>
      </c>
    </row>
    <row r="8" spans="1:27">
      <c r="A8" s="23" t="e">
        <f>INDEX('DDL Tables'!$F:$F,MATCH(SUBSTITUTE(B8," (index)", ""),'DDL Tables'!$C:$C,0))</f>
        <v>#N/A</v>
      </c>
      <c r="B8" s="4" t="s">
        <v>47</v>
      </c>
      <c r="C8" s="5">
        <v>107</v>
      </c>
      <c r="E8" s="4" t="s">
        <v>47</v>
      </c>
      <c r="F8" s="6">
        <v>4.5546290000000003</v>
      </c>
      <c r="G8" s="103">
        <v>0.191833</v>
      </c>
      <c r="H8" s="103">
        <v>2.3732310000000001</v>
      </c>
      <c r="I8" s="103">
        <v>2.1813980000000002</v>
      </c>
      <c r="K8" s="4" t="s">
        <v>47</v>
      </c>
      <c r="L8" s="6">
        <v>0.191833</v>
      </c>
      <c r="M8" s="103">
        <v>2.280383</v>
      </c>
      <c r="N8" s="103">
        <v>1.236108</v>
      </c>
      <c r="O8" s="103">
        <v>1.0442750000000001</v>
      </c>
      <c r="Q8" s="4" t="s">
        <v>47</v>
      </c>
      <c r="R8" s="6">
        <v>2.0372103500000001</v>
      </c>
      <c r="S8" s="103">
        <v>1.8453773499999999</v>
      </c>
      <c r="U8" s="4" t="s">
        <v>47</v>
      </c>
      <c r="V8" s="5">
        <v>21671</v>
      </c>
      <c r="W8" s="5">
        <v>0</v>
      </c>
      <c r="Y8" s="4" t="s">
        <v>47</v>
      </c>
      <c r="Z8" s="5">
        <v>14414</v>
      </c>
    </row>
    <row r="9" spans="1:27">
      <c r="B9" s="4" t="s">
        <v>17</v>
      </c>
      <c r="C9" s="5">
        <v>107</v>
      </c>
      <c r="E9" s="4" t="s">
        <v>17</v>
      </c>
      <c r="F9" s="6">
        <v>4.5546290000000003</v>
      </c>
      <c r="G9" s="103">
        <v>0.191833</v>
      </c>
      <c r="H9" s="103">
        <v>2.3732310000000001</v>
      </c>
      <c r="I9" s="103">
        <v>2.1813980000000002</v>
      </c>
      <c r="K9" s="4" t="s">
        <v>17</v>
      </c>
      <c r="L9" s="6">
        <v>0.191833</v>
      </c>
      <c r="M9" s="103">
        <v>2.280383</v>
      </c>
      <c r="N9" s="103">
        <v>1.236108</v>
      </c>
      <c r="O9" s="103">
        <v>1.0442750000000001</v>
      </c>
      <c r="Q9" s="4" t="s">
        <v>17</v>
      </c>
      <c r="R9" s="6">
        <v>2.0372103500000001</v>
      </c>
      <c r="S9" s="103">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8" max="8" width="8.44140625" style="193" customWidth="1"/>
    <col min="9" max="9" width="7.88671875" style="193" customWidth="1"/>
    <col min="10" max="10" width="7" style="193" customWidth="1"/>
    <col min="12" max="12" width="10.77734375" customWidth="1"/>
    <col min="13" max="13" width="41.33203125" customWidth="1"/>
    <col min="14" max="14" width="8.44140625" customWidth="1"/>
    <col min="15" max="15" width="7.88671875" style="193" customWidth="1"/>
    <col min="16" max="16" width="7" style="193" customWidth="1"/>
    <col min="17" max="17" width="5.5546875" style="193" customWidth="1"/>
    <col min="18" max="18" width="10.77734375" customWidth="1"/>
    <col min="19" max="19" width="22.109375" customWidth="1"/>
    <col min="20" max="20" width="7" style="193"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30" customFormat="1">
      <c r="AH1" s="171"/>
      <c r="AI1" s="215"/>
      <c r="AJ1" s="218"/>
      <c r="AK1" s="218"/>
      <c r="AL1" s="218"/>
      <c r="AM1" s="218"/>
    </row>
    <row r="2" spans="1:53">
      <c r="A2" s="30"/>
      <c r="B2" s="30"/>
      <c r="C2" s="215" t="s">
        <v>293</v>
      </c>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30"/>
      <c r="AD2" s="30"/>
      <c r="AE2" s="30"/>
      <c r="AF2" s="30"/>
      <c r="AG2" s="30"/>
      <c r="AH2" s="171"/>
      <c r="AI2" s="215"/>
      <c r="AJ2" s="218"/>
      <c r="AK2" s="218"/>
      <c r="AL2" s="218"/>
      <c r="AM2" s="218"/>
    </row>
    <row r="3" spans="1:53" s="30" customFormat="1">
      <c r="C3" s="187" t="s">
        <v>0</v>
      </c>
      <c r="D3" s="188" t="s">
        <v>16</v>
      </c>
      <c r="F3" s="192" t="s">
        <v>0</v>
      </c>
      <c r="G3" s="193" t="s">
        <v>16</v>
      </c>
      <c r="H3" s="193"/>
      <c r="I3" s="193"/>
      <c r="J3" s="193"/>
      <c r="L3" s="192" t="s">
        <v>0</v>
      </c>
      <c r="M3" s="193" t="s">
        <v>16</v>
      </c>
      <c r="R3" s="192" t="s">
        <v>0</v>
      </c>
      <c r="S3" s="193" t="s">
        <v>16</v>
      </c>
      <c r="T3" s="193"/>
      <c r="V3" s="187" t="s">
        <v>0</v>
      </c>
      <c r="W3" s="188" t="s">
        <v>16</v>
      </c>
      <c r="Z3" s="187" t="s">
        <v>0</v>
      </c>
      <c r="AA3" s="188" t="s">
        <v>16</v>
      </c>
      <c r="AH3" s="171"/>
      <c r="AI3" s="215"/>
      <c r="AJ3" s="218"/>
      <c r="AK3" s="218"/>
      <c r="AL3" s="218"/>
      <c r="AM3" s="218"/>
    </row>
    <row r="4" spans="1:53">
      <c r="A4" s="30"/>
      <c r="B4" s="29"/>
      <c r="C4" s="187" t="s">
        <v>1</v>
      </c>
      <c r="D4" s="188" t="s">
        <v>16</v>
      </c>
      <c r="F4" s="192" t="s">
        <v>1</v>
      </c>
      <c r="G4" s="193" t="s">
        <v>16</v>
      </c>
      <c r="L4" s="192" t="s">
        <v>1</v>
      </c>
      <c r="M4" s="193" t="s">
        <v>16</v>
      </c>
      <c r="R4" s="192" t="s">
        <v>1</v>
      </c>
      <c r="S4" s="193" t="s">
        <v>16</v>
      </c>
      <c r="V4" s="187" t="s">
        <v>1</v>
      </c>
      <c r="W4" s="188" t="s">
        <v>16</v>
      </c>
      <c r="X4" s="32"/>
      <c r="Y4" s="32"/>
      <c r="Z4" s="187" t="s">
        <v>1</v>
      </c>
      <c r="AA4" s="188" t="s">
        <v>16</v>
      </c>
      <c r="AB4" s="32"/>
      <c r="AC4" s="217" t="s">
        <v>437</v>
      </c>
      <c r="AD4" s="218"/>
      <c r="AE4" s="218"/>
      <c r="AF4" s="218"/>
      <c r="AG4" s="218"/>
      <c r="AH4" s="171"/>
      <c r="AI4" s="215" t="s">
        <v>293</v>
      </c>
      <c r="AJ4" s="218"/>
      <c r="AK4" s="218"/>
      <c r="AL4" s="218"/>
      <c r="AM4" s="218"/>
      <c r="AN4" s="172"/>
      <c r="AO4" s="172"/>
      <c r="AP4" s="172"/>
      <c r="AQ4" s="172"/>
      <c r="AR4" s="172"/>
      <c r="AS4" s="172"/>
      <c r="AT4" s="172"/>
      <c r="AU4" s="172"/>
      <c r="AV4" s="172"/>
      <c r="AW4" s="172"/>
      <c r="AX4" s="172"/>
      <c r="AY4" s="172"/>
      <c r="AZ4" s="172"/>
      <c r="BA4" s="172"/>
    </row>
    <row r="5" spans="1:53">
      <c r="A5" s="30"/>
      <c r="B5" s="29"/>
      <c r="C5" s="187" t="s">
        <v>2</v>
      </c>
      <c r="D5" s="188" t="s">
        <v>16</v>
      </c>
      <c r="F5" s="192" t="s">
        <v>2</v>
      </c>
      <c r="G5" s="193" t="s">
        <v>16</v>
      </c>
      <c r="L5" s="192" t="s">
        <v>2</v>
      </c>
      <c r="M5" s="193" t="s">
        <v>16</v>
      </c>
      <c r="R5" s="192" t="s">
        <v>2</v>
      </c>
      <c r="S5" s="193" t="s">
        <v>16</v>
      </c>
      <c r="V5" s="187" t="s">
        <v>2</v>
      </c>
      <c r="W5" s="188" t="s">
        <v>16</v>
      </c>
      <c r="X5" s="32"/>
      <c r="Y5" s="32"/>
      <c r="Z5" s="187" t="s">
        <v>2</v>
      </c>
      <c r="AA5" s="188" t="s">
        <v>16</v>
      </c>
      <c r="AB5" s="32"/>
      <c r="AC5" s="184" t="s">
        <v>0</v>
      </c>
      <c r="AD5" s="185" t="s">
        <v>16</v>
      </c>
      <c r="AE5" s="30"/>
      <c r="AF5" s="30"/>
      <c r="AG5" s="30"/>
      <c r="AI5" s="184" t="s">
        <v>0</v>
      </c>
      <c r="AJ5" s="185" t="s">
        <v>16</v>
      </c>
      <c r="AK5" s="215"/>
      <c r="AL5" s="218"/>
      <c r="AM5" s="218"/>
    </row>
    <row r="6" spans="1:53">
      <c r="A6" s="30"/>
      <c r="B6" s="29"/>
      <c r="C6" s="187" t="s">
        <v>3</v>
      </c>
      <c r="D6" s="188" t="s">
        <v>141</v>
      </c>
      <c r="F6" s="192" t="s">
        <v>3</v>
      </c>
      <c r="G6" s="193" t="s">
        <v>150</v>
      </c>
      <c r="L6" s="192" t="s">
        <v>3</v>
      </c>
      <c r="M6" s="193" t="s">
        <v>152</v>
      </c>
      <c r="R6" s="192" t="s">
        <v>3</v>
      </c>
      <c r="S6" s="193" t="s">
        <v>153</v>
      </c>
      <c r="V6" s="187" t="s">
        <v>3</v>
      </c>
      <c r="W6" s="188" t="s">
        <v>403</v>
      </c>
      <c r="Z6" s="187" t="s">
        <v>3</v>
      </c>
      <c r="AA6" s="188" t="s">
        <v>404</v>
      </c>
      <c r="AC6" s="184" t="s">
        <v>3</v>
      </c>
      <c r="AD6" s="185" t="s">
        <v>69</v>
      </c>
      <c r="AI6" s="184" t="s">
        <v>3</v>
      </c>
      <c r="AJ6" s="185" t="s">
        <v>213</v>
      </c>
      <c r="AK6" s="215"/>
      <c r="AL6" s="218"/>
      <c r="AM6" s="218"/>
    </row>
    <row r="7" spans="1:53">
      <c r="A7" s="30"/>
      <c r="B7" s="29"/>
      <c r="AC7" s="171"/>
      <c r="AD7" s="171"/>
      <c r="AI7" s="171"/>
      <c r="AJ7" s="171"/>
      <c r="AK7" s="215"/>
      <c r="AL7" s="218"/>
      <c r="AM7" s="218"/>
    </row>
    <row r="8" spans="1:53">
      <c r="A8" s="24" t="s">
        <v>682</v>
      </c>
      <c r="B8" s="24" t="s">
        <v>121</v>
      </c>
      <c r="C8" s="187" t="s">
        <v>288</v>
      </c>
      <c r="D8" t="s">
        <v>287</v>
      </c>
      <c r="F8" s="192" t="s">
        <v>288</v>
      </c>
      <c r="G8" s="193" t="s">
        <v>297</v>
      </c>
      <c r="H8" s="193" t="s">
        <v>810</v>
      </c>
      <c r="I8" s="193" t="s">
        <v>241</v>
      </c>
      <c r="J8" s="193" t="s">
        <v>523</v>
      </c>
      <c r="L8" s="192" t="s">
        <v>288</v>
      </c>
      <c r="M8" s="193" t="s">
        <v>298</v>
      </c>
      <c r="N8" s="193" t="s">
        <v>809</v>
      </c>
      <c r="O8" s="193" t="s">
        <v>241</v>
      </c>
      <c r="P8" s="193" t="s">
        <v>523</v>
      </c>
      <c r="R8" s="192" t="s">
        <v>288</v>
      </c>
      <c r="S8" s="193" t="s">
        <v>299</v>
      </c>
      <c r="T8" s="193" t="s">
        <v>523</v>
      </c>
      <c r="V8" s="187" t="s">
        <v>288</v>
      </c>
      <c r="W8" s="188" t="s">
        <v>332</v>
      </c>
      <c r="X8" s="188" t="s">
        <v>411</v>
      </c>
      <c r="Z8" s="187" t="s">
        <v>288</v>
      </c>
      <c r="AA8" t="s">
        <v>295</v>
      </c>
      <c r="AC8" s="184" t="s">
        <v>288</v>
      </c>
      <c r="AD8" s="185" t="s">
        <v>724</v>
      </c>
      <c r="AE8" s="185" t="s">
        <v>725</v>
      </c>
      <c r="AF8" s="185" t="s">
        <v>726</v>
      </c>
      <c r="AG8" s="185" t="s">
        <v>727</v>
      </c>
      <c r="AI8" s="184" t="s">
        <v>288</v>
      </c>
      <c r="AJ8" s="185" t="s">
        <v>728</v>
      </c>
      <c r="AK8" s="185" t="s">
        <v>729</v>
      </c>
      <c r="AL8" s="185" t="s">
        <v>730</v>
      </c>
      <c r="AM8" s="185" t="s">
        <v>731</v>
      </c>
    </row>
    <row r="9" spans="1:53">
      <c r="A9" s="28" t="str">
        <f>INDEX('OS-Machine Info'!$B:$B,MATCH(C9,'OS-Machine Info'!$A:$A,0))</f>
        <v>TestDC</v>
      </c>
      <c r="B9" s="49">
        <f>INDEX('Node Information'!$J:$J,MATCH(C9,'Node Information'!$A:$A,0))</f>
        <v>6.5428240740740704E-2</v>
      </c>
      <c r="C9" s="4" t="s">
        <v>48</v>
      </c>
      <c r="D9" s="5">
        <v>107</v>
      </c>
      <c r="F9" s="4" t="s">
        <v>48</v>
      </c>
      <c r="G9" s="6">
        <v>4.5546290000000003</v>
      </c>
      <c r="H9" s="103">
        <v>0.191833</v>
      </c>
      <c r="I9" s="103">
        <v>2.3732310000000001</v>
      </c>
      <c r="J9" s="103">
        <v>2.1813980000000002</v>
      </c>
      <c r="L9" s="4" t="s">
        <v>48</v>
      </c>
      <c r="M9" s="6">
        <v>0.191833</v>
      </c>
      <c r="N9" s="103">
        <v>2.280383</v>
      </c>
      <c r="O9" s="103">
        <v>1.236108</v>
      </c>
      <c r="P9" s="9">
        <v>1.0442750000000001</v>
      </c>
      <c r="R9" s="4" t="s">
        <v>48</v>
      </c>
      <c r="S9" s="6">
        <v>2.0372103500000001</v>
      </c>
      <c r="T9" s="103">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103">
        <v>0.191833</v>
      </c>
      <c r="I10" s="103">
        <v>2.3732310000000001</v>
      </c>
      <c r="J10" s="103">
        <v>2.1813980000000002</v>
      </c>
      <c r="L10" s="4" t="s">
        <v>17</v>
      </c>
      <c r="M10" s="6">
        <v>0.191833</v>
      </c>
      <c r="N10" s="103">
        <v>2.280383</v>
      </c>
      <c r="O10" s="103">
        <v>1.236108</v>
      </c>
      <c r="P10" s="9">
        <v>1.0442750000000001</v>
      </c>
      <c r="R10" s="4" t="s">
        <v>17</v>
      </c>
      <c r="S10" s="6">
        <v>2.0372103500000001</v>
      </c>
      <c r="T10" s="103">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15" t="s">
        <v>293</v>
      </c>
      <c r="C2" s="218"/>
      <c r="D2" s="218"/>
      <c r="E2" s="218"/>
      <c r="F2" s="218"/>
      <c r="G2" s="218"/>
      <c r="H2" s="218"/>
      <c r="I2" s="218"/>
      <c r="J2" s="218"/>
      <c r="K2" s="218"/>
      <c r="L2" s="218"/>
      <c r="M2" s="218"/>
      <c r="N2" s="218"/>
      <c r="O2" s="218"/>
      <c r="P2" s="218"/>
      <c r="Q2" s="218"/>
      <c r="R2" s="218"/>
      <c r="S2" s="218"/>
      <c r="T2" s="218"/>
      <c r="U2" s="218"/>
    </row>
    <row r="3" spans="1:21">
      <c r="A3" s="29"/>
      <c r="B3"/>
      <c r="C3"/>
      <c r="E3"/>
      <c r="F3"/>
      <c r="H3"/>
      <c r="I3"/>
      <c r="L3"/>
      <c r="M3"/>
      <c r="O3"/>
      <c r="P3"/>
      <c r="Q3" s="32"/>
      <c r="R3" s="32"/>
      <c r="U3" s="32"/>
    </row>
    <row r="4" spans="1:21">
      <c r="A4" s="29"/>
      <c r="B4" s="187" t="s">
        <v>0</v>
      </c>
      <c r="C4" s="188" t="s">
        <v>16</v>
      </c>
      <c r="E4" s="187" t="s">
        <v>0</v>
      </c>
      <c r="F4" s="188" t="s">
        <v>16</v>
      </c>
      <c r="H4" s="187" t="s">
        <v>0</v>
      </c>
      <c r="I4" s="188" t="s">
        <v>16</v>
      </c>
      <c r="L4" s="187" t="s">
        <v>0</v>
      </c>
      <c r="M4" s="188" t="s">
        <v>16</v>
      </c>
      <c r="O4" s="187" t="s">
        <v>0</v>
      </c>
      <c r="P4" s="188" t="s">
        <v>16</v>
      </c>
      <c r="Q4" s="32"/>
      <c r="R4" s="32"/>
      <c r="U4" s="32"/>
    </row>
    <row r="5" spans="1:21">
      <c r="A5" s="29"/>
      <c r="B5" s="187" t="s">
        <v>3</v>
      </c>
      <c r="C5" s="188" t="s">
        <v>613</v>
      </c>
      <c r="E5" s="187" t="s">
        <v>3</v>
      </c>
      <c r="F5" s="188" t="s">
        <v>610</v>
      </c>
      <c r="H5" s="187" t="s">
        <v>3</v>
      </c>
      <c r="I5" s="188" t="s">
        <v>611</v>
      </c>
      <c r="L5" s="187" t="s">
        <v>3</v>
      </c>
      <c r="M5" s="188" t="s">
        <v>612</v>
      </c>
      <c r="O5" s="187" t="s">
        <v>3</v>
      </c>
      <c r="P5" s="188" t="s">
        <v>614</v>
      </c>
    </row>
    <row r="6" spans="1:21">
      <c r="A6" s="29"/>
    </row>
    <row r="7" spans="1:21">
      <c r="A7" s="24" t="s">
        <v>93</v>
      </c>
      <c r="B7" s="187" t="s">
        <v>722</v>
      </c>
      <c r="C7" t="s">
        <v>287</v>
      </c>
      <c r="E7" s="187" t="s">
        <v>722</v>
      </c>
      <c r="F7" t="s">
        <v>615</v>
      </c>
      <c r="H7" s="187" t="s">
        <v>722</v>
      </c>
      <c r="I7" s="188" t="s">
        <v>616</v>
      </c>
      <c r="J7" s="188" t="s">
        <v>523</v>
      </c>
      <c r="L7" s="187" t="s">
        <v>722</v>
      </c>
      <c r="M7" t="s">
        <v>617</v>
      </c>
      <c r="O7" s="187" t="s">
        <v>722</v>
      </c>
      <c r="P7" s="188" t="s">
        <v>620</v>
      </c>
      <c r="Q7" s="188" t="s">
        <v>618</v>
      </c>
      <c r="R7" s="188" t="s">
        <v>619</v>
      </c>
      <c r="S7" s="188"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15" t="s">
        <v>293</v>
      </c>
      <c r="D2" s="218"/>
      <c r="E2" s="218"/>
      <c r="F2" s="218"/>
      <c r="G2" s="218"/>
      <c r="H2" s="218"/>
      <c r="I2" s="218"/>
      <c r="J2" s="218"/>
      <c r="K2" s="218"/>
      <c r="L2" s="218"/>
      <c r="M2" s="218"/>
      <c r="N2" s="218"/>
      <c r="O2" s="218"/>
      <c r="P2" s="218"/>
      <c r="Q2" s="218"/>
      <c r="R2" s="218"/>
      <c r="S2" s="218"/>
      <c r="T2" s="218"/>
      <c r="U2" s="218"/>
      <c r="V2" s="218"/>
    </row>
    <row r="3" spans="1:22" s="30" customFormat="1">
      <c r="C3" s="187" t="s">
        <v>0</v>
      </c>
      <c r="D3" s="188" t="s">
        <v>16</v>
      </c>
      <c r="F3" s="187" t="s">
        <v>0</v>
      </c>
      <c r="G3" s="188" t="s">
        <v>16</v>
      </c>
      <c r="H3" s="136"/>
      <c r="J3" s="187" t="s">
        <v>0</v>
      </c>
      <c r="K3" s="188" t="s">
        <v>16</v>
      </c>
      <c r="M3" s="187" t="s">
        <v>0</v>
      </c>
      <c r="N3" s="188" t="s">
        <v>16</v>
      </c>
      <c r="P3" s="187" t="s">
        <v>0</v>
      </c>
      <c r="Q3" s="188" t="s">
        <v>16</v>
      </c>
      <c r="T3" s="136"/>
      <c r="U3" s="136"/>
    </row>
    <row r="4" spans="1:22">
      <c r="A4" s="30"/>
      <c r="B4" s="29"/>
      <c r="C4" s="187" t="s">
        <v>1</v>
      </c>
      <c r="D4" s="188" t="s">
        <v>16</v>
      </c>
      <c r="F4" s="187" t="s">
        <v>1</v>
      </c>
      <c r="G4" s="188" t="s">
        <v>16</v>
      </c>
      <c r="J4" s="187" t="s">
        <v>1</v>
      </c>
      <c r="K4" s="188" t="s">
        <v>16</v>
      </c>
      <c r="M4" s="187" t="s">
        <v>1</v>
      </c>
      <c r="N4" s="188" t="s">
        <v>16</v>
      </c>
      <c r="P4" s="187" t="s">
        <v>1</v>
      </c>
      <c r="Q4" s="188" t="s">
        <v>16</v>
      </c>
      <c r="R4" s="32"/>
      <c r="S4" s="32"/>
      <c r="V4" s="32"/>
    </row>
    <row r="5" spans="1:22">
      <c r="A5" s="30"/>
      <c r="B5" s="29"/>
      <c r="C5" s="187" t="s">
        <v>2</v>
      </c>
      <c r="D5" s="188" t="s">
        <v>16</v>
      </c>
      <c r="F5" s="187" t="s">
        <v>2</v>
      </c>
      <c r="G5" s="188" t="s">
        <v>16</v>
      </c>
      <c r="J5" s="187" t="s">
        <v>2</v>
      </c>
      <c r="K5" s="188" t="s">
        <v>16</v>
      </c>
      <c r="M5" s="187" t="s">
        <v>2</v>
      </c>
      <c r="N5" s="188" t="s">
        <v>16</v>
      </c>
      <c r="P5" s="187" t="s">
        <v>2</v>
      </c>
      <c r="Q5" s="188" t="s">
        <v>16</v>
      </c>
      <c r="R5" s="32"/>
      <c r="S5" s="32"/>
      <c r="V5" s="32"/>
    </row>
    <row r="6" spans="1:22">
      <c r="A6" s="30"/>
      <c r="B6" s="29"/>
      <c r="C6" s="187" t="s">
        <v>3</v>
      </c>
      <c r="D6" s="188" t="s">
        <v>613</v>
      </c>
      <c r="F6" s="187" t="s">
        <v>3</v>
      </c>
      <c r="G6" s="188" t="s">
        <v>610</v>
      </c>
      <c r="J6" s="187" t="s">
        <v>3</v>
      </c>
      <c r="K6" s="188" t="s">
        <v>612</v>
      </c>
      <c r="M6" s="187" t="s">
        <v>3</v>
      </c>
      <c r="N6" s="188" t="s">
        <v>611</v>
      </c>
      <c r="P6" s="187" t="s">
        <v>3</v>
      </c>
      <c r="Q6" s="188" t="s">
        <v>614</v>
      </c>
    </row>
    <row r="7" spans="1:22">
      <c r="A7" s="30"/>
      <c r="B7" s="29"/>
    </row>
    <row r="8" spans="1:22">
      <c r="A8" s="24" t="s">
        <v>682</v>
      </c>
      <c r="B8" s="24" t="s">
        <v>121</v>
      </c>
      <c r="C8" s="187" t="s">
        <v>288</v>
      </c>
      <c r="D8" t="s">
        <v>287</v>
      </c>
      <c r="F8" s="187" t="s">
        <v>288</v>
      </c>
      <c r="G8" s="188" t="s">
        <v>622</v>
      </c>
      <c r="H8" s="188" t="s">
        <v>523</v>
      </c>
      <c r="J8" s="187" t="s">
        <v>288</v>
      </c>
      <c r="K8" t="s">
        <v>617</v>
      </c>
      <c r="M8" s="187" t="s">
        <v>288</v>
      </c>
      <c r="N8" t="s">
        <v>295</v>
      </c>
      <c r="P8" s="187" t="s">
        <v>288</v>
      </c>
      <c r="Q8" s="188" t="s">
        <v>623</v>
      </c>
      <c r="R8" s="188"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18"/>
      <c r="C4" s="218"/>
      <c r="D4" s="218"/>
      <c r="E4" s="218"/>
      <c r="F4" s="218"/>
      <c r="G4" s="218"/>
      <c r="H4" s="218"/>
      <c r="I4" s="147"/>
      <c r="J4" s="147"/>
    </row>
    <row r="5" spans="1:40">
      <c r="A5" s="30"/>
      <c r="B5" s="184" t="s">
        <v>0</v>
      </c>
      <c r="C5" s="185" t="s">
        <v>16</v>
      </c>
      <c r="D5" s="228"/>
      <c r="E5" s="199"/>
      <c r="J5" s="184" t="s">
        <v>0</v>
      </c>
      <c r="K5" s="185" t="s">
        <v>16</v>
      </c>
      <c r="L5" s="228"/>
      <c r="M5" s="199"/>
      <c r="P5" s="184" t="s">
        <v>0</v>
      </c>
      <c r="Q5" s="185" t="s">
        <v>16</v>
      </c>
      <c r="R5" s="228"/>
      <c r="S5" s="199"/>
      <c r="V5" s="184" t="s">
        <v>0</v>
      </c>
      <c r="W5" s="185" t="s">
        <v>16</v>
      </c>
      <c r="X5" s="228"/>
      <c r="Y5" s="199"/>
      <c r="AB5" s="184" t="s">
        <v>0</v>
      </c>
      <c r="AC5" s="185" t="s">
        <v>16</v>
      </c>
      <c r="AD5" s="228"/>
      <c r="AE5" s="199"/>
      <c r="AF5" s="184" t="s">
        <v>0</v>
      </c>
      <c r="AG5" s="185" t="s">
        <v>16</v>
      </c>
      <c r="AH5" s="157"/>
      <c r="AI5" s="184" t="s">
        <v>0</v>
      </c>
      <c r="AJ5" s="185" t="s">
        <v>16</v>
      </c>
      <c r="AK5" s="228"/>
      <c r="AL5" s="199"/>
      <c r="AM5" s="184" t="s">
        <v>0</v>
      </c>
      <c r="AN5" s="185" t="s">
        <v>16</v>
      </c>
    </row>
    <row r="6" spans="1:40">
      <c r="A6" s="30"/>
      <c r="B6" s="184" t="s">
        <v>3</v>
      </c>
      <c r="C6" s="185" t="s">
        <v>670</v>
      </c>
      <c r="J6" s="184" t="s">
        <v>3</v>
      </c>
      <c r="K6" s="185" t="s">
        <v>666</v>
      </c>
      <c r="P6" s="184" t="s">
        <v>3</v>
      </c>
      <c r="Q6" s="185" t="s">
        <v>667</v>
      </c>
      <c r="V6" s="184" t="s">
        <v>3</v>
      </c>
      <c r="W6" s="185" t="s">
        <v>668</v>
      </c>
      <c r="AB6" s="184" t="s">
        <v>3</v>
      </c>
      <c r="AC6" s="185" t="s">
        <v>683</v>
      </c>
      <c r="AD6" s="155"/>
      <c r="AE6" s="155"/>
      <c r="AF6" s="184" t="s">
        <v>3</v>
      </c>
      <c r="AG6" s="185" t="s">
        <v>685</v>
      </c>
      <c r="AH6" s="155"/>
      <c r="AI6" s="184" t="s">
        <v>3</v>
      </c>
      <c r="AJ6" s="185" t="s">
        <v>693</v>
      </c>
      <c r="AK6" s="156"/>
      <c r="AL6" s="156"/>
      <c r="AM6" s="184" t="s">
        <v>3</v>
      </c>
      <c r="AN6" s="185" t="s">
        <v>695</v>
      </c>
    </row>
    <row r="7" spans="1:40">
      <c r="A7" s="30"/>
      <c r="AB7" s="155"/>
      <c r="AC7" s="155"/>
      <c r="AD7" s="155"/>
      <c r="AE7" s="155"/>
      <c r="AF7" s="155"/>
      <c r="AG7" s="155"/>
      <c r="AH7" s="155"/>
      <c r="AI7" s="156"/>
      <c r="AJ7" s="156"/>
      <c r="AK7" s="156"/>
      <c r="AL7" s="156"/>
      <c r="AM7" s="156"/>
      <c r="AN7" s="156"/>
    </row>
    <row r="8" spans="1:40">
      <c r="A8" s="24" t="s">
        <v>682</v>
      </c>
      <c r="B8" s="184" t="s">
        <v>288</v>
      </c>
      <c r="C8" s="185" t="s">
        <v>671</v>
      </c>
      <c r="D8" s="185" t="s">
        <v>672</v>
      </c>
      <c r="E8" s="185" t="s">
        <v>675</v>
      </c>
      <c r="F8" s="185" t="s">
        <v>348</v>
      </c>
      <c r="G8" s="185" t="s">
        <v>241</v>
      </c>
      <c r="H8" s="185" t="s">
        <v>523</v>
      </c>
      <c r="J8" s="184" t="s">
        <v>288</v>
      </c>
      <c r="K8" s="185" t="s">
        <v>674</v>
      </c>
      <c r="L8" s="185" t="s">
        <v>348</v>
      </c>
      <c r="M8" s="185" t="s">
        <v>241</v>
      </c>
      <c r="N8" s="185" t="s">
        <v>523</v>
      </c>
      <c r="O8"/>
      <c r="P8" s="184" t="s">
        <v>288</v>
      </c>
      <c r="Q8" s="185" t="s">
        <v>676</v>
      </c>
      <c r="R8" s="185" t="s">
        <v>348</v>
      </c>
      <c r="S8" s="185" t="s">
        <v>241</v>
      </c>
      <c r="T8" s="185" t="s">
        <v>523</v>
      </c>
      <c r="V8" s="184" t="s">
        <v>288</v>
      </c>
      <c r="W8" s="185" t="s">
        <v>677</v>
      </c>
      <c r="X8" s="185" t="s">
        <v>348</v>
      </c>
      <c r="Y8" s="185" t="s">
        <v>241</v>
      </c>
      <c r="Z8" s="185" t="s">
        <v>523</v>
      </c>
      <c r="AB8" s="184" t="s">
        <v>288</v>
      </c>
      <c r="AC8" s="185" t="s">
        <v>690</v>
      </c>
      <c r="AD8" s="185" t="s">
        <v>332</v>
      </c>
      <c r="AE8"/>
      <c r="AF8" s="184" t="s">
        <v>288</v>
      </c>
      <c r="AG8" t="s">
        <v>691</v>
      </c>
      <c r="AH8"/>
      <c r="AI8" s="184" t="s">
        <v>288</v>
      </c>
      <c r="AJ8" s="185" t="s">
        <v>697</v>
      </c>
      <c r="AK8" s="185" t="s">
        <v>698</v>
      </c>
      <c r="AL8" s="156"/>
      <c r="AM8" s="184"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17" t="s">
        <v>437</v>
      </c>
      <c r="D4" s="217"/>
      <c r="E4" s="217"/>
      <c r="F4" s="217"/>
      <c r="G4" s="217"/>
      <c r="H4" s="217"/>
      <c r="I4" s="217"/>
      <c r="J4" s="217"/>
      <c r="K4" s="217"/>
      <c r="L4" s="217"/>
      <c r="M4" s="217"/>
      <c r="N4" s="217"/>
      <c r="O4" s="217"/>
      <c r="P4" s="217"/>
      <c r="Q4" s="217"/>
      <c r="R4" s="217"/>
      <c r="S4" s="217"/>
      <c r="U4" s="225" t="s">
        <v>293</v>
      </c>
      <c r="V4" s="225"/>
      <c r="W4" s="225"/>
      <c r="X4" s="225"/>
      <c r="Y4" s="225"/>
    </row>
    <row r="5" spans="1:25">
      <c r="A5" s="30"/>
      <c r="B5" s="44"/>
      <c r="C5" s="184" t="s">
        <v>0</v>
      </c>
      <c r="D5" s="185" t="s">
        <v>16</v>
      </c>
      <c r="F5" s="184" t="s">
        <v>0</v>
      </c>
      <c r="G5" s="185" t="s">
        <v>16</v>
      </c>
      <c r="I5" s="184" t="s">
        <v>0</v>
      </c>
      <c r="J5" s="185" t="s">
        <v>16</v>
      </c>
      <c r="L5" s="184" t="s">
        <v>0</v>
      </c>
      <c r="M5" s="185" t="s">
        <v>16</v>
      </c>
      <c r="O5" s="184" t="s">
        <v>0</v>
      </c>
      <c r="P5" s="185" t="s">
        <v>16</v>
      </c>
      <c r="R5" s="184" t="s">
        <v>0</v>
      </c>
      <c r="S5" s="185" t="s">
        <v>16</v>
      </c>
      <c r="U5" s="184" t="s">
        <v>0</v>
      </c>
      <c r="V5" s="185" t="s">
        <v>16</v>
      </c>
      <c r="W5" s="89"/>
      <c r="X5" s="184" t="s">
        <v>0</v>
      </c>
      <c r="Y5" s="185" t="s">
        <v>16</v>
      </c>
    </row>
    <row r="6" spans="1:25">
      <c r="A6" s="30"/>
      <c r="B6" s="44"/>
      <c r="C6" s="184" t="s">
        <v>3</v>
      </c>
      <c r="D6" s="185" t="s">
        <v>302</v>
      </c>
      <c r="F6" s="184" t="s">
        <v>3</v>
      </c>
      <c r="G6" s="185" t="s">
        <v>86</v>
      </c>
      <c r="I6" s="184" t="s">
        <v>3</v>
      </c>
      <c r="J6" s="185" t="s">
        <v>78</v>
      </c>
      <c r="L6" s="184" t="s">
        <v>3</v>
      </c>
      <c r="M6" s="185" t="s">
        <v>79</v>
      </c>
      <c r="O6" s="184" t="s">
        <v>3</v>
      </c>
      <c r="P6" s="185" t="s">
        <v>85</v>
      </c>
      <c r="R6" s="184" t="s">
        <v>3</v>
      </c>
      <c r="S6" s="185" t="s">
        <v>84</v>
      </c>
      <c r="U6" s="184" t="s">
        <v>3</v>
      </c>
      <c r="V6" s="185" t="s">
        <v>462</v>
      </c>
      <c r="W6" s="89"/>
      <c r="X6" s="184" t="s">
        <v>3</v>
      </c>
      <c r="Y6" s="185" t="s">
        <v>466</v>
      </c>
    </row>
    <row r="7" spans="1:25">
      <c r="A7" s="30"/>
      <c r="B7" s="44"/>
      <c r="U7" s="89"/>
      <c r="V7" s="89"/>
      <c r="W7" s="89"/>
      <c r="X7" s="89"/>
      <c r="Y7" s="89"/>
    </row>
    <row r="8" spans="1:25">
      <c r="A8" s="24" t="s">
        <v>682</v>
      </c>
      <c r="B8" s="24" t="s">
        <v>121</v>
      </c>
      <c r="C8" s="184" t="s">
        <v>288</v>
      </c>
      <c r="D8" t="s">
        <v>316</v>
      </c>
      <c r="F8" s="184" t="s">
        <v>288</v>
      </c>
      <c r="G8" t="s">
        <v>317</v>
      </c>
      <c r="I8" s="184" t="s">
        <v>288</v>
      </c>
      <c r="J8" t="s">
        <v>318</v>
      </c>
      <c r="L8" s="184" t="s">
        <v>288</v>
      </c>
      <c r="M8" t="s">
        <v>319</v>
      </c>
      <c r="O8" s="184" t="s">
        <v>288</v>
      </c>
      <c r="P8" t="s">
        <v>321</v>
      </c>
      <c r="R8" s="184" t="s">
        <v>288</v>
      </c>
      <c r="S8" t="s">
        <v>320</v>
      </c>
      <c r="U8" s="184" t="s">
        <v>288</v>
      </c>
      <c r="V8" t="s">
        <v>700</v>
      </c>
      <c r="W8" s="89"/>
      <c r="X8" s="184"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7" t="s">
        <v>0</v>
      </c>
      <c r="J3" s="188" t="s">
        <v>16</v>
      </c>
      <c r="L3" s="34"/>
      <c r="M3" s="34"/>
    </row>
    <row r="4" spans="1:13">
      <c r="A4" s="187" t="s">
        <v>0</v>
      </c>
      <c r="B4" s="188" t="s">
        <v>16</v>
      </c>
      <c r="D4" s="34"/>
      <c r="E4" s="34"/>
      <c r="F4" s="34"/>
      <c r="G4" s="153"/>
      <c r="H4" s="30"/>
      <c r="I4" s="187" t="s">
        <v>1</v>
      </c>
      <c r="J4" s="188" t="s">
        <v>16</v>
      </c>
      <c r="L4" s="34"/>
      <c r="M4" s="34"/>
    </row>
    <row r="5" spans="1:13">
      <c r="A5" s="187" t="s">
        <v>51</v>
      </c>
      <c r="B5" s="188" t="s">
        <v>16</v>
      </c>
      <c r="D5" s="34"/>
      <c r="E5" s="34"/>
      <c r="F5" s="34"/>
      <c r="G5" s="153"/>
      <c r="H5" s="30"/>
      <c r="I5" s="187" t="s">
        <v>3</v>
      </c>
      <c r="J5" s="188" t="s">
        <v>7</v>
      </c>
      <c r="L5" s="34"/>
      <c r="M5" s="34"/>
    </row>
    <row r="6" spans="1:13">
      <c r="A6" s="187" t="s">
        <v>3</v>
      </c>
      <c r="B6" s="188" t="s">
        <v>7</v>
      </c>
      <c r="D6" s="34"/>
      <c r="E6" s="34"/>
      <c r="F6" s="34"/>
      <c r="G6" s="153"/>
      <c r="H6" s="30"/>
      <c r="I6" s="187" t="s">
        <v>2</v>
      </c>
      <c r="J6" s="188" t="s">
        <v>16</v>
      </c>
      <c r="L6" s="34"/>
      <c r="M6" s="34"/>
    </row>
    <row r="7" spans="1:13">
      <c r="D7" s="34"/>
      <c r="E7" s="34"/>
      <c r="F7" s="34"/>
      <c r="G7" s="153"/>
      <c r="H7" s="30"/>
      <c r="L7" s="34"/>
      <c r="M7" s="34"/>
    </row>
    <row r="8" spans="1:13" ht="57.6">
      <c r="A8" s="187" t="s">
        <v>722</v>
      </c>
      <c r="B8" s="31" t="s">
        <v>20</v>
      </c>
      <c r="C8" s="31" t="s">
        <v>18</v>
      </c>
      <c r="E8" s="35" t="s">
        <v>147</v>
      </c>
      <c r="F8" s="35" t="s">
        <v>148</v>
      </c>
      <c r="G8" s="153"/>
      <c r="H8" s="24" t="s">
        <v>682</v>
      </c>
      <c r="I8" s="187"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21"/>
      <c r="J1" s="222"/>
      <c r="K1" s="218"/>
      <c r="L1" s="218"/>
      <c r="M1" s="218"/>
      <c r="N1" s="218"/>
      <c r="O1" s="218"/>
      <c r="P1" s="218"/>
      <c r="Q1" s="218"/>
      <c r="R1" s="218"/>
    </row>
    <row r="2" spans="1:24">
      <c r="A2" s="30"/>
      <c r="B2" s="44"/>
      <c r="C2" s="215" t="s">
        <v>438</v>
      </c>
      <c r="D2" s="218"/>
      <c r="E2" s="218"/>
      <c r="F2" s="218"/>
      <c r="G2" s="218"/>
      <c r="H2" s="131"/>
      <c r="I2" s="215" t="s">
        <v>438</v>
      </c>
      <c r="J2" s="218"/>
      <c r="K2" s="218"/>
      <c r="L2" s="218"/>
      <c r="M2" s="218"/>
      <c r="N2" s="151"/>
      <c r="O2" s="223" t="s">
        <v>679</v>
      </c>
      <c r="P2" s="224"/>
      <c r="Q2" s="224"/>
      <c r="R2" s="224"/>
      <c r="S2" s="224"/>
      <c r="T2" s="224"/>
      <c r="U2" s="224"/>
      <c r="V2" s="224"/>
      <c r="W2" s="224"/>
      <c r="X2" s="224"/>
    </row>
    <row r="3" spans="1:24">
      <c r="A3" s="30"/>
      <c r="B3" s="44"/>
      <c r="C3" s="184" t="s">
        <v>0</v>
      </c>
      <c r="D3" s="185" t="s">
        <v>16</v>
      </c>
      <c r="E3" s="131"/>
      <c r="F3" s="184" t="s">
        <v>0</v>
      </c>
      <c r="G3" s="185" t="s">
        <v>16</v>
      </c>
      <c r="H3" s="131"/>
      <c r="I3" s="184" t="s">
        <v>0</v>
      </c>
      <c r="J3" s="185" t="s">
        <v>16</v>
      </c>
      <c r="K3" s="150"/>
      <c r="L3" s="184" t="s">
        <v>0</v>
      </c>
      <c r="M3" s="185" t="s">
        <v>16</v>
      </c>
      <c r="N3" s="150"/>
      <c r="O3" s="184" t="s">
        <v>0</v>
      </c>
      <c r="P3" s="185" t="s">
        <v>16</v>
      </c>
      <c r="Q3" s="32"/>
      <c r="R3" s="150"/>
      <c r="S3" s="150"/>
      <c r="T3" s="32"/>
      <c r="U3" s="184" t="s">
        <v>0</v>
      </c>
      <c r="V3" s="185" t="s">
        <v>16</v>
      </c>
      <c r="W3" s="150"/>
      <c r="X3" s="150"/>
    </row>
    <row r="4" spans="1:24">
      <c r="A4" s="30"/>
      <c r="B4" s="44"/>
      <c r="C4" s="184" t="s">
        <v>3</v>
      </c>
      <c r="D4" s="185" t="s">
        <v>595</v>
      </c>
      <c r="E4" s="131"/>
      <c r="F4" s="184" t="s">
        <v>3</v>
      </c>
      <c r="G4" s="185" t="s">
        <v>591</v>
      </c>
      <c r="H4" s="131"/>
      <c r="I4" s="184" t="s">
        <v>3</v>
      </c>
      <c r="J4" s="185" t="s">
        <v>436</v>
      </c>
      <c r="K4" s="150"/>
      <c r="L4" s="184" t="s">
        <v>3</v>
      </c>
      <c r="M4" s="185" t="s">
        <v>432</v>
      </c>
      <c r="N4" s="150"/>
      <c r="O4" s="184" t="s">
        <v>3</v>
      </c>
      <c r="P4" s="185" t="s">
        <v>64</v>
      </c>
      <c r="Q4" s="32"/>
      <c r="R4" s="150"/>
      <c r="S4" s="150"/>
      <c r="T4" s="32"/>
      <c r="U4" s="184" t="s">
        <v>3</v>
      </c>
      <c r="V4" s="185"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184" t="s">
        <v>288</v>
      </c>
      <c r="D6" t="s">
        <v>596</v>
      </c>
      <c r="E6" s="131"/>
      <c r="F6" s="184" t="s">
        <v>288</v>
      </c>
      <c r="G6" t="s">
        <v>680</v>
      </c>
      <c r="H6" s="131"/>
      <c r="I6" s="184" t="s">
        <v>288</v>
      </c>
      <c r="J6" t="s">
        <v>439</v>
      </c>
      <c r="K6" s="150"/>
      <c r="L6" s="184" t="s">
        <v>288</v>
      </c>
      <c r="M6" t="s">
        <v>681</v>
      </c>
      <c r="N6" s="150"/>
      <c r="O6" s="184" t="s">
        <v>288</v>
      </c>
      <c r="P6" s="185" t="s">
        <v>304</v>
      </c>
      <c r="Q6" s="185" t="s">
        <v>407</v>
      </c>
      <c r="R6" s="185" t="s">
        <v>303</v>
      </c>
      <c r="S6" s="185" t="s">
        <v>406</v>
      </c>
      <c r="T6" s="150"/>
      <c r="U6" s="184" t="s">
        <v>288</v>
      </c>
      <c r="V6" s="185" t="s">
        <v>308</v>
      </c>
      <c r="W6" s="185" t="s">
        <v>309</v>
      </c>
      <c r="X6" s="185"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25" t="s">
        <v>445</v>
      </c>
      <c r="B2" s="216"/>
      <c r="C2" s="216"/>
      <c r="D2" s="216"/>
      <c r="E2" s="216"/>
      <c r="F2" s="216"/>
      <c r="G2" s="216"/>
      <c r="H2" s="226"/>
      <c r="J2" s="225" t="s">
        <v>446</v>
      </c>
      <c r="K2" s="216"/>
      <c r="L2" s="216"/>
      <c r="M2" s="216"/>
      <c r="N2" s="216"/>
      <c r="O2" s="216"/>
      <c r="P2" s="216"/>
      <c r="Q2" s="226"/>
    </row>
    <row r="3" spans="1:17">
      <c r="A3" s="58"/>
      <c r="B3" s="57"/>
      <c r="C3" s="57"/>
      <c r="D3" s="57"/>
      <c r="E3" s="57"/>
      <c r="F3" s="57"/>
      <c r="G3" s="57"/>
      <c r="H3" s="59"/>
      <c r="J3" s="91"/>
      <c r="K3" s="90"/>
      <c r="L3" s="90"/>
      <c r="M3" s="90"/>
      <c r="N3" s="90"/>
      <c r="O3" s="90"/>
      <c r="P3" s="90"/>
      <c r="Q3" s="92"/>
    </row>
    <row r="4" spans="1:17">
      <c r="C4" s="32"/>
      <c r="F4" s="32"/>
      <c r="L4" s="32"/>
      <c r="M4" s="187" t="s">
        <v>0</v>
      </c>
      <c r="N4" s="188" t="s">
        <v>16</v>
      </c>
      <c r="O4" s="32"/>
      <c r="P4" s="187" t="s">
        <v>0</v>
      </c>
      <c r="Q4" s="188" t="s">
        <v>16</v>
      </c>
    </row>
    <row r="5" spans="1:17">
      <c r="A5" s="187" t="s">
        <v>0</v>
      </c>
      <c r="B5" s="188" t="s">
        <v>16</v>
      </c>
      <c r="C5" s="32"/>
      <c r="D5" s="187" t="s">
        <v>0</v>
      </c>
      <c r="E5" s="188" t="s">
        <v>16</v>
      </c>
      <c r="F5" s="32"/>
      <c r="G5" s="187" t="s">
        <v>0</v>
      </c>
      <c r="H5" s="188" t="s">
        <v>16</v>
      </c>
      <c r="J5" s="187" t="s">
        <v>0</v>
      </c>
      <c r="K5" s="188" t="s">
        <v>16</v>
      </c>
      <c r="L5" s="32"/>
      <c r="M5" s="187" t="s">
        <v>1</v>
      </c>
      <c r="N5" s="188" t="s">
        <v>16</v>
      </c>
      <c r="O5" s="32"/>
      <c r="P5" s="187" t="s">
        <v>1</v>
      </c>
      <c r="Q5" s="188" t="s">
        <v>16</v>
      </c>
    </row>
    <row r="6" spans="1:17">
      <c r="A6" s="187" t="s">
        <v>3</v>
      </c>
      <c r="B6" s="188" t="s">
        <v>363</v>
      </c>
      <c r="C6" s="32"/>
      <c r="D6" s="187" t="s">
        <v>3</v>
      </c>
      <c r="E6" s="188" t="s">
        <v>360</v>
      </c>
      <c r="F6" s="32"/>
      <c r="G6" s="187" t="s">
        <v>3</v>
      </c>
      <c r="H6" s="188" t="s">
        <v>362</v>
      </c>
      <c r="J6" s="187" t="s">
        <v>3</v>
      </c>
      <c r="K6" s="188" t="s">
        <v>444</v>
      </c>
      <c r="L6" s="32"/>
      <c r="M6" s="187" t="s">
        <v>3</v>
      </c>
      <c r="N6" s="188" t="s">
        <v>440</v>
      </c>
      <c r="O6" s="32"/>
      <c r="P6" s="187" t="s">
        <v>3</v>
      </c>
      <c r="Q6" s="188" t="s">
        <v>442</v>
      </c>
    </row>
    <row r="7" spans="1:17">
      <c r="A7" s="56"/>
      <c r="B7" s="56"/>
      <c r="C7" s="56"/>
      <c r="D7" s="56"/>
      <c r="E7" s="56"/>
      <c r="F7" s="56"/>
      <c r="G7" s="56"/>
      <c r="H7" s="56"/>
      <c r="J7" s="89"/>
      <c r="K7" s="89"/>
      <c r="L7" s="89"/>
      <c r="M7" s="89"/>
      <c r="N7" s="89"/>
      <c r="O7" s="89"/>
      <c r="P7" s="89"/>
      <c r="Q7" s="89"/>
    </row>
    <row r="8" spans="1:17" ht="28.8">
      <c r="A8" s="187" t="s">
        <v>722</v>
      </c>
      <c r="B8" t="s">
        <v>287</v>
      </c>
      <c r="C8" s="56"/>
      <c r="D8" s="187" t="s">
        <v>722</v>
      </c>
      <c r="E8" s="31" t="s">
        <v>364</v>
      </c>
      <c r="F8" s="56"/>
      <c r="G8" s="187" t="s">
        <v>722</v>
      </c>
      <c r="H8" s="31" t="s">
        <v>365</v>
      </c>
      <c r="J8" s="187" t="s">
        <v>722</v>
      </c>
      <c r="K8" t="s">
        <v>471</v>
      </c>
      <c r="L8" s="89"/>
      <c r="M8" s="187" t="s">
        <v>288</v>
      </c>
      <c r="N8" s="31" t="s">
        <v>472</v>
      </c>
      <c r="O8" s="89"/>
      <c r="P8" s="187" t="s">
        <v>288</v>
      </c>
      <c r="Q8" s="31" t="s">
        <v>473</v>
      </c>
    </row>
    <row r="9" spans="1:17">
      <c r="A9" s="4" t="s">
        <v>47</v>
      </c>
      <c r="B9" s="188">
        <v>4</v>
      </c>
      <c r="C9" s="6"/>
      <c r="D9" s="4" t="s">
        <v>47</v>
      </c>
      <c r="E9" s="5">
        <v>2100</v>
      </c>
      <c r="F9" s="6"/>
      <c r="G9" s="4" t="s">
        <v>47</v>
      </c>
      <c r="H9" s="5">
        <v>1200</v>
      </c>
      <c r="J9" s="4" t="s">
        <v>47</v>
      </c>
      <c r="K9" s="188">
        <v>3</v>
      </c>
      <c r="L9" s="6"/>
      <c r="M9" s="4" t="s">
        <v>48</v>
      </c>
      <c r="N9" s="5">
        <v>12</v>
      </c>
      <c r="O9" s="6"/>
      <c r="P9" s="4" t="s">
        <v>48</v>
      </c>
      <c r="Q9" s="5">
        <v>4</v>
      </c>
    </row>
    <row r="10" spans="1:17">
      <c r="A10" s="4" t="s">
        <v>17</v>
      </c>
      <c r="B10" s="188">
        <v>4</v>
      </c>
      <c r="C10" s="6"/>
      <c r="D10" s="4" t="s">
        <v>17</v>
      </c>
      <c r="E10" s="5">
        <v>2100</v>
      </c>
      <c r="F10" s="6"/>
      <c r="G10" s="4" t="s">
        <v>17</v>
      </c>
      <c r="H10" s="5">
        <v>1200</v>
      </c>
      <c r="J10" s="4" t="s">
        <v>17</v>
      </c>
      <c r="K10" s="18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29" t="s">
        <v>399</v>
      </c>
      <c r="C1" s="218"/>
      <c r="D1" s="218"/>
      <c r="E1" s="218"/>
      <c r="F1" s="218"/>
      <c r="G1" s="218"/>
      <c r="H1" s="218"/>
      <c r="I1" s="218"/>
      <c r="J1" s="218"/>
      <c r="K1" s="218"/>
      <c r="L1" s="218"/>
      <c r="M1" s="218"/>
      <c r="N1" s="218"/>
      <c r="O1" s="218"/>
      <c r="P1" s="218"/>
      <c r="Q1" s="218"/>
      <c r="R1" s="218"/>
      <c r="S1" s="218"/>
      <c r="T1" s="218"/>
      <c r="U1" s="29"/>
      <c r="V1" s="229" t="s">
        <v>400</v>
      </c>
      <c r="W1" s="218"/>
      <c r="X1" s="218"/>
      <c r="Y1" s="218"/>
      <c r="Z1" s="218"/>
      <c r="AA1" s="218"/>
      <c r="AB1" s="218"/>
      <c r="AC1" s="218"/>
      <c r="AD1" s="218"/>
      <c r="AE1" s="218"/>
      <c r="AF1" s="218"/>
      <c r="AG1" s="218"/>
      <c r="AH1" s="218"/>
      <c r="AI1" s="218"/>
      <c r="AJ1" s="218"/>
      <c r="AK1" s="218"/>
      <c r="AL1" s="218"/>
      <c r="AM1" s="218"/>
      <c r="AN1" s="218"/>
    </row>
    <row r="2" spans="1:40" s="56" customFormat="1">
      <c r="A2" s="67"/>
      <c r="B2" s="229"/>
      <c r="C2" s="218"/>
      <c r="D2" s="218"/>
      <c r="E2" s="218"/>
      <c r="F2" s="218"/>
      <c r="G2" s="218"/>
      <c r="H2" s="218"/>
      <c r="I2" s="218"/>
      <c r="J2" s="218"/>
      <c r="K2" s="218"/>
      <c r="L2" s="218"/>
      <c r="M2" s="218"/>
      <c r="N2" s="218"/>
      <c r="O2" s="218"/>
      <c r="P2" s="218"/>
      <c r="Q2" s="218"/>
      <c r="R2" s="218"/>
      <c r="S2" s="218"/>
      <c r="T2" s="218"/>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15" t="s">
        <v>500</v>
      </c>
      <c r="B1" s="218"/>
      <c r="C1" s="218"/>
      <c r="D1" s="218"/>
      <c r="E1" s="218"/>
      <c r="F1" s="218"/>
      <c r="G1" s="218"/>
      <c r="H1" s="218"/>
      <c r="I1" s="218"/>
      <c r="J1" s="218"/>
    </row>
    <row r="2" spans="1:10">
      <c r="A2" s="96"/>
      <c r="B2" s="96"/>
      <c r="C2" s="96"/>
      <c r="D2" s="152"/>
      <c r="E2" s="96"/>
      <c r="F2" s="96"/>
      <c r="G2" s="96"/>
      <c r="H2" s="96"/>
      <c r="I2" s="196" t="s">
        <v>413</v>
      </c>
      <c r="J2" s="197" t="s">
        <v>16</v>
      </c>
    </row>
    <row r="3" spans="1:10">
      <c r="A3" s="96"/>
      <c r="B3" s="96"/>
      <c r="C3" s="96"/>
      <c r="D3" s="30"/>
      <c r="E3" s="96"/>
      <c r="F3" s="96"/>
      <c r="G3" s="96"/>
      <c r="H3" s="96"/>
      <c r="I3" s="196" t="s">
        <v>0</v>
      </c>
      <c r="J3" s="197" t="s">
        <v>16</v>
      </c>
    </row>
    <row r="4" spans="1:10">
      <c r="A4" s="196" t="s">
        <v>413</v>
      </c>
      <c r="B4" s="197" t="s">
        <v>16</v>
      </c>
      <c r="D4" s="30"/>
      <c r="E4" s="96"/>
      <c r="F4" s="196" t="s">
        <v>413</v>
      </c>
      <c r="G4" s="197" t="s">
        <v>16</v>
      </c>
      <c r="I4" s="196" t="s">
        <v>415</v>
      </c>
      <c r="J4" s="197" t="s">
        <v>16</v>
      </c>
    </row>
    <row r="5" spans="1:10">
      <c r="A5" s="196" t="s">
        <v>0</v>
      </c>
      <c r="B5" s="197" t="s">
        <v>16</v>
      </c>
      <c r="D5" s="30"/>
      <c r="E5" s="96"/>
      <c r="F5" s="196" t="s">
        <v>0</v>
      </c>
      <c r="G5" s="197" t="s">
        <v>16</v>
      </c>
      <c r="I5" s="196" t="s">
        <v>430</v>
      </c>
      <c r="J5" s="197" t="s">
        <v>16</v>
      </c>
    </row>
    <row r="6" spans="1:10">
      <c r="A6" s="196" t="s">
        <v>415</v>
      </c>
      <c r="B6" s="197" t="s">
        <v>16</v>
      </c>
      <c r="D6" s="30"/>
      <c r="E6" s="96"/>
      <c r="F6" s="196" t="s">
        <v>415</v>
      </c>
      <c r="G6" s="197" t="s">
        <v>16</v>
      </c>
      <c r="I6" s="196" t="s">
        <v>498</v>
      </c>
      <c r="J6" s="197" t="s">
        <v>16</v>
      </c>
    </row>
    <row r="7" spans="1:10">
      <c r="A7" s="196" t="s">
        <v>477</v>
      </c>
      <c r="B7" s="197" t="s">
        <v>16</v>
      </c>
      <c r="D7" s="30"/>
      <c r="E7" s="96"/>
      <c r="F7" s="196" t="s">
        <v>477</v>
      </c>
      <c r="G7" s="197" t="s">
        <v>16</v>
      </c>
      <c r="I7" s="196" t="s">
        <v>1</v>
      </c>
      <c r="J7" s="197" t="s">
        <v>16</v>
      </c>
    </row>
    <row r="8" spans="1:10">
      <c r="D8" s="30"/>
      <c r="E8" s="96"/>
      <c r="I8" s="196" t="s">
        <v>2</v>
      </c>
      <c r="J8" s="197" t="s">
        <v>16</v>
      </c>
    </row>
    <row r="9" spans="1:10">
      <c r="A9" s="196" t="s">
        <v>478</v>
      </c>
      <c r="B9" t="s">
        <v>479</v>
      </c>
      <c r="D9" s="24" t="s">
        <v>682</v>
      </c>
      <c r="E9" s="97" t="s">
        <v>121</v>
      </c>
      <c r="F9" s="196"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96"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96" t="s">
        <v>0</v>
      </c>
      <c r="B1" s="197" t="s">
        <v>16</v>
      </c>
    </row>
    <row r="2" spans="1:3">
      <c r="A2" s="196" t="s">
        <v>430</v>
      </c>
      <c r="B2" s="197" t="s">
        <v>16</v>
      </c>
    </row>
    <row r="3" spans="1:3">
      <c r="A3" s="196" t="s">
        <v>1</v>
      </c>
      <c r="B3" s="197" t="s">
        <v>16</v>
      </c>
    </row>
    <row r="4" spans="1:3">
      <c r="A4" s="196" t="s">
        <v>2</v>
      </c>
      <c r="B4" s="197" t="s">
        <v>16</v>
      </c>
    </row>
    <row r="6" spans="1:3">
      <c r="A6" s="196" t="s">
        <v>336</v>
      </c>
      <c r="B6" s="196" t="s">
        <v>807</v>
      </c>
    </row>
    <row r="7" spans="1:3">
      <c r="A7" s="196" t="s">
        <v>806</v>
      </c>
      <c r="B7" s="197" t="s">
        <v>48</v>
      </c>
      <c r="C7" s="197" t="s">
        <v>17</v>
      </c>
    </row>
    <row r="8" spans="1:3">
      <c r="A8" s="243">
        <v>42625.416666666664</v>
      </c>
      <c r="B8" s="5">
        <v>6</v>
      </c>
      <c r="C8" s="5">
        <v>6</v>
      </c>
    </row>
    <row r="9" spans="1:3">
      <c r="A9" s="243">
        <v>42625.427083333336</v>
      </c>
      <c r="B9" s="5">
        <v>159</v>
      </c>
      <c r="C9" s="5">
        <v>159</v>
      </c>
    </row>
    <row r="10" spans="1:3">
      <c r="A10" s="243">
        <v>42625.4375</v>
      </c>
      <c r="B10" s="5">
        <v>165</v>
      </c>
      <c r="C10" s="5">
        <v>165</v>
      </c>
    </row>
    <row r="11" spans="1:3">
      <c r="A11" s="243">
        <v>42625.447916666664</v>
      </c>
      <c r="B11" s="5">
        <v>129</v>
      </c>
      <c r="C11" s="5">
        <v>129</v>
      </c>
    </row>
    <row r="12" spans="1:3">
      <c r="A12" s="4" t="s">
        <v>17</v>
      </c>
      <c r="B12" s="5">
        <v>459</v>
      </c>
      <c r="C12" s="5">
        <v>459</v>
      </c>
    </row>
  </sheetData>
  <pageMargins left="0.7" right="0.7" top="0.75" bottom="0.75" header="0.3" footer="0.3"/>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97" bestFit="1" customWidth="1"/>
    <col min="2" max="2" width="23.6640625" style="197" bestFit="1" customWidth="1"/>
    <col min="3" max="3" width="17.5546875" style="197" customWidth="1"/>
    <col min="4" max="4" width="24.77734375" style="197" customWidth="1"/>
    <col min="5" max="5" width="23.109375" style="197" bestFit="1" customWidth="1"/>
    <col min="6" max="6" width="10.77734375" style="197" customWidth="1"/>
    <col min="7" max="7" width="23.109375" style="197" bestFit="1" customWidth="1"/>
    <col min="8" max="8" width="10.77734375" style="197" bestFit="1" customWidth="1"/>
    <col min="9" max="16384" width="8.88671875" style="197"/>
  </cols>
  <sheetData>
    <row r="1" spans="1:8">
      <c r="A1"/>
      <c r="B1"/>
    </row>
    <row r="2" spans="1:8">
      <c r="A2" s="196" t="s">
        <v>0</v>
      </c>
      <c r="B2" s="197" t="s">
        <v>16</v>
      </c>
    </row>
    <row r="3" spans="1:8">
      <c r="A3" s="196" t="s">
        <v>87</v>
      </c>
      <c r="B3" s="197" t="s">
        <v>48</v>
      </c>
    </row>
    <row r="4" spans="1:8">
      <c r="A4" s="196" t="s">
        <v>1</v>
      </c>
      <c r="B4" s="197" t="s">
        <v>16</v>
      </c>
    </row>
    <row r="5" spans="1:8">
      <c r="A5" s="196" t="s">
        <v>2</v>
      </c>
      <c r="B5" s="197" t="s">
        <v>16</v>
      </c>
    </row>
    <row r="6" spans="1:8">
      <c r="A6"/>
      <c r="B6"/>
      <c r="C6"/>
    </row>
    <row r="7" spans="1:8">
      <c r="A7" s="196" t="s">
        <v>336</v>
      </c>
      <c r="B7" s="196" t="s">
        <v>807</v>
      </c>
      <c r="C7"/>
      <c r="D7"/>
      <c r="E7"/>
      <c r="F7"/>
      <c r="G7"/>
      <c r="H7"/>
    </row>
    <row r="8" spans="1:8">
      <c r="A8" s="196" t="s">
        <v>806</v>
      </c>
      <c r="B8" s="197" t="s">
        <v>481</v>
      </c>
      <c r="C8" s="197" t="s">
        <v>485</v>
      </c>
      <c r="D8" s="197" t="s">
        <v>486</v>
      </c>
      <c r="E8" s="197" t="s">
        <v>487</v>
      </c>
      <c r="F8" s="197" t="s">
        <v>17</v>
      </c>
      <c r="G8"/>
      <c r="H8"/>
    </row>
    <row r="9" spans="1:8">
      <c r="A9" s="243">
        <v>42625.416666666664</v>
      </c>
      <c r="B9" s="5">
        <v>6</v>
      </c>
      <c r="C9" s="5"/>
      <c r="D9" s="5"/>
      <c r="E9" s="5"/>
      <c r="F9" s="5">
        <v>6</v>
      </c>
      <c r="G9"/>
      <c r="H9"/>
    </row>
    <row r="10" spans="1:8">
      <c r="A10" s="243">
        <v>42625.427083333336</v>
      </c>
      <c r="B10" s="5">
        <v>3</v>
      </c>
      <c r="C10" s="5">
        <v>60</v>
      </c>
      <c r="D10" s="5">
        <v>5</v>
      </c>
      <c r="E10" s="5">
        <v>69</v>
      </c>
      <c r="F10" s="5">
        <v>137</v>
      </c>
      <c r="G10"/>
      <c r="H10"/>
    </row>
    <row r="11" spans="1:8">
      <c r="A11" s="243">
        <v>42625.4375</v>
      </c>
      <c r="B11" s="5">
        <v>8</v>
      </c>
      <c r="C11" s="5">
        <v>63</v>
      </c>
      <c r="D11" s="5">
        <v>7</v>
      </c>
      <c r="E11" s="5">
        <v>70</v>
      </c>
      <c r="F11" s="5">
        <v>148</v>
      </c>
      <c r="G11"/>
      <c r="H11"/>
    </row>
    <row r="12" spans="1:8">
      <c r="A12" s="243">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topLeftCell="E1" workbookViewId="0">
      <pane ySplit="2" topLeftCell="A1048550" activePane="bottomLeft" state="frozen"/>
      <selection pane="bottomLeft" activeCell="A3" sqref="A3"/>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0.6640625" style="11" customWidth="1"/>
    <col min="11" max="11" width="17.5546875" style="10" customWidth="1"/>
    <col min="12" max="16384" width="9.109375" style="80"/>
  </cols>
  <sheetData>
    <row r="1" spans="1:14" s="79" customFormat="1" ht="15" customHeight="1">
      <c r="A1" s="230" t="s">
        <v>416</v>
      </c>
      <c r="B1" s="231" t="s">
        <v>412</v>
      </c>
      <c r="C1" s="232" t="s">
        <v>412</v>
      </c>
      <c r="D1" s="232" t="s">
        <v>412</v>
      </c>
      <c r="E1" s="232" t="s">
        <v>412</v>
      </c>
      <c r="F1" s="232" t="s">
        <v>412</v>
      </c>
      <c r="G1" s="232" t="s">
        <v>412</v>
      </c>
      <c r="H1" s="232" t="s">
        <v>412</v>
      </c>
      <c r="I1" s="233"/>
      <c r="J1" s="234"/>
      <c r="K1" s="232"/>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sheetData>
  <autoFilter ref="A2:H2"/>
  <mergeCells count="1">
    <mergeCell ref="A1:K1"/>
  </mergeCells>
  <pageMargins left="0.7" right="0.7" top="0.75" bottom="0.75" header="0.3" footer="0.3"/>
  <pageSetup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25" t="s">
        <v>293</v>
      </c>
      <c r="B2" s="216"/>
      <c r="C2" s="216"/>
      <c r="D2" s="216"/>
      <c r="E2" s="216"/>
      <c r="F2" s="216"/>
      <c r="G2" s="216"/>
      <c r="H2" s="216"/>
      <c r="I2" s="216"/>
      <c r="J2" s="226"/>
      <c r="M2" s="225" t="s">
        <v>293</v>
      </c>
      <c r="N2" s="216"/>
      <c r="O2" s="216"/>
      <c r="P2" s="216"/>
      <c r="Q2" s="216"/>
      <c r="R2" s="216"/>
      <c r="S2" s="216"/>
      <c r="T2" s="216"/>
      <c r="U2" s="216"/>
      <c r="V2" s="226"/>
      <c r="W2" s="178"/>
    </row>
    <row r="3" spans="1:24">
      <c r="C3" s="138"/>
      <c r="D3" s="177"/>
      <c r="E3" s="138"/>
      <c r="H3" s="138"/>
      <c r="M3" s="178"/>
      <c r="N3" s="178"/>
      <c r="O3" s="179"/>
      <c r="P3" s="179"/>
      <c r="Q3" s="179"/>
      <c r="T3" s="179"/>
      <c r="W3" s="178"/>
    </row>
    <row r="4" spans="1:24">
      <c r="A4" s="187" t="s">
        <v>149</v>
      </c>
      <c r="B4" s="188" t="s">
        <v>16</v>
      </c>
      <c r="E4" s="32"/>
      <c r="F4" s="187" t="s">
        <v>149</v>
      </c>
      <c r="G4" s="188" t="s">
        <v>16</v>
      </c>
      <c r="H4" s="32"/>
      <c r="I4" s="187" t="s">
        <v>149</v>
      </c>
      <c r="J4" s="188" t="s">
        <v>16</v>
      </c>
      <c r="M4" s="187" t="s">
        <v>149</v>
      </c>
      <c r="N4" s="188" t="s">
        <v>16</v>
      </c>
      <c r="O4" s="178"/>
      <c r="P4" s="178"/>
      <c r="Q4" s="32"/>
      <c r="R4" s="187" t="s">
        <v>149</v>
      </c>
      <c r="S4" s="188" t="s">
        <v>16</v>
      </c>
      <c r="T4" s="32"/>
      <c r="U4" s="187" t="s">
        <v>149</v>
      </c>
      <c r="V4" s="188" t="s">
        <v>16</v>
      </c>
      <c r="W4" s="178"/>
    </row>
    <row r="5" spans="1:24">
      <c r="A5" s="187" t="s">
        <v>0</v>
      </c>
      <c r="B5" s="188" t="s">
        <v>16</v>
      </c>
      <c r="E5" s="32"/>
      <c r="F5" s="187" t="s">
        <v>0</v>
      </c>
      <c r="G5" s="188" t="s">
        <v>16</v>
      </c>
      <c r="H5" s="32"/>
      <c r="I5" s="187" t="s">
        <v>0</v>
      </c>
      <c r="J5" s="188" t="s">
        <v>16</v>
      </c>
      <c r="M5" s="187" t="s">
        <v>0</v>
      </c>
      <c r="N5" s="188" t="s">
        <v>16</v>
      </c>
      <c r="O5" s="178"/>
      <c r="P5" s="178"/>
      <c r="Q5" s="32"/>
      <c r="R5" s="187" t="s">
        <v>0</v>
      </c>
      <c r="S5" s="188" t="s">
        <v>16</v>
      </c>
      <c r="T5" s="32"/>
      <c r="U5" s="187" t="s">
        <v>0</v>
      </c>
      <c r="V5" s="188" t="s">
        <v>16</v>
      </c>
      <c r="W5" s="178"/>
    </row>
    <row r="6" spans="1:24">
      <c r="A6" s="187" t="s">
        <v>3</v>
      </c>
      <c r="B6" s="188" t="s">
        <v>552</v>
      </c>
      <c r="E6" s="32"/>
      <c r="F6" s="187" t="s">
        <v>3</v>
      </c>
      <c r="G6" s="188" t="s">
        <v>556</v>
      </c>
      <c r="H6" s="32"/>
      <c r="I6" s="187" t="s">
        <v>3</v>
      </c>
      <c r="J6" s="188" t="s">
        <v>554</v>
      </c>
      <c r="M6" s="187" t="s">
        <v>3</v>
      </c>
      <c r="N6" s="188" t="s">
        <v>738</v>
      </c>
      <c r="O6" s="178"/>
      <c r="P6" s="178"/>
      <c r="Q6" s="32"/>
      <c r="R6" s="187" t="s">
        <v>3</v>
      </c>
      <c r="S6" s="188" t="s">
        <v>742</v>
      </c>
      <c r="T6" s="32"/>
      <c r="U6" s="187" t="s">
        <v>3</v>
      </c>
      <c r="V6" s="188"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7" t="s">
        <v>722</v>
      </c>
      <c r="B8" s="188" t="s">
        <v>624</v>
      </c>
      <c r="C8" s="188" t="s">
        <v>241</v>
      </c>
      <c r="D8" s="188" t="s">
        <v>523</v>
      </c>
      <c r="E8" s="137"/>
      <c r="F8" s="187" t="s">
        <v>722</v>
      </c>
      <c r="G8" s="31" t="s">
        <v>287</v>
      </c>
      <c r="H8" s="137"/>
      <c r="I8" s="187" t="s">
        <v>722</v>
      </c>
      <c r="J8" s="188" t="s">
        <v>625</v>
      </c>
      <c r="K8" s="188" t="s">
        <v>523</v>
      </c>
      <c r="M8" s="187" t="s">
        <v>722</v>
      </c>
      <c r="N8" s="188" t="s">
        <v>624</v>
      </c>
      <c r="O8" s="188" t="s">
        <v>241</v>
      </c>
      <c r="P8" s="188" t="s">
        <v>523</v>
      </c>
      <c r="Q8" s="178"/>
      <c r="R8" s="187" t="s">
        <v>722</v>
      </c>
      <c r="S8" s="31" t="s">
        <v>287</v>
      </c>
      <c r="T8" s="178"/>
      <c r="U8" s="187" t="s">
        <v>722</v>
      </c>
      <c r="V8" s="188" t="s">
        <v>625</v>
      </c>
      <c r="W8" s="188"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25" t="s">
        <v>293</v>
      </c>
      <c r="C2" s="216"/>
      <c r="D2" s="216"/>
      <c r="E2" s="216"/>
      <c r="F2" s="216"/>
      <c r="G2" s="216"/>
      <c r="H2" s="216"/>
      <c r="I2" s="216"/>
      <c r="J2" s="216"/>
      <c r="K2" s="226"/>
      <c r="N2" s="225" t="s">
        <v>293</v>
      </c>
      <c r="O2" s="216"/>
      <c r="P2" s="216"/>
      <c r="Q2" s="216"/>
      <c r="R2" s="216"/>
      <c r="S2" s="216"/>
      <c r="T2" s="216"/>
      <c r="U2" s="216"/>
      <c r="V2" s="216"/>
      <c r="W2" s="226"/>
      <c r="X2" s="178"/>
    </row>
    <row r="3" spans="1:24">
      <c r="A3" s="30"/>
      <c r="B3" s="187" t="s">
        <v>149</v>
      </c>
      <c r="C3" s="188" t="s">
        <v>16</v>
      </c>
      <c r="D3" s="138"/>
      <c r="E3" s="177"/>
      <c r="F3" s="138"/>
      <c r="G3" s="187" t="s">
        <v>149</v>
      </c>
      <c r="H3" s="188" t="s">
        <v>16</v>
      </c>
      <c r="I3" s="138"/>
      <c r="J3" s="187" t="s">
        <v>149</v>
      </c>
      <c r="K3" s="188" t="s">
        <v>16</v>
      </c>
      <c r="N3" s="187" t="s">
        <v>149</v>
      </c>
      <c r="O3" s="188" t="s">
        <v>16</v>
      </c>
      <c r="P3" s="179"/>
      <c r="Q3" s="179"/>
      <c r="R3" s="179"/>
      <c r="S3" s="187" t="s">
        <v>149</v>
      </c>
      <c r="T3" s="188" t="s">
        <v>16</v>
      </c>
      <c r="U3" s="179"/>
      <c r="V3" s="187" t="s">
        <v>149</v>
      </c>
      <c r="W3" s="188" t="s">
        <v>16</v>
      </c>
      <c r="X3" s="178"/>
    </row>
    <row r="4" spans="1:24">
      <c r="A4" s="30"/>
      <c r="B4" s="187" t="s">
        <v>0</v>
      </c>
      <c r="C4" s="188" t="s">
        <v>16</v>
      </c>
      <c r="F4" s="32"/>
      <c r="G4" s="187" t="s">
        <v>0</v>
      </c>
      <c r="H4" s="188" t="s">
        <v>16</v>
      </c>
      <c r="I4" s="32"/>
      <c r="J4" s="187" t="s">
        <v>0</v>
      </c>
      <c r="K4" s="188" t="s">
        <v>16</v>
      </c>
      <c r="N4" s="187" t="s">
        <v>0</v>
      </c>
      <c r="O4" s="188" t="s">
        <v>16</v>
      </c>
      <c r="P4" s="178"/>
      <c r="Q4" s="178"/>
      <c r="R4" s="32"/>
      <c r="S4" s="187" t="s">
        <v>0</v>
      </c>
      <c r="T4" s="188" t="s">
        <v>16</v>
      </c>
      <c r="U4" s="32"/>
      <c r="V4" s="187" t="s">
        <v>0</v>
      </c>
      <c r="W4" s="188" t="s">
        <v>16</v>
      </c>
      <c r="X4" s="178"/>
    </row>
    <row r="5" spans="1:24">
      <c r="A5" s="30"/>
      <c r="B5" s="187" t="s">
        <v>1</v>
      </c>
      <c r="C5" s="188" t="s">
        <v>16</v>
      </c>
      <c r="F5" s="32"/>
      <c r="G5" s="187" t="s">
        <v>1</v>
      </c>
      <c r="H5" s="188" t="s">
        <v>16</v>
      </c>
      <c r="I5" s="32"/>
      <c r="J5" s="187" t="s">
        <v>1</v>
      </c>
      <c r="K5" s="188" t="s">
        <v>16</v>
      </c>
      <c r="N5" s="187" t="s">
        <v>1</v>
      </c>
      <c r="O5" s="188" t="s">
        <v>16</v>
      </c>
      <c r="P5" s="178"/>
      <c r="Q5" s="178"/>
      <c r="R5" s="32"/>
      <c r="S5" s="187" t="s">
        <v>1</v>
      </c>
      <c r="T5" s="188" t="s">
        <v>16</v>
      </c>
      <c r="U5" s="32"/>
      <c r="V5" s="187" t="s">
        <v>1</v>
      </c>
      <c r="W5" s="188" t="s">
        <v>16</v>
      </c>
      <c r="X5" s="178"/>
    </row>
    <row r="6" spans="1:24">
      <c r="A6" s="30"/>
      <c r="B6" s="187" t="s">
        <v>3</v>
      </c>
      <c r="C6" s="188" t="s">
        <v>552</v>
      </c>
      <c r="F6" s="32"/>
      <c r="G6" s="187" t="s">
        <v>3</v>
      </c>
      <c r="H6" s="188" t="s">
        <v>556</v>
      </c>
      <c r="I6" s="32"/>
      <c r="J6" s="187" t="s">
        <v>3</v>
      </c>
      <c r="K6" s="188" t="s">
        <v>554</v>
      </c>
      <c r="N6" s="187" t="s">
        <v>3</v>
      </c>
      <c r="O6" s="188" t="s">
        <v>738</v>
      </c>
      <c r="P6" s="178"/>
      <c r="Q6" s="178"/>
      <c r="R6" s="32"/>
      <c r="S6" s="187" t="s">
        <v>3</v>
      </c>
      <c r="T6" s="188" t="s">
        <v>742</v>
      </c>
      <c r="U6" s="32"/>
      <c r="V6" s="187" t="s">
        <v>3</v>
      </c>
      <c r="W6" s="188" t="s">
        <v>740</v>
      </c>
      <c r="X6" s="178"/>
    </row>
    <row r="7" spans="1:24">
      <c r="A7" s="30"/>
      <c r="N7" s="178"/>
      <c r="O7" s="178"/>
      <c r="P7" s="178"/>
      <c r="Q7" s="178"/>
      <c r="R7" s="178"/>
      <c r="S7" s="178"/>
      <c r="T7" s="178"/>
      <c r="U7" s="178"/>
      <c r="V7" s="178"/>
      <c r="W7" s="178"/>
      <c r="X7" s="178"/>
    </row>
    <row r="8" spans="1:24">
      <c r="A8" s="24" t="s">
        <v>682</v>
      </c>
      <c r="B8" s="187" t="s">
        <v>288</v>
      </c>
      <c r="C8" s="188" t="s">
        <v>624</v>
      </c>
      <c r="D8" s="188" t="s">
        <v>241</v>
      </c>
      <c r="E8" s="188" t="s">
        <v>523</v>
      </c>
      <c r="G8" s="187" t="s">
        <v>288</v>
      </c>
      <c r="H8" s="31" t="s">
        <v>287</v>
      </c>
      <c r="J8" s="187" t="s">
        <v>288</v>
      </c>
      <c r="K8" s="188" t="s">
        <v>625</v>
      </c>
      <c r="L8" s="188" t="s">
        <v>523</v>
      </c>
      <c r="N8" s="187" t="s">
        <v>288</v>
      </c>
      <c r="O8" s="188" t="s">
        <v>624</v>
      </c>
      <c r="P8" s="188" t="s">
        <v>241</v>
      </c>
      <c r="Q8" s="188" t="s">
        <v>523</v>
      </c>
      <c r="R8" s="178"/>
      <c r="S8" s="187" t="s">
        <v>288</v>
      </c>
      <c r="T8" s="31" t="s">
        <v>287</v>
      </c>
      <c r="U8" s="178"/>
      <c r="V8" s="187" t="s">
        <v>288</v>
      </c>
      <c r="W8" s="188" t="s">
        <v>625</v>
      </c>
      <c r="X8" s="188"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206" t="s">
        <v>88</v>
      </c>
      <c r="J1" s="236" t="s">
        <v>88</v>
      </c>
      <c r="K1" s="207" t="s">
        <v>88</v>
      </c>
      <c r="L1" s="207" t="s">
        <v>88</v>
      </c>
      <c r="M1" s="237" t="s">
        <v>88</v>
      </c>
      <c r="N1" s="207" t="s">
        <v>88</v>
      </c>
      <c r="O1" s="237" t="s">
        <v>88</v>
      </c>
      <c r="P1" s="207" t="s">
        <v>88</v>
      </c>
      <c r="Q1" s="237" t="s">
        <v>88</v>
      </c>
      <c r="R1" s="237" t="s">
        <v>88</v>
      </c>
      <c r="S1" s="237" t="s">
        <v>88</v>
      </c>
      <c r="T1" s="237" t="s">
        <v>88</v>
      </c>
      <c r="U1" s="237" t="s">
        <v>88</v>
      </c>
      <c r="V1" s="237" t="s">
        <v>88</v>
      </c>
      <c r="W1" s="207" t="s">
        <v>88</v>
      </c>
      <c r="X1" s="238" t="s">
        <v>88</v>
      </c>
      <c r="Y1" s="164"/>
      <c r="Z1" s="235" t="s">
        <v>255</v>
      </c>
      <c r="AA1" s="239" t="s">
        <v>255</v>
      </c>
      <c r="AB1" s="239" t="s">
        <v>255</v>
      </c>
      <c r="AC1" s="240" t="s">
        <v>255</v>
      </c>
      <c r="AD1" s="235" t="s">
        <v>559</v>
      </c>
      <c r="AE1" s="239" t="s">
        <v>559</v>
      </c>
      <c r="AF1" s="237" t="s">
        <v>559</v>
      </c>
      <c r="AG1" s="237" t="s">
        <v>559</v>
      </c>
      <c r="AH1" s="241" t="s">
        <v>559</v>
      </c>
      <c r="AI1" s="235" t="s">
        <v>626</v>
      </c>
      <c r="AJ1" s="242" t="s">
        <v>626</v>
      </c>
      <c r="AK1" s="237" t="s">
        <v>626</v>
      </c>
      <c r="AL1" s="237" t="s">
        <v>626</v>
      </c>
      <c r="AM1" s="241" t="s">
        <v>626</v>
      </c>
      <c r="AN1" s="235" t="s">
        <v>689</v>
      </c>
      <c r="AO1" s="238" t="s">
        <v>689</v>
      </c>
      <c r="AP1" s="235" t="s">
        <v>747</v>
      </c>
      <c r="AQ1" s="210"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5" t="s">
        <v>50</v>
      </c>
      <c r="C118" s="185" t="s">
        <v>48</v>
      </c>
      <c r="F118" s="10" t="s">
        <v>754</v>
      </c>
      <c r="G118" s="10">
        <v>1</v>
      </c>
      <c r="I118" s="26"/>
      <c r="K118" s="10">
        <v>1</v>
      </c>
      <c r="L118" s="10">
        <v>27</v>
      </c>
    </row>
    <row r="119" spans="1:12" s="10" customFormat="1">
      <c r="A119" s="10" t="s">
        <v>154</v>
      </c>
      <c r="B119" s="185" t="s">
        <v>50</v>
      </c>
      <c r="C119" s="185" t="s">
        <v>48</v>
      </c>
      <c r="D119" s="185" t="s">
        <v>47</v>
      </c>
      <c r="F119" s="10" t="s">
        <v>755</v>
      </c>
      <c r="G119" s="10">
        <v>1</v>
      </c>
      <c r="I119" s="26"/>
      <c r="K119" s="10">
        <v>1</v>
      </c>
      <c r="L119" s="10">
        <v>19</v>
      </c>
    </row>
    <row r="120" spans="1:12" s="10" customFormat="1">
      <c r="A120" s="10" t="s">
        <v>154</v>
      </c>
      <c r="B120" s="185" t="s">
        <v>50</v>
      </c>
      <c r="C120" s="185" t="s">
        <v>48</v>
      </c>
      <c r="D120" s="185" t="s">
        <v>47</v>
      </c>
      <c r="E120" s="185" t="s">
        <v>49</v>
      </c>
      <c r="F120" s="10" t="s">
        <v>756</v>
      </c>
      <c r="G120" s="10">
        <v>1</v>
      </c>
      <c r="I120" s="26"/>
      <c r="J120" s="10" t="b">
        <v>1</v>
      </c>
      <c r="K120" s="10">
        <v>1</v>
      </c>
      <c r="L120" s="10">
        <v>33</v>
      </c>
    </row>
    <row r="121" spans="1:12" s="10" customFormat="1">
      <c r="A121" s="10" t="s">
        <v>154</v>
      </c>
      <c r="B121" s="188" t="s">
        <v>50</v>
      </c>
      <c r="C121" s="188" t="s">
        <v>48</v>
      </c>
      <c r="D121" s="188" t="s">
        <v>47</v>
      </c>
      <c r="E121" s="188" t="s">
        <v>49</v>
      </c>
      <c r="F121" s="10" t="s">
        <v>762</v>
      </c>
      <c r="G121" s="10">
        <v>16107106</v>
      </c>
      <c r="H121" s="10" t="s">
        <v>155</v>
      </c>
      <c r="I121" s="26"/>
      <c r="J121" s="10" t="b">
        <v>1</v>
      </c>
      <c r="K121" s="10">
        <v>16107106</v>
      </c>
      <c r="L121" s="10">
        <v>5</v>
      </c>
    </row>
    <row r="122" spans="1:12" s="10" customFormat="1">
      <c r="A122" s="10" t="s">
        <v>154</v>
      </c>
      <c r="B122" s="188" t="s">
        <v>50</v>
      </c>
      <c r="C122" s="188" t="s">
        <v>48</v>
      </c>
      <c r="D122" s="188" t="s">
        <v>47</v>
      </c>
      <c r="E122" s="188" t="s">
        <v>49</v>
      </c>
      <c r="F122" s="10" t="s">
        <v>763</v>
      </c>
      <c r="G122" s="10">
        <v>216159</v>
      </c>
      <c r="H122" s="10" t="s">
        <v>155</v>
      </c>
      <c r="I122" s="26"/>
      <c r="J122" s="10" t="b">
        <v>1</v>
      </c>
      <c r="K122" s="10">
        <v>216159</v>
      </c>
      <c r="L122" s="10">
        <v>5</v>
      </c>
    </row>
    <row r="123" spans="1:12" s="10" customFormat="1">
      <c r="A123" s="10" t="s">
        <v>154</v>
      </c>
      <c r="B123" s="188" t="s">
        <v>50</v>
      </c>
      <c r="C123" s="188" t="s">
        <v>48</v>
      </c>
      <c r="D123" s="188" t="s">
        <v>47</v>
      </c>
      <c r="E123" s="188" t="s">
        <v>49</v>
      </c>
      <c r="F123" s="10" t="s">
        <v>764</v>
      </c>
      <c r="G123" s="10">
        <v>7522042</v>
      </c>
      <c r="H123" s="10" t="s">
        <v>155</v>
      </c>
      <c r="I123" s="26"/>
      <c r="J123" s="10" t="b">
        <v>1</v>
      </c>
      <c r="K123" s="10">
        <v>7522042</v>
      </c>
      <c r="L123" s="10">
        <v>5</v>
      </c>
    </row>
    <row r="124" spans="1:12" s="10" customFormat="1">
      <c r="A124" s="10" t="s">
        <v>154</v>
      </c>
      <c r="B124" s="188" t="s">
        <v>50</v>
      </c>
      <c r="C124" s="188" t="s">
        <v>48</v>
      </c>
      <c r="D124" s="188" t="s">
        <v>47</v>
      </c>
      <c r="E124" s="188" t="s">
        <v>49</v>
      </c>
      <c r="F124" s="10" t="s">
        <v>765</v>
      </c>
      <c r="G124" s="10">
        <v>94</v>
      </c>
      <c r="I124" s="26"/>
      <c r="J124" s="10" t="b">
        <v>1</v>
      </c>
      <c r="K124" s="10">
        <v>94</v>
      </c>
      <c r="L124" s="10">
        <v>5</v>
      </c>
    </row>
    <row r="125" spans="1:12" s="10" customFormat="1">
      <c r="A125" s="10" t="s">
        <v>154</v>
      </c>
      <c r="B125" s="188" t="s">
        <v>50</v>
      </c>
      <c r="C125" s="188" t="s">
        <v>48</v>
      </c>
      <c r="D125" s="188" t="s">
        <v>47</v>
      </c>
      <c r="E125" s="188" t="s">
        <v>49</v>
      </c>
      <c r="F125" s="10" t="s">
        <v>766</v>
      </c>
      <c r="G125" s="10">
        <v>692979776</v>
      </c>
      <c r="H125" s="10" t="s">
        <v>109</v>
      </c>
      <c r="I125" s="26">
        <v>660.87701416015625</v>
      </c>
      <c r="J125" s="10" t="b">
        <v>1</v>
      </c>
      <c r="L125" s="10">
        <v>5</v>
      </c>
    </row>
    <row r="126" spans="1:12" s="10" customFormat="1">
      <c r="A126" s="10" t="s">
        <v>154</v>
      </c>
      <c r="B126" s="188" t="s">
        <v>50</v>
      </c>
      <c r="C126" s="188" t="s">
        <v>48</v>
      </c>
      <c r="D126" s="188" t="s">
        <v>47</v>
      </c>
      <c r="E126" s="188" t="s">
        <v>49</v>
      </c>
      <c r="F126" s="10" t="s">
        <v>767</v>
      </c>
      <c r="G126" s="10">
        <v>8286272</v>
      </c>
      <c r="H126" s="10" t="s">
        <v>109</v>
      </c>
      <c r="I126" s="26">
        <v>7.90240478515625</v>
      </c>
      <c r="J126" s="10" t="b">
        <v>1</v>
      </c>
      <c r="L126" s="10">
        <v>5</v>
      </c>
    </row>
    <row r="127" spans="1:12" s="10" customFormat="1">
      <c r="A127" s="10" t="s">
        <v>154</v>
      </c>
      <c r="B127" s="188" t="s">
        <v>50</v>
      </c>
      <c r="C127" s="188" t="s">
        <v>48</v>
      </c>
      <c r="D127" s="188" t="s">
        <v>47</v>
      </c>
      <c r="E127" s="188" t="s">
        <v>49</v>
      </c>
      <c r="F127" s="10" t="s">
        <v>768</v>
      </c>
      <c r="G127" s="10">
        <v>329273688</v>
      </c>
      <c r="H127" s="10" t="s">
        <v>109</v>
      </c>
      <c r="I127" s="26">
        <v>314.01985947629237</v>
      </c>
      <c r="J127" s="10" t="b">
        <v>1</v>
      </c>
      <c r="L127" s="10">
        <v>5</v>
      </c>
    </row>
    <row r="128" spans="1:12" s="10" customFormat="1">
      <c r="A128" s="10" t="s">
        <v>154</v>
      </c>
      <c r="B128" s="188" t="s">
        <v>50</v>
      </c>
      <c r="C128" s="188" t="s">
        <v>48</v>
      </c>
      <c r="D128" s="188" t="s">
        <v>47</v>
      </c>
      <c r="E128" s="188" t="s">
        <v>49</v>
      </c>
      <c r="F128" s="10" t="s">
        <v>769</v>
      </c>
      <c r="G128" s="10">
        <v>10149889</v>
      </c>
      <c r="H128" s="10" t="s">
        <v>155</v>
      </c>
      <c r="I128" s="26"/>
      <c r="J128" s="10" t="b">
        <v>1</v>
      </c>
      <c r="K128" s="10">
        <v>10149889</v>
      </c>
      <c r="L128" s="10">
        <v>5</v>
      </c>
    </row>
    <row r="129" spans="1:12" s="10" customFormat="1">
      <c r="A129" s="10" t="s">
        <v>154</v>
      </c>
      <c r="B129" s="188" t="s">
        <v>50</v>
      </c>
      <c r="C129" s="188" t="s">
        <v>48</v>
      </c>
      <c r="D129" s="188" t="s">
        <v>47</v>
      </c>
      <c r="E129" s="188" t="s">
        <v>49</v>
      </c>
      <c r="F129" s="10" t="s">
        <v>770</v>
      </c>
      <c r="G129" s="10">
        <v>216159</v>
      </c>
      <c r="H129" s="10" t="s">
        <v>155</v>
      </c>
      <c r="I129" s="26"/>
      <c r="J129" s="10" t="b">
        <v>1</v>
      </c>
      <c r="K129" s="10">
        <v>216159</v>
      </c>
      <c r="L129" s="10">
        <v>5</v>
      </c>
    </row>
    <row r="130" spans="1:12" s="10" customFormat="1">
      <c r="A130" s="10" t="s">
        <v>154</v>
      </c>
      <c r="B130" s="188" t="s">
        <v>50</v>
      </c>
      <c r="C130" s="188" t="s">
        <v>48</v>
      </c>
      <c r="D130" s="188" t="s">
        <v>47</v>
      </c>
      <c r="E130" s="188" t="s">
        <v>49</v>
      </c>
      <c r="F130" s="10" t="s">
        <v>771</v>
      </c>
      <c r="G130" s="10">
        <v>5706858</v>
      </c>
      <c r="H130" s="10" t="s">
        <v>155</v>
      </c>
      <c r="I130" s="26"/>
      <c r="J130" s="10" t="b">
        <v>1</v>
      </c>
      <c r="K130" s="10">
        <v>5706858</v>
      </c>
      <c r="L130" s="10">
        <v>5</v>
      </c>
    </row>
    <row r="131" spans="1:12" s="10" customFormat="1">
      <c r="A131" s="10" t="s">
        <v>154</v>
      </c>
      <c r="B131" s="188" t="s">
        <v>50</v>
      </c>
      <c r="C131" s="188" t="s">
        <v>48</v>
      </c>
      <c r="D131" s="188" t="s">
        <v>47</v>
      </c>
      <c r="E131" s="188" t="s">
        <v>49</v>
      </c>
      <c r="F131" s="22" t="s">
        <v>776</v>
      </c>
      <c r="G131" s="10">
        <v>80</v>
      </c>
      <c r="I131" s="26"/>
      <c r="J131" s="10" t="b">
        <v>1</v>
      </c>
      <c r="K131" s="10">
        <v>80</v>
      </c>
      <c r="L131" s="10">
        <v>5</v>
      </c>
    </row>
    <row r="132" spans="1:12" s="10" customFormat="1">
      <c r="A132" s="10" t="s">
        <v>154</v>
      </c>
      <c r="B132" s="188" t="s">
        <v>50</v>
      </c>
      <c r="C132" s="188" t="s">
        <v>48</v>
      </c>
      <c r="D132" s="188" t="s">
        <v>47</v>
      </c>
      <c r="E132" s="188" t="s">
        <v>49</v>
      </c>
      <c r="F132" s="10" t="s">
        <v>772</v>
      </c>
      <c r="G132" s="10">
        <v>444342300</v>
      </c>
      <c r="H132" s="10" t="s">
        <v>109</v>
      </c>
      <c r="I132" s="26">
        <v>240.49652033003522</v>
      </c>
      <c r="J132" s="10" t="b">
        <v>1</v>
      </c>
      <c r="L132" s="10">
        <v>5</v>
      </c>
    </row>
    <row r="133" spans="1:12" s="10" customFormat="1">
      <c r="A133" s="10" t="s">
        <v>154</v>
      </c>
      <c r="B133" s="188" t="s">
        <v>50</v>
      </c>
      <c r="C133" s="188" t="s">
        <v>48</v>
      </c>
      <c r="D133" s="188" t="s">
        <v>47</v>
      </c>
      <c r="E133" s="188" t="s">
        <v>49</v>
      </c>
      <c r="F133" s="10" t="s">
        <v>773</v>
      </c>
      <c r="G133" s="10">
        <v>8286272</v>
      </c>
      <c r="H133" s="10" t="s">
        <v>109</v>
      </c>
      <c r="I133" s="26">
        <v>7.90240478515625</v>
      </c>
      <c r="J133" s="10" t="b">
        <v>1</v>
      </c>
      <c r="L133" s="10">
        <v>5</v>
      </c>
    </row>
    <row r="134" spans="1:12" s="10" customFormat="1">
      <c r="A134" s="10" t="s">
        <v>154</v>
      </c>
      <c r="B134" s="188" t="s">
        <v>50</v>
      </c>
      <c r="C134" s="188" t="s">
        <v>48</v>
      </c>
      <c r="D134" s="188" t="s">
        <v>47</v>
      </c>
      <c r="E134" s="188" t="s">
        <v>49</v>
      </c>
      <c r="F134" s="10" t="s">
        <v>774</v>
      </c>
      <c r="G134" s="10">
        <v>252178879.30158731</v>
      </c>
      <c r="H134" s="10" t="s">
        <v>109</v>
      </c>
      <c r="I134" s="26">
        <v>240.49652033003522</v>
      </c>
      <c r="J134" s="10" t="b">
        <v>1</v>
      </c>
      <c r="L134" s="10">
        <v>5</v>
      </c>
    </row>
    <row r="135" spans="1:12" s="10" customFormat="1">
      <c r="A135" s="10" t="s">
        <v>154</v>
      </c>
      <c r="B135" s="188" t="s">
        <v>50</v>
      </c>
      <c r="C135" s="188" t="s">
        <v>48</v>
      </c>
      <c r="D135" s="188" t="s">
        <v>47</v>
      </c>
      <c r="E135" s="188"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2017-07-19T15:52:48Z</dcterms:modified>
</cp:coreProperties>
</file>