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Hints" sheetId="50" r:id="rId24"/>
    <sheet name="Batches" sheetId="33" r:id="rId25"/>
    <sheet name="Histogram - Read" sheetId="36" r:id="rId26"/>
    <sheet name="Histogram - SSTables" sheetId="45" r:id="rId27"/>
    <sheet name="Histogram - Write" sheetId="37" r:id="rId28"/>
    <sheet name="Histogram - Cell Counts" sheetId="38" r:id="rId29"/>
    <sheet name="Histogram - Partition" sheetId="44" r:id="rId30"/>
    <sheet name="Cassandra Log Exceptions" sheetId="47" r:id="rId31"/>
    <sheet name="Cassandra Summary Logs" sheetId="39" r:id="rId32"/>
    <sheet name="Application" sheetId="27" r:id="rId33"/>
    <sheet name="--Marker--" sheetId="42" r:id="rId34"/>
    <sheet name="Read Repair History" sheetId="49" r:id="rId35"/>
    <sheet name="CFStats" sheetId="4" r:id="rId36"/>
    <sheet name="NodeStats" sheetId="16" r:id="rId37"/>
    <sheet name="TableHistogram" sheetId="32" r:id="rId38"/>
  </sheets>
  <definedNames>
    <definedName name="_xlnm._FilterDatabase" localSheetId="31" hidden="1">'Cassandra Summary Logs'!$A$2:$H$2</definedName>
    <definedName name="_xlnm._FilterDatabase" localSheetId="35" hidden="1">CFStats!$A$1:$K$68</definedName>
    <definedName name="_xlnm._FilterDatabase" localSheetId="5" hidden="1">'DDL Keyspaces'!$A$1:$E$1</definedName>
    <definedName name="_xlnm._FilterDatabase" localSheetId="36" hidden="1">NodeStats!$A$1:$M$130</definedName>
    <definedName name="_xlnm._FilterDatabase" localSheetId="4" hidden="1">'Settings-Yamls'!$A$1:$E$1</definedName>
    <definedName name="_xlnm._FilterDatabase" localSheetId="37"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7" r:id="rId39"/>
    <pivotCache cacheId="8" r:id="rId40"/>
    <pivotCache cacheId="9" r:id="rId41"/>
    <pivotCache cacheId="10" r:id="rId42"/>
    <pivotCache cacheId="11" r:id="rId43"/>
    <pivotCache cacheId="13" r:id="rId44"/>
    <pivotCache cacheId="20" r:id="rId45"/>
  </pivotCaches>
  <extLst>
    <ext xmlns:x14="http://schemas.microsoft.com/office/spreadsheetml/2009/9/main" uri="{BBE1A952-AA13-448e-AADC-164F8A28A991}">
      <x14:slicerCaches>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s>
    </ext>
    <ext xmlns:x14="http://schemas.microsoft.com/office/spreadsheetml/2009/9/main" uri="{79F54976-1DA5-4618-B147-4CDE4B953A38}">
      <x14:workbookPr/>
    </ext>
  </extLst>
</workbook>
</file>

<file path=xl/calcChain.xml><?xml version="1.0" encoding="utf-8"?>
<calcChain xmlns="http://schemas.openxmlformats.org/spreadsheetml/2006/main">
  <c r="A7" i="50" l="1"/>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<sst xmlns="http://schemas.openxmlformats.org/spreadsheetml/2006/main" count="3684" uniqueCount="626">
  <si>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</si>
  <si>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</si>
  <si>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</si>
  <si>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</si>
  <si>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</si>
  <si>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</si>
  <si>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</si>
  <si>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</si>
  <si>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</si>
  <si>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</si>
  <si>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</si>
  <si>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</si>
  <si>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</si>
  <si>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</si>
  <si>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</si>
  <si>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</si>
  <si>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</si>
  <si>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</si>
  <si>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</si>
  <si>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</si>
  <si>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</si>
  <si>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</si>
  <si>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</si>
  <si>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</si>
  <si>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</si>
  <si>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</si>
  <si>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</si>
  <si>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</si>
  <si>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</si>
  <si>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</si>
  <si>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</si>
  <si>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</si>
  <si>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</si>
  <si>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</si>
  <si>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</si>
  <si>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</si>
  <si>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</si>
  <si>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</si>
  <si>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</si>
  <si>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</si>
  <si>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</si>
  <si>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</si>
  <si>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</si>
  <si>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</si>
  <si>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</si>
  <si>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</si>
  <si>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</si>
  <si>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</si>
  <si>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</si>
  <si>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</si>
  <si>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</si>
  <si>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</si>
  <si>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</si>
  <si>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</si>
  <si>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</si>
  <si>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</si>
  <si>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</si>
  <si>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</si>
  <si>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</si>
  <si>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</si>
  <si>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</si>
  <si>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</si>
  <si>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</si>
  <si>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</si>
  <si>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</si>
  <si>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</si>
  <si>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</si>
  <si>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</si>
  <si>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</si>
  <si>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</si>
  <si>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</si>
  <si>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</si>
  <si>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</si>
  <si>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</si>
  <si>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</si>
  <si>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</si>
  <si>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</si>
  <si>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</si>
  <si>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</si>
  <si>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</si>
  <si>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</si>
  <si>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</si>
  <si>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</si>
  <si>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</si>
  <si>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</si>
  <si>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</si>
  <si>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</si>
  <si>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</si>
  <si>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</si>
  <si>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</si>
  <si>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</si>
  <si>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</si>
  <si>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</si>
  <si>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</si>
  <si>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</si>
  <si>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</si>
  <si>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</si>
  <si>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</si>
  <si>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</si>
  <si>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</si>
  <si>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</si>
  <si>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</si>
  <si>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</si>
  <si>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</si>
  <si>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</si>
  <si>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</si>
  <si>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</si>
  <si>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</si>
  <si>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</si>
  <si>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</si>
  <si>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</si>
  <si>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</si>
  <si>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</si>
  <si>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</si>
  <si>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</si>
  <si>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</si>
  <si>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</si>
  <si>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</si>
  <si>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</si>
  <si>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</si>
  <si>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</si>
  <si>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</si>
  <si>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</si>
  <si>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</si>
  <si>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</si>
  <si>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</si>
  <si>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</si>
  <si>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</si>
  <si>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</si>
  <si>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</si>
  <si>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</si>
  <si>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</si>
  <si>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</si>
  <si>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</si>
  <si>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</si>
  <si>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</si>
  <si>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</si>
  <si>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</si>
  <si>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</si>
  <si>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</si>
  <si>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</si>
  <si>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</si>
  <si>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</si>
  <si>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</si>
  <si>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</si>
  <si>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</si>
  <si>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</si>
  <si>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</si>
  <si>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</si>
  <si>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</si>
  <si>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</si>
  <si>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</si>
  <si>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</si>
  <si>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</si>
  <si>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</si>
  <si>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</si>
  <si>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</si>
  <si>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</si>
  <si>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</si>
  <si>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</si>
  <si>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</si>
  <si>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</si>
  <si>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</si>
  <si>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</si>
  <si>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</si>
  <si>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</si>
  <si>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</si>
  <si>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</si>
  <si>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</si>
  <si>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</si>
  <si>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</si>
  <si>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</si>
  <si>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</si>
  <si>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</si>
  <si>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</si>
  <si>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</si>
  <si>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</si>
  <si>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</si>
  <si>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</si>
  <si>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</si>
  <si>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</si>
  <si>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</si>
  <si>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</si>
  <si>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</si>
  <si>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</si>
  <si>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</si>
  <si>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</si>
  <si>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</si>
  <si>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</si>
  <si>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</si>
  <si>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</si>
  <si>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</si>
  <si>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</si>
  <si>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</si>
  <si>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</si>
  <si>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</si>
  <si>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</si>
  <si>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</si>
  <si>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</si>
  <si>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</si>
  <si>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</si>
  <si>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</si>
  <si>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</si>
  <si>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</si>
  <si>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</si>
  <si>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</si>
  <si>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</si>
  <si>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</si>
  <si>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</si>
  <si>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</si>
  <si>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</si>
  <si>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</si>
  <si>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</si>
  <si>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</si>
  <si>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</si>
  <si>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</si>
  <si>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</si>
  <si>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</si>
  <si>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</si>
  <si>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</si>
  <si>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</si>
  <si>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</si>
  <si>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</si>
  <si>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</si>
  <si>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</si>
  <si>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</si>
  <si>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</si>
  <si>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</si>
  <si>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</si>
  <si>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</si>
  <si>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</si>
  <si>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</si>
  <si>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</si>
  <si>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</si>
  <si>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</si>
  <si>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</si>
  <si>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</si>
  <si>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</si>
  <si>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</si>
  <si>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</si>
  <si>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</si>
  <si>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</si>
  <si>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</si>
  <si>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</si>
  <si>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</si>
  <si>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</si>
  <si>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</si>
  <si>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</si>
  <si>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</si>
  <si>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</si>
  <si>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</si>
  <si>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</si>
  <si>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</si>
  <si>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</si>
  <si>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</si>
  <si>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</si>
  <si>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</si>
  <si>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</si>
  <si>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</si>
  <si>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</si>
  <si>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</si>
  <si>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</si>
  <si>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</si>
  <si>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</si>
  <si>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</si>
  <si>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</si>
  <si>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</si>
  <si>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</si>
  <si>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</si>
  <si>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</si>
  <si>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</si>
  <si>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</si>
  <si>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</si>
  <si>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</si>
  <si>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</si>
  <si>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</si>
  <si>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</si>
  <si>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</si>
  <si>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</si>
  <si>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</si>
  <si>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</si>
  <si>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</si>
  <si>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</si>
  <si>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</si>
  <si>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</si>
  <si>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</si>
  <si>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</si>
  <si>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</si>
  <si>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</si>
  <si>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</si>
  <si>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</si>
  <si>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</si>
  <si>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</si>
  <si>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</si>
  <si>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</si>
  <si>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</si>
  <si>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</si>
  <si>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</si>
  <si>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</si>
  <si>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</si>
  <si>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</si>
  <si>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</si>
  <si>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</si>
  <si>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</si>
  <si>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</si>
  <si>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</si>
  <si>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</si>
  <si>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</si>
  <si>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</si>
  <si>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</si>
  <si>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</si>
  <si>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</si>
  <si>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</si>
  <si>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</si>
  <si>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</si>
  <si>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</si>
  <si>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</si>
  <si>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</si>
  <si>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</si>
  <si>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</si>
  <si>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</si>
  <si>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</si>
  <si>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</si>
  <si>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</si>
  <si>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</si>
  <si>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</si>
  <si>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</si>
  <si>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</si>
  <si>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</si>
  <si>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</si>
  <si>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</si>
  <si>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</si>
  <si>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</si>
  <si>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</si>
  <si>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</si>
  <si>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</si>
  <si>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</si>
  <si>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</si>
  <si>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</si>
  <si>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</si>
  <si>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</si>
  <si>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</si>
  <si>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</si>
  <si>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</si>
  <si>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</si>
  <si>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</si>
  <si>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</si>
  <si>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</si>
  <si>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</si>
  <si>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</si>
  <si>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</si>
  <si>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</si>
  <si>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</si>
  <si>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</si>
  <si>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</si>
  <si>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</si>
  <si>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</si>
  <si>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</si>
  <si>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</si>
  <si>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</si>
  <si>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</si>
  <si>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</si>
  <si>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</si>
  <si>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</si>
  <si>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</si>
  <si>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</si>
  <si>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</si>
  <si>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</si>
  <si>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</si>
  <si>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</si>
  <si>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</si>
  <si>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</si>
  <si>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</si>
  <si>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</si>
  <si>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</si>
  <si>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</si>
  <si>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</si>
  <si>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</si>
  <si>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</si>
  <si>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</si>
  <si>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</si>
  <si>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</si>
  <si>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</si>
  <si>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</si>
  <si>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</si>
  <si>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</si>
  <si>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</si>
  <si>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</si>
  <si>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</si>
  <si>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</si>
  <si>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</si>
  <si>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</si>
  <si>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</si>
  <si>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</si>
  <si>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</si>
  <si>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</si>
  <si>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</si>
  <si>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</si>
  <si>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</si>
  <si>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</si>
  <si>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</si>
  <si>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</si>
  <si>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</si>
  <si>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</si>
  <si>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</si>
  <si>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</si>
  <si>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</si>
  <si>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</si>
  <si>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</si>
  <si>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</si>
  <si>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</si>
  <si>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</si>
  <si>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</si>
  <si>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</si>
  <si>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</si>
  <si>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</si>
  <si>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</si>
  <si>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</si>
  <si>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</si>
  <si>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</si>
  <si>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</si>
  <si>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</si>
  <si>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</si>
  <si>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</si>
  <si>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</si>
  <si>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</si>
  <si>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</si>
  <si>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</si>
  <si>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</si>
  <si>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</si>
  <si>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</si>
  <si>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</si>
  <si>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</si>
  <si>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</si>
  <si>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</si>
  <si>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</si>
  <si>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</si>
  <si>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</si>
  <si>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</si>
  <si>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</si>
  <si>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</si>
  <si>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</si>
  <si>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</si>
  <si>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</si>
  <si>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</si>
  <si>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</si>
  <si>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</si>
  <si>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</si>
  <si>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</si>
  <si>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</si>
  <si>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</si>
  <si>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</si>
  <si>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</si>
  <si>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</si>
  <si>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</si>
  <si>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</si>
  <si>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</si>
  <si>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</si>
  <si>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</si>
  <si>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</si>
  <si>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</si>
  <si>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</si>
  <si>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</si>
  <si>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</si>
  <si>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</si>
  <si>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</si>
  <si>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</si>
  <si>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</si>
  <si>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</si>
  <si>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</si>
  <si>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</si>
  <si>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</si>
  <si>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</si>
  <si>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</si>
  <si>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</si>
  <si>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</si>
  <si>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</si>
  <si>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</si>
  <si>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</si>
  <si>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</si>
  <si>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</si>
  <si>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</si>
  <si>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</si>
  <si>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</si>
  <si>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</si>
  <si>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</si>
  <si>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</si>
  <si>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</si>
  <si>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</si>
  <si>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</si>
  <si>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</si>
  <si>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</si>
  <si>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</si>
  <si>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</si>
  <si>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</si>
  <si>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</si>
  <si>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</si>
  <si>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</si>
  <si>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</si>
  <si>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</si>
  <si>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</si>
  <si>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</si>
  <si>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</si>
  <si>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</si>
  <si>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</si>
  <si>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</si>
  <si>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</si>
  <si>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</si>
  <si>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</si>
  <si>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</si>
  <si>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</si>
  <si>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</si>
  <si>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</si>
  <si>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</si>
  <si>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</si>
  <si>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</si>
  <si>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</si>
  <si>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</si>
  <si>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</si>
  <si>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</si>
  <si>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</si>
  <si>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</si>
  <si>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</si>
  <si>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</si>
  <si>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</si>
  <si>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</si>
  <si>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</si>
  <si>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</si>
  <si>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</si>
  <si>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</si>
  <si>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</si>
  <si>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</si>
  <si>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</si>
  <si>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</si>
  <si>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</si>
  <si>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</si>
  <si>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</si>
  <si>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</si>
  <si>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</si>
  <si>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</si>
  <si>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</si>
  <si>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</si>
  <si>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</si>
  <si>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</si>
  <si>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</si>
  <si>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</si>
  <si>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</si>
  <si>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</si>
  <si>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</si>
  <si>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</si>
  <si>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</si>
  <si>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</si>
  <si>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</si>
  <si>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</si>
  <si>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</si>
  <si>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</si>
  <si>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</si>
  <si>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</si>
  <si>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</si>
  <si>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</si>
  <si>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</si>
  <si>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</si>
  <si>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</si>
  <si>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</si>
  <si>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</si>
  <si>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</si>
  <si>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</si>
  <si>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</si>
  <si>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</si>
  <si>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</si>
  <si>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</si>
  <si>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</si>
  <si>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</si>
  <si>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</si>
  <si>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</si>
  <si>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</si>
  <si>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</si>
  <si>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</si>
  <si>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</si>
  <si>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</si>
  <si>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</si>
  <si>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</si>
  <si>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</si>
  <si>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</si>
  <si>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</si>
  <si>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</si>
  <si>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</si>
  <si>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</si>
  <si>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</si>
  <si>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</si>
  <si>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</si>
  <si>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</si>
  <si>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</si>
  <si>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</si>
  <si>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</si>
  <si>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</si>
  <si>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</si>
  <si>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</si>
  <si>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</si>
  <si>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</si>
  <si>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</si>
  <si>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</si>
  <si>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</si>
  <si>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</si>
  <si>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</si>
  <si>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</si>
  <si>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</si>
  <si>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</si>
  <si>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</si>
  <si>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</si>
  <si>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</si>
  <si>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</si>
  <si>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</si>
  <si>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</si>
  <si>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</si>
  <si>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</si>
  <si>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</si>
  <si>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</si>
  <si>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</si>
  <si>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</si>
  <si>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10.12.50.10</t>
  </si>
  <si>
    <t>-1537228672809129313</t>
  </si>
  <si>
    <t>-1531223873305968652</t>
  </si>
  <si>
    <t>parallelism=PARALLEL, full=true</t>
  </si>
  <si>
    <t>66e8f380-94ab-11e6-bd93-e9761d4b6077</t>
  </si>
  <si>
    <t>Nbr Requested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</si>
</sst>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8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xf>
    <xf numFmtId="177" fontId="0" fillId="0" borderId="0" xfId="0" applyNumberFormat="1" applyFont="1" applyFill="1" applyBorder="1"/>
  </cellXfs>
  <cellStyles count="2">
    <cellStyle name="Normal" xfId="0" builtinId="0"/>
    <cellStyle name="Normal 2" xfId="1"/>
  </cellStyles>
  <dxfs count="415">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alignment shrinkToFit="1" readingOrder="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4.xml"/><Relationship Id="rId47" Type="http://schemas.microsoft.com/office/2007/relationships/slicerCache" Target="slicerCaches/slicerCache2.xml"/><Relationship Id="rId50" Type="http://schemas.microsoft.com/office/2007/relationships/slicerCache" Target="slicerCaches/slicerCache5.xml"/><Relationship Id="rId55" Type="http://schemas.microsoft.com/office/2007/relationships/slicerCache" Target="slicerCaches/slicerCache10.xml"/><Relationship Id="rId63" Type="http://schemas.microsoft.com/office/2007/relationships/slicerCache" Target="slicerCaches/slicerCache18.xml"/><Relationship Id="rId68" Type="http://schemas.microsoft.com/office/2007/relationships/slicerCache" Target="slicerCaches/slicerCache23.xml"/><Relationship Id="rId7" Type="http://schemas.openxmlformats.org/officeDocument/2006/relationships/worksheet" Target="worksheets/sheet7.xml"/><Relationship Id="rId71"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pivotCacheDefinition" Target="pivotCache/pivotCacheDefinition7.xml"/><Relationship Id="rId53" Type="http://schemas.microsoft.com/office/2007/relationships/slicerCache" Target="slicerCaches/slicerCache8.xml"/><Relationship Id="rId58" Type="http://schemas.microsoft.com/office/2007/relationships/slicerCache" Target="slicerCaches/slicerCache13.xml"/><Relationship Id="rId66" Type="http://schemas.microsoft.com/office/2007/relationships/slicerCache" Target="slicerCaches/slicerCache21.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4.xml"/><Relationship Id="rId57" Type="http://schemas.microsoft.com/office/2007/relationships/slicerCache" Target="slicerCaches/slicerCache12.xml"/><Relationship Id="rId61" Type="http://schemas.microsoft.com/office/2007/relationships/slicerCache" Target="slicerCaches/slicerCache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6.xml"/><Relationship Id="rId52" Type="http://schemas.microsoft.com/office/2007/relationships/slicerCache" Target="slicerCaches/slicerCache7.xml"/><Relationship Id="rId60" Type="http://schemas.microsoft.com/office/2007/relationships/slicerCache" Target="slicerCaches/slicerCache15.xml"/><Relationship Id="rId65" Type="http://schemas.microsoft.com/office/2007/relationships/slicerCache" Target="slicerCaches/slicerCache20.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5.xml"/><Relationship Id="rId48" Type="http://schemas.microsoft.com/office/2007/relationships/slicerCache" Target="slicerCaches/slicerCache3.xml"/><Relationship Id="rId56" Type="http://schemas.microsoft.com/office/2007/relationships/slicerCache" Target="slicerCaches/slicerCache11.xml"/><Relationship Id="rId64" Type="http://schemas.microsoft.com/office/2007/relationships/slicerCache" Target="slicerCaches/slicerCache19.xml"/><Relationship Id="rId69" Type="http://schemas.microsoft.com/office/2007/relationships/slicerCache" Target="slicerCaches/slicerCache24.xml"/><Relationship Id="rId8" Type="http://schemas.openxmlformats.org/officeDocument/2006/relationships/worksheet" Target="worksheets/sheet8.xml"/><Relationship Id="rId51" Type="http://schemas.microsoft.com/office/2007/relationships/slicerCache" Target="slicerCaches/slicerCache6.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7/relationships/slicerCache" Target="slicerCaches/slicerCache1.xml"/><Relationship Id="rId59" Type="http://schemas.microsoft.com/office/2007/relationships/slicerCache" Target="slicerCaches/slicerCache14.xml"/><Relationship Id="rId67" Type="http://schemas.microsoft.com/office/2007/relationships/slicerCache" Target="slicerCaches/slicerCache22.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07/relationships/slicerCache" Target="slicerCaches/slicerCache9.xml"/><Relationship Id="rId62" Type="http://schemas.microsoft.com/office/2007/relationships/slicerCache" Target="slicerCaches/slicerCache17.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1.541541782404"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80">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Exceptions occurrences"/>
        <s v="Read Repair Exceptions"/>
        <m/>
      </sharedItems>
    </cacheField>
    <cacheField name="Value" numFmtId="0">
      <sharedItems containsBlank="1" containsMixedTypes="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16.79437152778"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10.12.50.10"/>
        <m/>
        <s v="0.0.0.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250"/>
    <s v="ms"/>
    <m/>
    <x v="1"/>
    <n v="23"/>
    <m/>
  </r>
  <r>
    <x v="1"/>
    <x v="0"/>
    <x v="0"/>
    <x v="0"/>
    <x v="0"/>
    <x v="74"/>
    <n v="10"/>
    <s v="ms"/>
    <m/>
    <x v="1"/>
    <n v="23"/>
    <m/>
  </r>
  <r>
    <x v="1"/>
    <x v="0"/>
    <x v="0"/>
    <x v="0"/>
    <x v="0"/>
    <x v="75"/>
    <n v="140"/>
    <s v="ms"/>
    <m/>
    <x v="1"/>
    <n v="23"/>
    <m/>
  </r>
  <r>
    <x v="1"/>
    <x v="0"/>
    <x v="0"/>
    <x v="0"/>
    <x v="0"/>
    <x v="76"/>
    <n v="10"/>
    <m/>
    <m/>
    <x v="1"/>
    <n v="23"/>
    <m/>
  </r>
  <r>
    <x v="3"/>
    <x v="1"/>
    <x v="0"/>
    <x v="0"/>
    <x v="0"/>
    <x v="77"/>
    <n v="2"/>
    <m/>
    <m/>
    <x v="1"/>
    <n v="23"/>
    <m/>
  </r>
  <r>
    <x v="3"/>
    <x v="1"/>
    <x v="0"/>
    <x v="0"/>
    <x v="0"/>
    <x v="78"/>
    <s v="Node Shutdown, Exception"/>
    <m/>
    <m/>
    <x v="1"/>
    <n v="23"/>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pivotCacheRecords>
</file>

<file path=xl/pivotCache/pivotCacheRecords6.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Count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TPWriteNbrbyNode"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414">
      <pivotArea collapsedLevelsAreSubtotals="1" fieldPosition="0">
        <references count="2">
          <reference field="4294967294" count="1" selected="0">
            <x v="0"/>
          </reference>
          <reference field="2" count="1">
            <x v="0"/>
          </reference>
        </references>
      </pivotArea>
    </format>
    <format dxfId="41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NbrTombStonesWarnings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Slice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AvgTombStones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byTabl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AvgNbrTombStones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Slice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NbrTombStonesWarnings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41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TSlowQueryOccurrences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Nbr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v="1"/>
    </i>
    <i>
      <x v="2"/>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410">
      <pivotArea field="3" type="button" dataOnly="0" labelOnly="1" outline="0" axis="axisRow" fieldPosition="0"/>
    </format>
    <format dxfId="409">
      <pivotArea dataOnly="0" labelOnly="1" outline="0" fieldPosition="0">
        <references count="1">
          <reference field="4294967294" count="9">
            <x v="0"/>
            <x v="1"/>
            <x v="2"/>
            <x v="3"/>
            <x v="5"/>
            <x v="7"/>
            <x v="9"/>
            <x v="10"/>
            <x v="11"/>
          </reference>
        </references>
      </pivotArea>
    </format>
    <format dxfId="408">
      <pivotArea outline="0" fieldPosition="0">
        <references count="1">
          <reference field="4294967294" count="1">
            <x v="6"/>
          </reference>
        </references>
      </pivotArea>
    </format>
    <format dxfId="407">
      <pivotArea outline="0" fieldPosition="0">
        <references count="1">
          <reference field="4294967294" count="1">
            <x v="8"/>
          </reference>
        </references>
      </pivotArea>
    </format>
    <format dxfId="406">
      <pivotArea dataOnly="0" labelOnly="1" outline="0" fieldPosition="0">
        <references count="1">
          <reference field="4294967294" count="1">
            <x v="8"/>
          </reference>
        </references>
      </pivotArea>
    </format>
    <format dxfId="405">
      <pivotArea dataOnly="0" labelOnly="1" outline="0" fieldPosition="0">
        <references count="1">
          <reference field="4294967294" count="1">
            <x v="6"/>
          </reference>
        </references>
      </pivotArea>
    </format>
    <format dxfId="404">
      <pivotArea collapsedLevelsAreSubtotals="1" fieldPosition="0">
        <references count="2">
          <reference field="4294967294" count="1" selected="0">
            <x v="3"/>
          </reference>
          <reference field="3" count="1">
            <x v="0"/>
          </reference>
        </references>
      </pivotArea>
    </format>
    <format dxfId="24">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DigestQryNbr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3">
      <pivotArea dataOnly="0" labelOnly="1" outline="0" fieldPosition="0">
        <references count="1">
          <reference field="4294967294" count="1">
            <x v="0"/>
          </reference>
        </references>
      </pivotArea>
    </format>
    <format dxfId="39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9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97">
      <pivotArea dataOnly="0" labelOnly="1" outline="0" axis="axisValues" fieldPosition="0"/>
    </format>
    <format dxfId="396">
      <pivotArea dataOnly="0" outline="0" axis="axisValues" fieldPosition="0"/>
    </format>
    <format dxfId="39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00">
      <pivotArea dataOnly="0" labelOnly="1" outline="0" fieldPosition="0">
        <references count="1">
          <reference field="4294967294" count="1">
            <x v="0"/>
          </reference>
        </references>
      </pivotArea>
    </format>
    <format dxfId="39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40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03">
      <pivotArea dataOnly="0" labelOnly="1" outline="0" fieldPosition="0">
        <references count="1">
          <reference field="4294967294" count="1">
            <x v="1"/>
          </reference>
        </references>
      </pivotArea>
    </format>
    <format dxfId="40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81">
      <pivotArea dataOnly="0" labelOnly="1" outline="0" fieldPosition="0">
        <references count="1">
          <reference field="4294967294" count="1">
            <x v="0"/>
          </reference>
        </references>
      </pivotArea>
    </format>
    <format dxfId="38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3">
      <pivotArea dataOnly="0" labelOnly="1" outline="0" fieldPosition="0">
        <references count="1">
          <reference field="4294967294" count="1">
            <x v="1"/>
          </reference>
        </references>
      </pivotArea>
    </format>
    <format dxfId="38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86">
      <pivotArea dataOnly="0" labelOnly="1" outline="0" axis="axisValues" fieldPosition="0"/>
    </format>
    <format dxfId="385">
      <pivotArea dataOnly="0" outline="0" axis="axisValues" fieldPosition="0"/>
    </format>
    <format dxfId="38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88">
      <pivotArea dataOnly="0" labelOnly="1" outline="0" fieldPosition="0">
        <references count="1">
          <reference field="4294967294" count="1">
            <x v="0"/>
          </reference>
        </references>
      </pivotArea>
    </format>
    <format dxfId="38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8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8"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7"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76">
      <pivotArea dataOnly="0" labelOnly="1" outline="0" fieldPosition="0">
        <references count="1">
          <reference field="4294967294" count="1">
            <x v="0"/>
          </reference>
        </references>
      </pivotArea>
    </format>
    <format dxfId="37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78">
      <pivotArea dataOnly="0" labelOnly="1" outline="0" fieldPosition="0">
        <references count="1">
          <reference field="4294967294" count="1">
            <x v="0"/>
          </reference>
        </references>
      </pivotArea>
    </format>
    <format dxfId="37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67">
      <pivotArea dataOnly="0" labelOnly="1" outline="0" axis="axisValues" fieldPosition="0"/>
    </format>
    <format dxfId="366">
      <pivotArea dataOnly="0" outline="0" axis="axisValues" fieldPosition="0"/>
    </format>
    <format dxfId="3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69">
      <pivotArea dataOnly="0" labelOnly="1"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71">
      <pivotArea dataOnly="0" labelOnly="1" outline="0" axis="axisValues" fieldPosition="0"/>
    </format>
    <format dxfId="3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74">
      <pivotArea dataOnly="0" labelOnly="1" outline="0" axis="axisValues" fieldPosition="0"/>
    </format>
    <format dxfId="373">
      <pivotArea dataOnly="0" outline="0" axis="axisValues" fieldPosition="0"/>
    </format>
    <format dxfId="3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2">
      <pivotArea outline="0" collapsedLevelsAreSubtotals="1" fieldPosition="0">
        <references count="1">
          <reference field="4294967294" count="1" selected="0">
            <x v="3"/>
          </reference>
        </references>
      </pivotArea>
    </format>
    <format dxfId="341">
      <pivotArea dataOnly="0" labelOnly="1" outline="0" fieldPosition="0">
        <references count="1">
          <reference field="4294967294" count="1">
            <x v="3"/>
          </reference>
        </references>
      </pivotArea>
    </format>
    <format dxfId="340">
      <pivotArea outline="0" collapsedLevelsAreSubtotals="1" fieldPosition="0">
        <references count="1">
          <reference field="4294967294" count="1" selected="0">
            <x v="6"/>
          </reference>
        </references>
      </pivotArea>
    </format>
    <format dxfId="339">
      <pivotArea dataOnly="0" labelOnly="1" outline="0" fieldPosition="0">
        <references count="1">
          <reference field="4294967294" count="1">
            <x v="6"/>
          </reference>
        </references>
      </pivotArea>
    </format>
    <format dxfId="338">
      <pivotArea outline="0" collapsedLevelsAreSubtotals="1" fieldPosition="0">
        <references count="1">
          <reference field="4294967294" count="1" selected="0">
            <x v="9"/>
          </reference>
        </references>
      </pivotArea>
    </format>
    <format dxfId="337">
      <pivotArea dataOnly="0" labelOnly="1" outline="0" fieldPosition="0">
        <references count="1">
          <reference field="4294967294" count="1">
            <x v="9"/>
          </reference>
        </references>
      </pivotArea>
    </format>
    <format dxfId="336">
      <pivotArea outline="0" collapsedLevelsAreSubtotals="1" fieldPosition="0">
        <references count="1">
          <reference field="4294967294" count="1" selected="0">
            <x v="12"/>
          </reference>
        </references>
      </pivotArea>
    </format>
    <format dxfId="335">
      <pivotArea dataOnly="0" labelOnly="1" outline="0" fieldPosition="0">
        <references count="1">
          <reference field="4294967294" count="1">
            <x v="12"/>
          </reference>
        </references>
      </pivotArea>
    </format>
    <format dxfId="334">
      <pivotArea outline="0" collapsedLevelsAreSubtotals="1" fieldPosition="0">
        <references count="1">
          <reference field="4294967294" count="1" selected="0">
            <x v="15"/>
          </reference>
        </references>
      </pivotArea>
    </format>
    <format dxfId="333">
      <pivotArea dataOnly="0" labelOnly="1" outline="0" fieldPosition="0">
        <references count="1">
          <reference field="4294967294" count="1">
            <x v="15"/>
          </reference>
        </references>
      </pivotArea>
    </format>
    <format dxfId="332">
      <pivotArea dataOnly="0" labelOnly="1" outline="0" fieldPosition="0">
        <references count="1">
          <reference field="4294967294" count="3">
            <x v="3"/>
            <x v="4"/>
            <x v="5"/>
          </reference>
        </references>
      </pivotArea>
    </format>
    <format dxfId="331">
      <pivotArea dataOnly="0" labelOnly="1" outline="0" fieldPosition="0">
        <references count="1">
          <reference field="4294967294" count="3">
            <x v="9"/>
            <x v="10"/>
            <x v="11"/>
          </reference>
        </references>
      </pivotArea>
    </format>
    <format dxfId="330">
      <pivotArea dataOnly="0" labelOnly="1" outline="0" fieldPosition="0">
        <references count="1">
          <reference field="4294967294" count="3">
            <x v="15"/>
            <x v="16"/>
            <x v="17"/>
          </reference>
        </references>
      </pivotArea>
    </format>
    <format dxfId="329">
      <pivotArea field="4" type="button" dataOnly="0" labelOnly="1" outline="0" axis="axisRow" fieldPosition="0"/>
    </format>
    <format dxfId="328">
      <pivotArea dataOnly="0" labelOnly="1" fieldPosition="0">
        <references count="1">
          <reference field="4" count="1">
            <x v="0"/>
          </reference>
        </references>
      </pivotArea>
    </format>
    <format dxfId="327">
      <pivotArea dataOnly="0" labelOnly="1" grandRow="1" outline="0" fieldPosition="0"/>
    </format>
    <format dxfId="326">
      <pivotArea dataOnly="0" labelOnly="1" outline="0" fieldPosition="0">
        <references count="1">
          <reference field="4294967294" count="1">
            <x v="0"/>
          </reference>
        </references>
      </pivotArea>
    </format>
    <format dxfId="325">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64">
      <pivotArea dataOnly="0" labelOnly="1" outline="0" fieldPosition="0">
        <references count="1">
          <reference field="4294967294" count="3">
            <x v="3"/>
            <x v="4"/>
            <x v="5"/>
          </reference>
        </references>
      </pivotArea>
    </format>
    <format dxfId="363">
      <pivotArea dataOnly="0" labelOnly="1" outline="0" fieldPosition="0">
        <references count="1">
          <reference field="4294967294" count="3">
            <x v="9"/>
            <x v="10"/>
            <x v="11"/>
          </reference>
        </references>
      </pivotArea>
    </format>
    <format dxfId="362">
      <pivotArea dataOnly="0" labelOnly="1" outline="0" fieldPosition="0">
        <references count="1">
          <reference field="4294967294" count="3">
            <x v="15"/>
            <x v="16"/>
            <x v="17"/>
          </reference>
        </references>
      </pivotArea>
    </format>
    <format dxfId="361">
      <pivotArea field="4" type="button" dataOnly="0" labelOnly="1" outline="0" axis="axisPage" fieldPosition="2"/>
    </format>
    <format dxfId="360">
      <pivotArea dataOnly="0" labelOnly="1" fieldPosition="0">
        <references count="1">
          <reference field="4" count="1">
            <x v="0"/>
          </reference>
        </references>
      </pivotArea>
    </format>
    <format dxfId="359">
      <pivotArea dataOnly="0" labelOnly="1" outline="0" fieldPosition="0">
        <references count="1">
          <reference field="4294967294" count="1">
            <x v="0"/>
          </reference>
        </references>
      </pivotArea>
    </format>
    <format dxfId="358">
      <pivotArea field="4" type="button" dataOnly="0" labelOnly="1" outline="0" axis="axisPage" fieldPosition="2"/>
    </format>
    <format dxfId="357">
      <pivotArea field="2" type="button" dataOnly="0" labelOnly="1" outline="0" axis="axisRow" fieldPosition="0"/>
    </format>
    <format dxfId="356">
      <pivotArea dataOnly="0" labelOnly="1" fieldPosition="0">
        <references count="1">
          <reference field="2" count="1">
            <x v="0"/>
          </reference>
        </references>
      </pivotArea>
    </format>
    <format dxfId="355">
      <pivotArea dataOnly="0" labelOnly="1" grandRow="1" outline="0" fieldPosition="0"/>
    </format>
    <format dxfId="354">
      <pivotArea outline="0" collapsedLevelsAreSubtotals="1" fieldPosition="0">
        <references count="1">
          <reference field="4294967294" count="1" selected="0">
            <x v="3"/>
          </reference>
        </references>
      </pivotArea>
    </format>
    <format dxfId="353">
      <pivotArea dataOnly="0" labelOnly="1" outline="0" fieldPosition="0">
        <references count="1">
          <reference field="4294967294" count="1">
            <x v="3"/>
          </reference>
        </references>
      </pivotArea>
    </format>
    <format dxfId="352">
      <pivotArea outline="0" collapsedLevelsAreSubtotals="1" fieldPosition="0">
        <references count="1">
          <reference field="4294967294" count="1" selected="0">
            <x v="6"/>
          </reference>
        </references>
      </pivotArea>
    </format>
    <format dxfId="351">
      <pivotArea dataOnly="0" labelOnly="1" outline="0" fieldPosition="0">
        <references count="1">
          <reference field="4294967294" count="1">
            <x v="6"/>
          </reference>
        </references>
      </pivotArea>
    </format>
    <format dxfId="350">
      <pivotArea outline="0" collapsedLevelsAreSubtotals="1" fieldPosition="0">
        <references count="1">
          <reference field="4294967294" count="1" selected="0">
            <x v="9"/>
          </reference>
        </references>
      </pivotArea>
    </format>
    <format dxfId="349">
      <pivotArea dataOnly="0" labelOnly="1" outline="0" fieldPosition="0">
        <references count="1">
          <reference field="4294967294" count="1">
            <x v="9"/>
          </reference>
        </references>
      </pivotArea>
    </format>
    <format dxfId="348">
      <pivotArea outline="0" collapsedLevelsAreSubtotals="1" fieldPosition="0">
        <references count="1">
          <reference field="4294967294" count="1" selected="0">
            <x v="12"/>
          </reference>
        </references>
      </pivotArea>
    </format>
    <format dxfId="347">
      <pivotArea dataOnly="0" labelOnly="1" outline="0" fieldPosition="0">
        <references count="1">
          <reference field="4294967294" count="1">
            <x v="12"/>
          </reference>
        </references>
      </pivotArea>
    </format>
    <format dxfId="346">
      <pivotArea outline="0" collapsedLevelsAreSubtotals="1" fieldPosition="0">
        <references count="1">
          <reference field="4294967294" count="1" selected="0">
            <x v="15"/>
          </reference>
        </references>
      </pivotArea>
    </format>
    <format dxfId="345">
      <pivotArea dataOnly="0" labelOnly="1" outline="0" fieldPosition="0">
        <references count="1">
          <reference field="4294967294" count="1">
            <x v="15"/>
          </reference>
        </references>
      </pivotArea>
    </format>
    <format dxfId="344">
      <pivotArea outline="0" collapsedLevelsAreSubtotals="1" fieldPosition="0">
        <references count="1">
          <reference field="4294967294" count="1" selected="0">
            <x v="17"/>
          </reference>
        </references>
      </pivotArea>
    </format>
    <format dxfId="343">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4">
      <pivotArea outline="0" collapsedLevelsAreSubtotals="1" fieldPosition="0">
        <references count="1">
          <reference field="4294967294" count="1" selected="0">
            <x v="3"/>
          </reference>
        </references>
      </pivotArea>
    </format>
    <format dxfId="283">
      <pivotArea dataOnly="0" labelOnly="1" outline="0" fieldPosition="0">
        <references count="1">
          <reference field="4294967294" count="1">
            <x v="3"/>
          </reference>
        </references>
      </pivotArea>
    </format>
    <format dxfId="282">
      <pivotArea outline="0" collapsedLevelsAreSubtotals="1" fieldPosition="0">
        <references count="1">
          <reference field="4294967294" count="1" selected="0">
            <x v="6"/>
          </reference>
        </references>
      </pivotArea>
    </format>
    <format dxfId="281">
      <pivotArea dataOnly="0" labelOnly="1" outline="0" fieldPosition="0">
        <references count="1">
          <reference field="4294967294" count="1">
            <x v="6"/>
          </reference>
        </references>
      </pivotArea>
    </format>
    <format dxfId="280">
      <pivotArea outline="0" collapsedLevelsAreSubtotals="1" fieldPosition="0">
        <references count="1">
          <reference field="4294967294" count="1" selected="0">
            <x v="9"/>
          </reference>
        </references>
      </pivotArea>
    </format>
    <format dxfId="279">
      <pivotArea dataOnly="0" labelOnly="1" outline="0" fieldPosition="0">
        <references count="1">
          <reference field="4294967294" count="1">
            <x v="9"/>
          </reference>
        </references>
      </pivotArea>
    </format>
    <format dxfId="278">
      <pivotArea outline="0" collapsedLevelsAreSubtotals="1" fieldPosition="0">
        <references count="1">
          <reference field="4294967294" count="1" selected="0">
            <x v="12"/>
          </reference>
        </references>
      </pivotArea>
    </format>
    <format dxfId="277">
      <pivotArea dataOnly="0" labelOnly="1" outline="0" fieldPosition="0">
        <references count="1">
          <reference field="4294967294" count="1">
            <x v="12"/>
          </reference>
        </references>
      </pivotArea>
    </format>
    <format dxfId="276">
      <pivotArea outline="0" collapsedLevelsAreSubtotals="1" fieldPosition="0">
        <references count="1">
          <reference field="4294967294" count="1" selected="0">
            <x v="15"/>
          </reference>
        </references>
      </pivotArea>
    </format>
    <format dxfId="275">
      <pivotArea dataOnly="0" labelOnly="1" outline="0" fieldPosition="0">
        <references count="1">
          <reference field="4294967294" count="1">
            <x v="15"/>
          </reference>
        </references>
      </pivotArea>
    </format>
    <format dxfId="274">
      <pivotArea dataOnly="0" labelOnly="1" outline="0" fieldPosition="0">
        <references count="1">
          <reference field="4294967294" count="3">
            <x v="3"/>
            <x v="4"/>
            <x v="5"/>
          </reference>
        </references>
      </pivotArea>
    </format>
    <format dxfId="273">
      <pivotArea dataOnly="0" labelOnly="1" outline="0" fieldPosition="0">
        <references count="1">
          <reference field="4294967294" count="3">
            <x v="9"/>
            <x v="10"/>
            <x v="11"/>
          </reference>
        </references>
      </pivotArea>
    </format>
    <format dxfId="272">
      <pivotArea dataOnly="0" labelOnly="1" outline="0" fieldPosition="0">
        <references count="1">
          <reference field="4294967294" count="3">
            <x v="15"/>
            <x v="16"/>
            <x v="17"/>
          </reference>
        </references>
      </pivotArea>
    </format>
    <format dxfId="271">
      <pivotArea field="4" type="button" dataOnly="0" labelOnly="1" outline="0" axis="axisRow" fieldPosition="0"/>
    </format>
    <format dxfId="270">
      <pivotArea dataOnly="0" labelOnly="1" fieldPosition="0">
        <references count="1">
          <reference field="4" count="1">
            <x v="0"/>
          </reference>
        </references>
      </pivotArea>
    </format>
    <format dxfId="269">
      <pivotArea dataOnly="0" labelOnly="1" grandRow="1" outline="0" fieldPosition="0"/>
    </format>
    <format dxfId="268">
      <pivotArea dataOnly="0" labelOnly="1" outline="0" fieldPosition="0">
        <references count="1">
          <reference field="4294967294" count="1">
            <x v="0"/>
          </reference>
        </references>
      </pivotArea>
    </format>
    <format dxfId="267">
      <pivotArea field="4" type="button" dataOnly="0" labelOnly="1" outline="0" axis="axisRow" fieldPosition="0"/>
    </format>
    <format dxfId="266">
      <pivotArea outline="0" fieldPosition="0">
        <references count="1">
          <reference field="4294967294" count="1">
            <x v="0"/>
          </reference>
        </references>
      </pivotArea>
    </format>
    <format dxfId="265">
      <pivotArea outline="0" fieldPosition="0">
        <references count="1">
          <reference field="4294967294" count="1">
            <x v="1"/>
          </reference>
        </references>
      </pivotArea>
    </format>
    <format dxfId="264">
      <pivotArea outline="0" fieldPosition="0">
        <references count="1">
          <reference field="4294967294" count="1">
            <x v="2"/>
          </reference>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outline="0" fieldPosition="0">
        <references count="1">
          <reference field="4294967294" count="1">
            <x v="5"/>
          </reference>
        </references>
      </pivotArea>
    </format>
    <format dxfId="260">
      <pivotArea outline="0" fieldPosition="0">
        <references count="1">
          <reference field="4294967294" count="1">
            <x v="6"/>
          </reference>
        </references>
      </pivotArea>
    </format>
    <format dxfId="259">
      <pivotArea outline="0" fieldPosition="0">
        <references count="1">
          <reference field="4294967294" count="1">
            <x v="7"/>
          </reference>
        </references>
      </pivotArea>
    </format>
    <format dxfId="258">
      <pivotArea outline="0" fieldPosition="0">
        <references count="1">
          <reference field="4294967294" count="1">
            <x v="8"/>
          </reference>
        </references>
      </pivotArea>
    </format>
    <format dxfId="257">
      <pivotArea outline="0" fieldPosition="0">
        <references count="1">
          <reference field="4294967294" count="1">
            <x v="9"/>
          </reference>
        </references>
      </pivotArea>
    </format>
    <format dxfId="256">
      <pivotArea outline="0" fieldPosition="0">
        <references count="1">
          <reference field="4294967294" count="1">
            <x v="10"/>
          </reference>
        </references>
      </pivotArea>
    </format>
    <format dxfId="255">
      <pivotArea outline="0" fieldPosition="0">
        <references count="1">
          <reference field="4294967294" count="1">
            <x v="11"/>
          </reference>
        </references>
      </pivotArea>
    </format>
    <format dxfId="254">
      <pivotArea outline="0" fieldPosition="0">
        <references count="1">
          <reference field="4294967294" count="1">
            <x v="12"/>
          </reference>
        </references>
      </pivotArea>
    </format>
    <format dxfId="253">
      <pivotArea outline="0" fieldPosition="0">
        <references count="1">
          <reference field="4294967294" count="1">
            <x v="13"/>
          </reference>
        </references>
      </pivotArea>
    </format>
    <format dxfId="252">
      <pivotArea outline="0" fieldPosition="0">
        <references count="1">
          <reference field="4294967294" count="1">
            <x v="14"/>
          </reference>
        </references>
      </pivotArea>
    </format>
    <format dxfId="251">
      <pivotArea outline="0" fieldPosition="0">
        <references count="1">
          <reference field="4294967294" count="1">
            <x v="15"/>
          </reference>
        </references>
      </pivotArea>
    </format>
    <format dxfId="250">
      <pivotArea outline="0" fieldPosition="0">
        <references count="1">
          <reference field="4294967294" count="1">
            <x v="16"/>
          </reference>
        </references>
      </pivotArea>
    </format>
    <format dxfId="249">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24">
      <pivotArea dataOnly="0" labelOnly="1" outline="0" fieldPosition="0">
        <references count="1">
          <reference field="4294967294" count="3">
            <x v="3"/>
            <x v="4"/>
            <x v="5"/>
          </reference>
        </references>
      </pivotArea>
    </format>
    <format dxfId="323">
      <pivotArea dataOnly="0" labelOnly="1" outline="0" fieldPosition="0">
        <references count="1">
          <reference field="4294967294" count="3">
            <x v="9"/>
            <x v="10"/>
            <x v="11"/>
          </reference>
        </references>
      </pivotArea>
    </format>
    <format dxfId="322">
      <pivotArea dataOnly="0" labelOnly="1" outline="0" fieldPosition="0">
        <references count="1">
          <reference field="4294967294" count="3">
            <x v="15"/>
            <x v="16"/>
            <x v="17"/>
          </reference>
        </references>
      </pivotArea>
    </format>
    <format dxfId="321">
      <pivotArea field="4" type="button" dataOnly="0" labelOnly="1" outline="0" axis="axisPage" fieldPosition="2"/>
    </format>
    <format dxfId="320">
      <pivotArea dataOnly="0" labelOnly="1" fieldPosition="0">
        <references count="1">
          <reference field="4" count="1">
            <x v="0"/>
          </reference>
        </references>
      </pivotArea>
    </format>
    <format dxfId="319">
      <pivotArea dataOnly="0" labelOnly="1" outline="0" fieldPosition="0">
        <references count="1">
          <reference field="4294967294" count="1">
            <x v="0"/>
          </reference>
        </references>
      </pivotArea>
    </format>
    <format dxfId="318">
      <pivotArea field="4" type="button" dataOnly="0" labelOnly="1" outline="0" axis="axisPage" fieldPosition="2"/>
    </format>
    <format dxfId="317">
      <pivotArea field="2" type="button" dataOnly="0" labelOnly="1" outline="0" axis="axisRow" fieldPosition="0"/>
    </format>
    <format dxfId="316">
      <pivotArea dataOnly="0" labelOnly="1" fieldPosition="0">
        <references count="1">
          <reference field="2" count="1">
            <x v="0"/>
          </reference>
        </references>
      </pivotArea>
    </format>
    <format dxfId="315">
      <pivotArea dataOnly="0" labelOnly="1" grandRow="1" outline="0" fieldPosition="0"/>
    </format>
    <format dxfId="314">
      <pivotArea outline="0" collapsedLevelsAreSubtotals="1" fieldPosition="0">
        <references count="1">
          <reference field="4294967294" count="1" selected="0">
            <x v="3"/>
          </reference>
        </references>
      </pivotArea>
    </format>
    <format dxfId="313">
      <pivotArea dataOnly="0" labelOnly="1" outline="0" fieldPosition="0">
        <references count="1">
          <reference field="4294967294" count="1">
            <x v="3"/>
          </reference>
        </references>
      </pivotArea>
    </format>
    <format dxfId="312">
      <pivotArea outline="0" collapsedLevelsAreSubtotals="1" fieldPosition="0">
        <references count="1">
          <reference field="4294967294" count="1" selected="0">
            <x v="6"/>
          </reference>
        </references>
      </pivotArea>
    </format>
    <format dxfId="311">
      <pivotArea dataOnly="0" labelOnly="1" outline="0" fieldPosition="0">
        <references count="1">
          <reference field="4294967294" count="1">
            <x v="6"/>
          </reference>
        </references>
      </pivotArea>
    </format>
    <format dxfId="310">
      <pivotArea outline="0" collapsedLevelsAreSubtotals="1" fieldPosition="0">
        <references count="1">
          <reference field="4294967294" count="1" selected="0">
            <x v="9"/>
          </reference>
        </references>
      </pivotArea>
    </format>
    <format dxfId="309">
      <pivotArea dataOnly="0" labelOnly="1" outline="0" fieldPosition="0">
        <references count="1">
          <reference field="4294967294" count="1">
            <x v="9"/>
          </reference>
        </references>
      </pivotArea>
    </format>
    <format dxfId="308">
      <pivotArea outline="0" collapsedLevelsAreSubtotals="1" fieldPosition="0">
        <references count="1">
          <reference field="4294967294" count="1" selected="0">
            <x v="12"/>
          </reference>
        </references>
      </pivotArea>
    </format>
    <format dxfId="307">
      <pivotArea dataOnly="0" labelOnly="1" outline="0" fieldPosition="0">
        <references count="1">
          <reference field="4294967294" count="1">
            <x v="12"/>
          </reference>
        </references>
      </pivotArea>
    </format>
    <format dxfId="306">
      <pivotArea outline="0" collapsedLevelsAreSubtotals="1" fieldPosition="0">
        <references count="1">
          <reference field="4294967294" count="1" selected="0">
            <x v="15"/>
          </reference>
        </references>
      </pivotArea>
    </format>
    <format dxfId="305">
      <pivotArea dataOnly="0" labelOnly="1" outline="0" fieldPosition="0">
        <references count="1">
          <reference field="4294967294" count="1">
            <x v="15"/>
          </reference>
        </references>
      </pivotArea>
    </format>
    <format dxfId="304">
      <pivotArea outline="0" collapsedLevelsAreSubtotals="1" fieldPosition="0">
        <references count="1">
          <reference field="4294967294" count="1" selected="0">
            <x v="17"/>
          </reference>
        </references>
      </pivotArea>
    </format>
    <format dxfId="303">
      <pivotArea dataOnly="0" labelOnly="1" outline="0" fieldPosition="0">
        <references count="1">
          <reference field="4294967294" count="1">
            <x v="17"/>
          </reference>
        </references>
      </pivotArea>
    </format>
    <format dxfId="302">
      <pivotArea outline="0" fieldPosition="0">
        <references count="1">
          <reference field="4294967294" count="1">
            <x v="0"/>
          </reference>
        </references>
      </pivotArea>
    </format>
    <format dxfId="301">
      <pivotArea outline="0" fieldPosition="0">
        <references count="1">
          <reference field="4294967294" count="1">
            <x v="1"/>
          </reference>
        </references>
      </pivotArea>
    </format>
    <format dxfId="300">
      <pivotArea outline="0" fieldPosition="0">
        <references count="1">
          <reference field="4294967294" count="1">
            <x v="2"/>
          </reference>
        </references>
      </pivotArea>
    </format>
    <format dxfId="299">
      <pivotArea outline="0" fieldPosition="0">
        <references count="1">
          <reference field="4294967294" count="1">
            <x v="3"/>
          </reference>
        </references>
      </pivotArea>
    </format>
    <format dxfId="298">
      <pivotArea outline="0" fieldPosition="0">
        <references count="1">
          <reference field="4294967294" count="1">
            <x v="4"/>
          </reference>
        </references>
      </pivotArea>
    </format>
    <format dxfId="297">
      <pivotArea outline="0" fieldPosition="0">
        <references count="1">
          <reference field="4294967294" count="1">
            <x v="5"/>
          </reference>
        </references>
      </pivotArea>
    </format>
    <format dxfId="296">
      <pivotArea outline="0" fieldPosition="0">
        <references count="1">
          <reference field="4294967294" count="1">
            <x v="6"/>
          </reference>
        </references>
      </pivotArea>
    </format>
    <format dxfId="295">
      <pivotArea outline="0" fieldPosition="0">
        <references count="1">
          <reference field="4294967294" count="1">
            <x v="7"/>
          </reference>
        </references>
      </pivotArea>
    </format>
    <format dxfId="294">
      <pivotArea outline="0" fieldPosition="0">
        <references count="1">
          <reference field="4294967294" count="1">
            <x v="8"/>
          </reference>
        </references>
      </pivotArea>
    </format>
    <format dxfId="293">
      <pivotArea outline="0" fieldPosition="0">
        <references count="1">
          <reference field="4294967294" count="1">
            <x v="9"/>
          </reference>
        </references>
      </pivotArea>
    </format>
    <format dxfId="292">
      <pivotArea outline="0" fieldPosition="0">
        <references count="1">
          <reference field="4294967294" count="1">
            <x v="10"/>
          </reference>
        </references>
      </pivotArea>
    </format>
    <format dxfId="291">
      <pivotArea outline="0" fieldPosition="0">
        <references count="1">
          <reference field="4294967294" count="1">
            <x v="11"/>
          </reference>
        </references>
      </pivotArea>
    </format>
    <format dxfId="290">
      <pivotArea outline="0" fieldPosition="0">
        <references count="1">
          <reference field="4294967294" count="1">
            <x v="12"/>
          </reference>
        </references>
      </pivotArea>
    </format>
    <format dxfId="289">
      <pivotArea outline="0" fieldPosition="0">
        <references count="1">
          <reference field="4294967294" count="1">
            <x v="13"/>
          </reference>
        </references>
      </pivotArea>
    </format>
    <format dxfId="288">
      <pivotArea outline="0" fieldPosition="0">
        <references count="1">
          <reference field="4294967294" count="1">
            <x v="14"/>
          </reference>
        </references>
      </pivotArea>
    </format>
    <format dxfId="287">
      <pivotArea outline="0" fieldPosition="0">
        <references count="1">
          <reference field="4294967294" count="1">
            <x v="15"/>
          </reference>
        </references>
      </pivotArea>
    </format>
    <format dxfId="286">
      <pivotArea outline="0" fieldPosition="0">
        <references count="1">
          <reference field="4294967294" count="1">
            <x v="16"/>
          </reference>
        </references>
      </pivotArea>
    </format>
    <format dxfId="285">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6">
      <pivotArea outline="0" collapsedLevelsAreSubtotals="1" fieldPosition="0">
        <references count="1">
          <reference field="4294967294" count="1" selected="0">
            <x v="3"/>
          </reference>
        </references>
      </pivotArea>
    </format>
    <format dxfId="225">
      <pivotArea dataOnly="0" labelOnly="1" outline="0" fieldPosition="0">
        <references count="1">
          <reference field="4294967294" count="1">
            <x v="3"/>
          </reference>
        </references>
      </pivotArea>
    </format>
    <format dxfId="224">
      <pivotArea outline="0" collapsedLevelsAreSubtotals="1" fieldPosition="0">
        <references count="1">
          <reference field="4294967294" count="1" selected="0">
            <x v="6"/>
          </reference>
        </references>
      </pivotArea>
    </format>
    <format dxfId="223">
      <pivotArea dataOnly="0" labelOnly="1" outline="0" fieldPosition="0">
        <references count="1">
          <reference field="4294967294" count="1">
            <x v="6"/>
          </reference>
        </references>
      </pivotArea>
    </format>
    <format dxfId="222">
      <pivotArea outline="0" collapsedLevelsAreSubtotals="1" fieldPosition="0">
        <references count="1">
          <reference field="4294967294" count="1" selected="0">
            <x v="9"/>
          </reference>
        </references>
      </pivotArea>
    </format>
    <format dxfId="221">
      <pivotArea dataOnly="0" labelOnly="1" outline="0" fieldPosition="0">
        <references count="1">
          <reference field="4294967294" count="1">
            <x v="9"/>
          </reference>
        </references>
      </pivotArea>
    </format>
    <format dxfId="220">
      <pivotArea outline="0" collapsedLevelsAreSubtotals="1" fieldPosition="0">
        <references count="1">
          <reference field="4294967294" count="1" selected="0">
            <x v="12"/>
          </reference>
        </references>
      </pivotArea>
    </format>
    <format dxfId="219">
      <pivotArea dataOnly="0" labelOnly="1" outline="0" fieldPosition="0">
        <references count="1">
          <reference field="4294967294" count="1">
            <x v="12"/>
          </reference>
        </references>
      </pivotArea>
    </format>
    <format dxfId="218">
      <pivotArea outline="0" collapsedLevelsAreSubtotals="1" fieldPosition="0">
        <references count="1">
          <reference field="4294967294" count="1" selected="0">
            <x v="15"/>
          </reference>
        </references>
      </pivotArea>
    </format>
    <format dxfId="217">
      <pivotArea dataOnly="0" labelOnly="1" outline="0" fieldPosition="0">
        <references count="1">
          <reference field="4294967294" count="1">
            <x v="15"/>
          </reference>
        </references>
      </pivotArea>
    </format>
    <format dxfId="216">
      <pivotArea dataOnly="0" labelOnly="1" outline="0" fieldPosition="0">
        <references count="1">
          <reference field="4294967294" count="3">
            <x v="3"/>
            <x v="4"/>
            <x v="5"/>
          </reference>
        </references>
      </pivotArea>
    </format>
    <format dxfId="215">
      <pivotArea dataOnly="0" labelOnly="1" outline="0" fieldPosition="0">
        <references count="1">
          <reference field="4294967294" count="3">
            <x v="9"/>
            <x v="10"/>
            <x v="11"/>
          </reference>
        </references>
      </pivotArea>
    </format>
    <format dxfId="214">
      <pivotArea dataOnly="0" labelOnly="1" outline="0" fieldPosition="0">
        <references count="1">
          <reference field="4294967294" count="3">
            <x v="15"/>
            <x v="16"/>
            <x v="17"/>
          </reference>
        </references>
      </pivotArea>
    </format>
    <format dxfId="213">
      <pivotArea field="4" type="button" dataOnly="0" labelOnly="1" outline="0" axis="axisRow" fieldPosition="0"/>
    </format>
    <format dxfId="212">
      <pivotArea dataOnly="0" labelOnly="1" fieldPosition="0">
        <references count="1">
          <reference field="4" count="1">
            <x v="0"/>
          </reference>
        </references>
      </pivotArea>
    </format>
    <format dxfId="211">
      <pivotArea dataOnly="0" labelOnly="1" grandRow="1" outline="0" fieldPosition="0"/>
    </format>
    <format dxfId="210">
      <pivotArea dataOnly="0" labelOnly="1" outline="0" fieldPosition="0">
        <references count="1">
          <reference field="4294967294" count="1">
            <x v="0"/>
          </reference>
        </references>
      </pivotArea>
    </format>
    <format dxfId="209">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4"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48">
      <pivotArea dataOnly="0" labelOnly="1" outline="0" fieldPosition="0">
        <references count="1">
          <reference field="4294967294" count="3">
            <x v="3"/>
            <x v="4"/>
            <x v="5"/>
          </reference>
        </references>
      </pivotArea>
    </format>
    <format dxfId="247">
      <pivotArea dataOnly="0" labelOnly="1" outline="0" fieldPosition="0">
        <references count="1">
          <reference field="4294967294" count="3">
            <x v="9"/>
            <x v="10"/>
            <x v="11"/>
          </reference>
        </references>
      </pivotArea>
    </format>
    <format dxfId="246">
      <pivotArea dataOnly="0" labelOnly="1" outline="0" fieldPosition="0">
        <references count="1">
          <reference field="4294967294" count="3">
            <x v="15"/>
            <x v="16"/>
            <x v="17"/>
          </reference>
        </references>
      </pivotArea>
    </format>
    <format dxfId="245">
      <pivotArea field="4" type="button" dataOnly="0" labelOnly="1" outline="0" axis="axisPage" fieldPosition="2"/>
    </format>
    <format dxfId="244">
      <pivotArea dataOnly="0" labelOnly="1" fieldPosition="0">
        <references count="1">
          <reference field="4" count="1">
            <x v="0"/>
          </reference>
        </references>
      </pivotArea>
    </format>
    <format dxfId="243">
      <pivotArea dataOnly="0" labelOnly="1" outline="0" fieldPosition="0">
        <references count="1">
          <reference field="4294967294" count="1">
            <x v="0"/>
          </reference>
        </references>
      </pivotArea>
    </format>
    <format dxfId="242">
      <pivotArea field="4" type="button" dataOnly="0" labelOnly="1" outline="0" axis="axisPage" fieldPosition="2"/>
    </format>
    <format dxfId="241">
      <pivotArea field="2" type="button" dataOnly="0" labelOnly="1" outline="0" axis="axisRow" fieldPosition="0"/>
    </format>
    <format dxfId="240">
      <pivotArea dataOnly="0" labelOnly="1" fieldPosition="0">
        <references count="1">
          <reference field="2" count="1">
            <x v="0"/>
          </reference>
        </references>
      </pivotArea>
    </format>
    <format dxfId="239">
      <pivotArea dataOnly="0" labelOnly="1" grandRow="1" outline="0" fieldPosition="0"/>
    </format>
    <format dxfId="238">
      <pivotArea outline="0" collapsedLevelsAreSubtotals="1" fieldPosition="0">
        <references count="1">
          <reference field="4294967294" count="1" selected="0">
            <x v="3"/>
          </reference>
        </references>
      </pivotArea>
    </format>
    <format dxfId="237">
      <pivotArea dataOnly="0" labelOnly="1" outline="0" fieldPosition="0">
        <references count="1">
          <reference field="4294967294" count="1">
            <x v="3"/>
          </reference>
        </references>
      </pivotArea>
    </format>
    <format dxfId="236">
      <pivotArea outline="0" collapsedLevelsAreSubtotals="1" fieldPosition="0">
        <references count="1">
          <reference field="4294967294" count="1" selected="0">
            <x v="6"/>
          </reference>
        </references>
      </pivotArea>
    </format>
    <format dxfId="235">
      <pivotArea dataOnly="0" labelOnly="1" outline="0" fieldPosition="0">
        <references count="1">
          <reference field="4294967294" count="1">
            <x v="6"/>
          </reference>
        </references>
      </pivotArea>
    </format>
    <format dxfId="234">
      <pivotArea outline="0" collapsedLevelsAreSubtotals="1" fieldPosition="0">
        <references count="1">
          <reference field="4294967294" count="1" selected="0">
            <x v="9"/>
          </reference>
        </references>
      </pivotArea>
    </format>
    <format dxfId="233">
      <pivotArea dataOnly="0" labelOnly="1" outline="0" fieldPosition="0">
        <references count="1">
          <reference field="4294967294" count="1">
            <x v="9"/>
          </reference>
        </references>
      </pivotArea>
    </format>
    <format dxfId="232">
      <pivotArea outline="0" collapsedLevelsAreSubtotals="1" fieldPosition="0">
        <references count="1">
          <reference field="4294967294" count="1" selected="0">
            <x v="12"/>
          </reference>
        </references>
      </pivotArea>
    </format>
    <format dxfId="231">
      <pivotArea dataOnly="0" labelOnly="1" outline="0" fieldPosition="0">
        <references count="1">
          <reference field="4294967294" count="1">
            <x v="12"/>
          </reference>
        </references>
      </pivotArea>
    </format>
    <format dxfId="230">
      <pivotArea outline="0" collapsedLevelsAreSubtotals="1" fieldPosition="0">
        <references count="1">
          <reference field="4294967294" count="1" selected="0">
            <x v="15"/>
          </reference>
        </references>
      </pivotArea>
    </format>
    <format dxfId="229">
      <pivotArea dataOnly="0" labelOnly="1" outline="0" fieldPosition="0">
        <references count="1">
          <reference field="4294967294" count="1">
            <x v="15"/>
          </reference>
        </references>
      </pivotArea>
    </format>
    <format dxfId="228">
      <pivotArea outline="0" collapsedLevelsAreSubtotals="1" fieldPosition="0">
        <references count="1">
          <reference field="4294967294" count="1" selected="0">
            <x v="17"/>
          </reference>
        </references>
      </pivotArea>
    </format>
    <format dxfId="227">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8">
      <pivotArea outline="0" collapsedLevelsAreSubtotals="1" fieldPosition="0">
        <references count="1">
          <reference field="4294967294" count="1" selected="0">
            <x v="3"/>
          </reference>
        </references>
      </pivotArea>
    </format>
    <format dxfId="167">
      <pivotArea dataOnly="0" labelOnly="1" outline="0" fieldPosition="0">
        <references count="1">
          <reference field="4294967294" count="1">
            <x v="3"/>
          </reference>
        </references>
      </pivotArea>
    </format>
    <format dxfId="166">
      <pivotArea outline="0" collapsedLevelsAreSubtotals="1" fieldPosition="0">
        <references count="1">
          <reference field="4294967294" count="1" selected="0">
            <x v="6"/>
          </reference>
        </references>
      </pivotArea>
    </format>
    <format dxfId="165">
      <pivotArea dataOnly="0" labelOnly="1" outline="0" fieldPosition="0">
        <references count="1">
          <reference field="4294967294" count="1">
            <x v="6"/>
          </reference>
        </references>
      </pivotArea>
    </format>
    <format dxfId="164">
      <pivotArea outline="0" collapsedLevelsAreSubtotals="1" fieldPosition="0">
        <references count="1">
          <reference field="4294967294" count="1" selected="0">
            <x v="9"/>
          </reference>
        </references>
      </pivotArea>
    </format>
    <format dxfId="163">
      <pivotArea dataOnly="0" labelOnly="1" outline="0" fieldPosition="0">
        <references count="1">
          <reference field="4294967294" count="1">
            <x v="9"/>
          </reference>
        </references>
      </pivotArea>
    </format>
    <format dxfId="162">
      <pivotArea outline="0" collapsedLevelsAreSubtotals="1" fieldPosition="0">
        <references count="1">
          <reference field="4294967294" count="1" selected="0">
            <x v="12"/>
          </reference>
        </references>
      </pivotArea>
    </format>
    <format dxfId="161">
      <pivotArea dataOnly="0" labelOnly="1" outline="0" fieldPosition="0">
        <references count="1">
          <reference field="4294967294" count="1">
            <x v="12"/>
          </reference>
        </references>
      </pivotArea>
    </format>
    <format dxfId="160">
      <pivotArea outline="0" collapsedLevelsAreSubtotals="1" fieldPosition="0">
        <references count="1">
          <reference field="4294967294" count="1" selected="0">
            <x v="15"/>
          </reference>
        </references>
      </pivotArea>
    </format>
    <format dxfId="159">
      <pivotArea dataOnly="0" labelOnly="1" outline="0" fieldPosition="0">
        <references count="1">
          <reference field="4294967294" count="1">
            <x v="15"/>
          </reference>
        </references>
      </pivotArea>
    </format>
    <format dxfId="158">
      <pivotArea dataOnly="0" labelOnly="1" outline="0" fieldPosition="0">
        <references count="1">
          <reference field="4294967294" count="3">
            <x v="3"/>
            <x v="4"/>
            <x v="5"/>
          </reference>
        </references>
      </pivotArea>
    </format>
    <format dxfId="157">
      <pivotArea dataOnly="0" labelOnly="1" outline="0" fieldPosition="0">
        <references count="1">
          <reference field="4294967294" count="3">
            <x v="9"/>
            <x v="10"/>
            <x v="11"/>
          </reference>
        </references>
      </pivotArea>
    </format>
    <format dxfId="156">
      <pivotArea dataOnly="0" labelOnly="1" outline="0" fieldPosition="0">
        <references count="1">
          <reference field="4294967294" count="3">
            <x v="15"/>
            <x v="16"/>
            <x v="17"/>
          </reference>
        </references>
      </pivotArea>
    </format>
    <format dxfId="155">
      <pivotArea field="4" type="button" dataOnly="0" labelOnly="1" outline="0" axis="axisRow" fieldPosition="0"/>
    </format>
    <format dxfId="154">
      <pivotArea dataOnly="0" labelOnly="1" fieldPosition="0">
        <references count="1">
          <reference field="4" count="1">
            <x v="0"/>
          </reference>
        </references>
      </pivotArea>
    </format>
    <format dxfId="153">
      <pivotArea dataOnly="0" labelOnly="1" grandRow="1" outline="0" fieldPosition="0"/>
    </format>
    <format dxfId="152">
      <pivotArea dataOnly="0" labelOnly="1" outline="0" fieldPosition="0">
        <references count="1">
          <reference field="4294967294" count="1">
            <x v="0"/>
          </reference>
        </references>
      </pivotArea>
    </format>
    <format dxfId="151">
      <pivotArea field="4" type="button" dataOnly="0" labelOnly="1" outline="0" axis="axisRow" fieldPosition="0"/>
    </format>
    <format dxfId="150">
      <pivotArea outline="0" fieldPosition="0">
        <references count="1">
          <reference field="4294967294" count="1">
            <x v="0"/>
          </reference>
        </references>
      </pivotArea>
    </format>
    <format dxfId="149">
      <pivotArea outline="0" fieldPosition="0">
        <references count="1">
          <reference field="4294967294" count="1">
            <x v="1"/>
          </reference>
        </references>
      </pivotArea>
    </format>
    <format dxfId="148">
      <pivotArea outline="0" fieldPosition="0">
        <references count="1">
          <reference field="4294967294" count="1">
            <x v="2"/>
          </reference>
        </references>
      </pivotArea>
    </format>
    <format dxfId="147">
      <pivotArea outline="0" fieldPosition="0">
        <references count="1">
          <reference field="4294967294" count="1">
            <x v="3"/>
          </reference>
        </references>
      </pivotArea>
    </format>
    <format dxfId="146">
      <pivotArea outline="0" fieldPosition="0">
        <references count="1">
          <reference field="4294967294" count="1">
            <x v="4"/>
          </reference>
        </references>
      </pivotArea>
    </format>
    <format dxfId="145">
      <pivotArea outline="0" fieldPosition="0">
        <references count="1">
          <reference field="4294967294" count="1">
            <x v="5"/>
          </reference>
        </references>
      </pivotArea>
    </format>
    <format dxfId="144">
      <pivotArea outline="0" fieldPosition="0">
        <references count="1">
          <reference field="4294967294" count="1">
            <x v="6"/>
          </reference>
        </references>
      </pivotArea>
    </format>
    <format dxfId="143">
      <pivotArea outline="0" fieldPosition="0">
        <references count="1">
          <reference field="4294967294" count="1">
            <x v="7"/>
          </reference>
        </references>
      </pivotArea>
    </format>
    <format dxfId="142">
      <pivotArea outline="0" fieldPosition="0">
        <references count="1">
          <reference field="4294967294" count="1">
            <x v="8"/>
          </reference>
        </references>
      </pivotArea>
    </format>
    <format dxfId="141">
      <pivotArea outline="0" fieldPosition="0">
        <references count="1">
          <reference field="4294967294" count="1">
            <x v="9"/>
          </reference>
        </references>
      </pivotArea>
    </format>
    <format dxfId="140">
      <pivotArea outline="0" fieldPosition="0">
        <references count="1">
          <reference field="4294967294" count="1">
            <x v="10"/>
          </reference>
        </references>
      </pivotArea>
    </format>
    <format dxfId="139">
      <pivotArea outline="0" fieldPosition="0">
        <references count="1">
          <reference field="4294967294" count="1">
            <x v="11"/>
          </reference>
        </references>
      </pivotArea>
    </format>
    <format dxfId="138">
      <pivotArea outline="0" fieldPosition="0">
        <references count="1">
          <reference field="4294967294" count="1">
            <x v="12"/>
          </reference>
        </references>
      </pivotArea>
    </format>
    <format dxfId="137">
      <pivotArea outline="0" fieldPosition="0">
        <references count="1">
          <reference field="4294967294" count="1">
            <x v="13"/>
          </reference>
        </references>
      </pivotArea>
    </format>
    <format dxfId="136">
      <pivotArea outline="0" fieldPosition="0">
        <references count="1">
          <reference field="4294967294" count="1">
            <x v="14"/>
          </reference>
        </references>
      </pivotArea>
    </format>
    <format dxfId="135">
      <pivotArea outline="0" fieldPosition="0">
        <references count="1">
          <reference field="4294967294" count="1">
            <x v="15"/>
          </reference>
        </references>
      </pivotArea>
    </format>
    <format dxfId="134">
      <pivotArea outline="0" fieldPosition="0">
        <references count="1">
          <reference field="4294967294" count="1">
            <x v="16"/>
          </reference>
        </references>
      </pivotArea>
    </format>
    <format dxfId="133">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4"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08">
      <pivotArea dataOnly="0" labelOnly="1" outline="0" fieldPosition="0">
        <references count="1">
          <reference field="4294967294" count="3">
            <x v="3"/>
            <x v="4"/>
            <x v="5"/>
          </reference>
        </references>
      </pivotArea>
    </format>
    <format dxfId="207">
      <pivotArea dataOnly="0" labelOnly="1" outline="0" fieldPosition="0">
        <references count="1">
          <reference field="4294967294" count="3">
            <x v="9"/>
            <x v="10"/>
            <x v="11"/>
          </reference>
        </references>
      </pivotArea>
    </format>
    <format dxfId="206">
      <pivotArea dataOnly="0" labelOnly="1" outline="0" fieldPosition="0">
        <references count="1">
          <reference field="4294967294" count="3">
            <x v="15"/>
            <x v="16"/>
            <x v="17"/>
          </reference>
        </references>
      </pivotArea>
    </format>
    <format dxfId="205">
      <pivotArea field="4" type="button" dataOnly="0" labelOnly="1" outline="0" axis="axisPage" fieldPosition="2"/>
    </format>
    <format dxfId="204">
      <pivotArea dataOnly="0" labelOnly="1" fieldPosition="0">
        <references count="1">
          <reference field="4" count="1">
            <x v="0"/>
          </reference>
        </references>
      </pivotArea>
    </format>
    <format dxfId="203">
      <pivotArea dataOnly="0" labelOnly="1" outline="0" fieldPosition="0">
        <references count="1">
          <reference field="4294967294" count="1">
            <x v="0"/>
          </reference>
        </references>
      </pivotArea>
    </format>
    <format dxfId="202">
      <pivotArea field="4" type="button" dataOnly="0" labelOnly="1" outline="0" axis="axisPage" fieldPosition="2"/>
    </format>
    <format dxfId="201">
      <pivotArea field="2" type="button" dataOnly="0" labelOnly="1" outline="0" axis="axisRow" fieldPosition="0"/>
    </format>
    <format dxfId="200">
      <pivotArea dataOnly="0" labelOnly="1" fieldPosition="0">
        <references count="1">
          <reference field="2" count="1">
            <x v="0"/>
          </reference>
        </references>
      </pivotArea>
    </format>
    <format dxfId="199">
      <pivotArea dataOnly="0" labelOnly="1" grandRow="1" outline="0" fieldPosition="0"/>
    </format>
    <format dxfId="198">
      <pivotArea outline="0" collapsedLevelsAreSubtotals="1" fieldPosition="0">
        <references count="1">
          <reference field="4294967294" count="1" selected="0">
            <x v="3"/>
          </reference>
        </references>
      </pivotArea>
    </format>
    <format dxfId="197">
      <pivotArea dataOnly="0" labelOnly="1" outline="0" fieldPosition="0">
        <references count="1">
          <reference field="4294967294" count="1">
            <x v="3"/>
          </reference>
        </references>
      </pivotArea>
    </format>
    <format dxfId="196">
      <pivotArea outline="0" collapsedLevelsAreSubtotals="1" fieldPosition="0">
        <references count="1">
          <reference field="4294967294" count="1" selected="0">
            <x v="6"/>
          </reference>
        </references>
      </pivotArea>
    </format>
    <format dxfId="195">
      <pivotArea dataOnly="0" labelOnly="1" outline="0" fieldPosition="0">
        <references count="1">
          <reference field="4294967294" count="1">
            <x v="6"/>
          </reference>
        </references>
      </pivotArea>
    </format>
    <format dxfId="194">
      <pivotArea outline="0" collapsedLevelsAreSubtotals="1" fieldPosition="0">
        <references count="1">
          <reference field="4294967294" count="1" selected="0">
            <x v="9"/>
          </reference>
        </references>
      </pivotArea>
    </format>
    <format dxfId="193">
      <pivotArea dataOnly="0" labelOnly="1" outline="0" fieldPosition="0">
        <references count="1">
          <reference field="4294967294" count="1">
            <x v="9"/>
          </reference>
        </references>
      </pivotArea>
    </format>
    <format dxfId="192">
      <pivotArea outline="0" collapsedLevelsAreSubtotals="1" fieldPosition="0">
        <references count="1">
          <reference field="4294967294" count="1" selected="0">
            <x v="12"/>
          </reference>
        </references>
      </pivotArea>
    </format>
    <format dxfId="191">
      <pivotArea dataOnly="0" labelOnly="1" outline="0" fieldPosition="0">
        <references count="1">
          <reference field="4294967294" count="1">
            <x v="12"/>
          </reference>
        </references>
      </pivotArea>
    </format>
    <format dxfId="190">
      <pivotArea outline="0" collapsedLevelsAreSubtotals="1" fieldPosition="0">
        <references count="1">
          <reference field="4294967294" count="1" selected="0">
            <x v="15"/>
          </reference>
        </references>
      </pivotArea>
    </format>
    <format dxfId="189">
      <pivotArea dataOnly="0" labelOnly="1" outline="0" fieldPosition="0">
        <references count="1">
          <reference field="4294967294" count="1">
            <x v="15"/>
          </reference>
        </references>
      </pivotArea>
    </format>
    <format dxfId="188">
      <pivotArea outline="0" collapsedLevelsAreSubtotals="1" fieldPosition="0">
        <references count="1">
          <reference field="4294967294" count="1" selected="0">
            <x v="17"/>
          </reference>
        </references>
      </pivotArea>
    </format>
    <format dxfId="187">
      <pivotArea dataOnly="0" labelOnly="1" outline="0" fieldPosition="0">
        <references count="1">
          <reference field="4294967294" count="1">
            <x v="17"/>
          </reference>
        </references>
      </pivotArea>
    </format>
    <format dxfId="186">
      <pivotArea outline="0" fieldPosition="0">
        <references count="1">
          <reference field="4294967294" count="1">
            <x v="0"/>
          </reference>
        </references>
      </pivotArea>
    </format>
    <format dxfId="185">
      <pivotArea outline="0" fieldPosition="0">
        <references count="1">
          <reference field="4294967294" count="1">
            <x v="1"/>
          </reference>
        </references>
      </pivotArea>
    </format>
    <format dxfId="184">
      <pivotArea outline="0" fieldPosition="0">
        <references count="1">
          <reference field="4294967294" count="1">
            <x v="2"/>
          </reference>
        </references>
      </pivotArea>
    </format>
    <format dxfId="183">
      <pivotArea outline="0" fieldPosition="0">
        <references count="1">
          <reference field="4294967294" count="1">
            <x v="3"/>
          </reference>
        </references>
      </pivotArea>
    </format>
    <format dxfId="182">
      <pivotArea outline="0" fieldPosition="0">
        <references count="1">
          <reference field="4294967294" count="1">
            <x v="4"/>
          </reference>
        </references>
      </pivotArea>
    </format>
    <format dxfId="181">
      <pivotArea outline="0" fieldPosition="0">
        <references count="1">
          <reference field="4294967294" count="1">
            <x v="5"/>
          </reference>
        </references>
      </pivotArea>
    </format>
    <format dxfId="180">
      <pivotArea outline="0" fieldPosition="0">
        <references count="1">
          <reference field="4294967294" count="1">
            <x v="6"/>
          </reference>
        </references>
      </pivotArea>
    </format>
    <format dxfId="179">
      <pivotArea outline="0" fieldPosition="0">
        <references count="1">
          <reference field="4294967294" count="1">
            <x v="7"/>
          </reference>
        </references>
      </pivotArea>
    </format>
    <format dxfId="178">
      <pivotArea outline="0" fieldPosition="0">
        <references count="1">
          <reference field="4294967294" count="1">
            <x v="8"/>
          </reference>
        </references>
      </pivotArea>
    </format>
    <format dxfId="177">
      <pivotArea outline="0" fieldPosition="0">
        <references count="1">
          <reference field="4294967294" count="1">
            <x v="9"/>
          </reference>
        </references>
      </pivotArea>
    </format>
    <format dxfId="176">
      <pivotArea outline="0" fieldPosition="0">
        <references count="1">
          <reference field="4294967294" count="1">
            <x v="10"/>
          </reference>
        </references>
      </pivotArea>
    </format>
    <format dxfId="175">
      <pivotArea outline="0" fieldPosition="0">
        <references count="1">
          <reference field="4294967294" count="1">
            <x v="11"/>
          </reference>
        </references>
      </pivotArea>
    </format>
    <format dxfId="174">
      <pivotArea outline="0" fieldPosition="0">
        <references count="1">
          <reference field="4294967294" count="1">
            <x v="12"/>
          </reference>
        </references>
      </pivotArea>
    </format>
    <format dxfId="173">
      <pivotArea outline="0" fieldPosition="0">
        <references count="1">
          <reference field="4294967294" count="1">
            <x v="13"/>
          </reference>
        </references>
      </pivotArea>
    </format>
    <format dxfId="172">
      <pivotArea outline="0" fieldPosition="0">
        <references count="1">
          <reference field="4294967294" count="1">
            <x v="14"/>
          </reference>
        </references>
      </pivotArea>
    </format>
    <format dxfId="171">
      <pivotArea outline="0" fieldPosition="0">
        <references count="1">
          <reference field="4294967294" count="1">
            <x v="15"/>
          </reference>
        </references>
      </pivotArea>
    </format>
    <format dxfId="170">
      <pivotArea outline="0" fieldPosition="0">
        <references count="1">
          <reference field="4294967294" count="1">
            <x v="16"/>
          </reference>
        </references>
      </pivotArea>
    </format>
    <format dxfId="169">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90">
      <pivotArea outline="0" collapsedLevelsAreSubtotals="1" fieldPosition="0">
        <references count="1">
          <reference field="4294967294" count="1" selected="0">
            <x v="3"/>
          </reference>
        </references>
      </pivotArea>
    </format>
    <format dxfId="89">
      <pivotArea dataOnly="0" labelOnly="1" outline="0" fieldPosition="0">
        <references count="1">
          <reference field="4294967294" count="1">
            <x v="3"/>
          </reference>
        </references>
      </pivotArea>
    </format>
    <format dxfId="88">
      <pivotArea outline="0" collapsedLevelsAreSubtotals="1" fieldPosition="0">
        <references count="1">
          <reference field="4294967294" count="1" selected="0">
            <x v="6"/>
          </reference>
        </references>
      </pivotArea>
    </format>
    <format dxfId="87">
      <pivotArea dataOnly="0" labelOnly="1" outline="0" fieldPosition="0">
        <references count="1">
          <reference field="4294967294" count="1">
            <x v="6"/>
          </reference>
        </references>
      </pivotArea>
    </format>
    <format dxfId="86">
      <pivotArea outline="0" collapsedLevelsAreSubtotals="1" fieldPosition="0">
        <references count="1">
          <reference field="4294967294" count="1" selected="0">
            <x v="9"/>
          </reference>
        </references>
      </pivotArea>
    </format>
    <format dxfId="85">
      <pivotArea dataOnly="0" labelOnly="1" outline="0" fieldPosition="0">
        <references count="1">
          <reference field="4294967294" count="1">
            <x v="9"/>
          </reference>
        </references>
      </pivotArea>
    </format>
    <format dxfId="84">
      <pivotArea outline="0" collapsedLevelsAreSubtotals="1" fieldPosition="0">
        <references count="1">
          <reference field="4294967294" count="1" selected="0">
            <x v="12"/>
          </reference>
        </references>
      </pivotArea>
    </format>
    <format dxfId="83">
      <pivotArea dataOnly="0" labelOnly="1" outline="0" fieldPosition="0">
        <references count="1">
          <reference field="4294967294" count="1">
            <x v="12"/>
          </reference>
        </references>
      </pivotArea>
    </format>
    <format dxfId="82">
      <pivotArea outline="0" collapsedLevelsAreSubtotals="1" fieldPosition="0">
        <references count="1">
          <reference field="4294967294" count="1" selected="0">
            <x v="15"/>
          </reference>
        </references>
      </pivotArea>
    </format>
    <format dxfId="81">
      <pivotArea dataOnly="0" labelOnly="1" outline="0" fieldPosition="0">
        <references count="1">
          <reference field="4294967294" count="1">
            <x v="15"/>
          </reference>
        </references>
      </pivotArea>
    </format>
    <format dxfId="80">
      <pivotArea dataOnly="0" labelOnly="1" outline="0" fieldPosition="0">
        <references count="1">
          <reference field="4294967294" count="3">
            <x v="3"/>
            <x v="4"/>
            <x v="5"/>
          </reference>
        </references>
      </pivotArea>
    </format>
    <format dxfId="79">
      <pivotArea dataOnly="0" labelOnly="1" outline="0" fieldPosition="0">
        <references count="1">
          <reference field="4294967294" count="3">
            <x v="9"/>
            <x v="10"/>
            <x v="11"/>
          </reference>
        </references>
      </pivotArea>
    </format>
    <format dxfId="78">
      <pivotArea dataOnly="0" labelOnly="1" outline="0" fieldPosition="0">
        <references count="1">
          <reference field="4294967294" count="3">
            <x v="15"/>
            <x v="16"/>
            <x v="17"/>
          </reference>
        </references>
      </pivotArea>
    </format>
    <format dxfId="77">
      <pivotArea field="4" type="button" dataOnly="0" labelOnly="1" outline="0" axis="axisRow" fieldPosition="0"/>
    </format>
    <format dxfId="76">
      <pivotArea dataOnly="0" labelOnly="1" fieldPosition="0">
        <references count="1">
          <reference field="4" count="1">
            <x v="0"/>
          </reference>
        </references>
      </pivotArea>
    </format>
    <format dxfId="75">
      <pivotArea dataOnly="0" labelOnly="1" grandRow="1" outline="0" fieldPosition="0"/>
    </format>
    <format dxfId="74">
      <pivotArea dataOnly="0" labelOnly="1" outline="0" fieldPosition="0">
        <references count="1">
          <reference field="4294967294" count="1">
            <x v="0"/>
          </reference>
        </references>
      </pivotArea>
    </format>
    <format dxfId="73">
      <pivotArea field="4" type="button" dataOnly="0" labelOnly="1" outline="0" axis="axisRow" fieldPosition="0"/>
    </format>
    <format dxfId="72">
      <pivotArea outline="0" fieldPosition="0">
        <references count="1">
          <reference field="4294967294" count="1">
            <x v="0"/>
          </reference>
        </references>
      </pivotArea>
    </format>
    <format dxfId="71">
      <pivotArea outline="0" fieldPosition="0">
        <references count="1">
          <reference field="4294967294" count="1">
            <x v="1"/>
          </reference>
        </references>
      </pivotArea>
    </format>
    <format dxfId="70">
      <pivotArea outline="0" fieldPosition="0">
        <references count="1">
          <reference field="4294967294" count="1">
            <x v="2"/>
          </reference>
        </references>
      </pivotArea>
    </format>
    <format dxfId="69">
      <pivotArea outline="0" fieldPosition="0">
        <references count="1">
          <reference field="4294967294" count="1">
            <x v="3"/>
          </reference>
        </references>
      </pivotArea>
    </format>
    <format dxfId="68">
      <pivotArea outline="0" fieldPosition="0">
        <references count="1">
          <reference field="4294967294" count="1">
            <x v="4"/>
          </reference>
        </references>
      </pivotArea>
    </format>
    <format dxfId="67">
      <pivotArea outline="0" fieldPosition="0">
        <references count="1">
          <reference field="4294967294" count="1">
            <x v="5"/>
          </reference>
        </references>
      </pivotArea>
    </format>
    <format dxfId="66">
      <pivotArea outline="0" fieldPosition="0">
        <references count="1">
          <reference field="4294967294" count="1">
            <x v="6"/>
          </reference>
        </references>
      </pivotArea>
    </format>
    <format dxfId="65">
      <pivotArea outline="0" fieldPosition="0">
        <references count="1">
          <reference field="4294967294" count="1">
            <x v="7"/>
          </reference>
        </references>
      </pivotArea>
    </format>
    <format dxfId="64">
      <pivotArea outline="0" fieldPosition="0">
        <references count="1">
          <reference field="4294967294" count="1">
            <x v="8"/>
          </reference>
        </references>
      </pivotArea>
    </format>
    <format dxfId="63">
      <pivotArea outline="0" fieldPosition="0">
        <references count="1">
          <reference field="4294967294" count="1">
            <x v="9"/>
          </reference>
        </references>
      </pivotArea>
    </format>
    <format dxfId="62">
      <pivotArea outline="0" fieldPosition="0">
        <references count="1">
          <reference field="4294967294" count="1">
            <x v="10"/>
          </reference>
        </references>
      </pivotArea>
    </format>
    <format dxfId="61">
      <pivotArea outline="0" fieldPosition="0">
        <references count="1">
          <reference field="4294967294" count="1">
            <x v="11"/>
          </reference>
        </references>
      </pivotArea>
    </format>
    <format dxfId="60">
      <pivotArea outline="0" fieldPosition="0">
        <references count="1">
          <reference field="4294967294" count="1">
            <x v="12"/>
          </reference>
        </references>
      </pivotArea>
    </format>
    <format dxfId="59">
      <pivotArea outline="0" fieldPosition="0">
        <references count="1">
          <reference field="4294967294" count="1">
            <x v="13"/>
          </reference>
        </references>
      </pivotArea>
    </format>
    <format dxfId="58">
      <pivotArea outline="0" fieldPosition="0">
        <references count="1">
          <reference field="4294967294" count="1">
            <x v="14"/>
          </reference>
        </references>
      </pivotArea>
    </format>
    <format dxfId="57">
      <pivotArea outline="0" fieldPosition="0">
        <references count="1">
          <reference field="4294967294" count="1">
            <x v="15"/>
          </reference>
        </references>
      </pivotArea>
    </format>
    <format dxfId="56">
      <pivotArea outline="0" fieldPosition="0">
        <references count="1">
          <reference field="4294967294" count="1">
            <x v="16"/>
          </reference>
        </references>
      </pivotArea>
    </format>
    <format dxfId="55">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4"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32">
      <pivotArea dataOnly="0" labelOnly="1" outline="0" fieldPosition="0">
        <references count="1">
          <reference field="4294967294" count="3">
            <x v="3"/>
            <x v="4"/>
            <x v="5"/>
          </reference>
        </references>
      </pivotArea>
    </format>
    <format dxfId="131">
      <pivotArea dataOnly="0" labelOnly="1" outline="0" fieldPosition="0">
        <references count="1">
          <reference field="4294967294" count="3">
            <x v="9"/>
            <x v="10"/>
            <x v="11"/>
          </reference>
        </references>
      </pivotArea>
    </format>
    <format dxfId="130">
      <pivotArea dataOnly="0" labelOnly="1" outline="0" fieldPosition="0">
        <references count="1">
          <reference field="4294967294" count="3">
            <x v="15"/>
            <x v="16"/>
            <x v="17"/>
          </reference>
        </references>
      </pivotArea>
    </format>
    <format dxfId="129">
      <pivotArea field="4" type="button" dataOnly="0" labelOnly="1" outline="0" axis="axisPage" fieldPosition="2"/>
    </format>
    <format dxfId="128">
      <pivotArea dataOnly="0" labelOnly="1" fieldPosition="0">
        <references count="1">
          <reference field="4" count="1">
            <x v="0"/>
          </reference>
        </references>
      </pivotArea>
    </format>
    <format dxfId="127">
      <pivotArea dataOnly="0" labelOnly="1" outline="0" fieldPosition="0">
        <references count="1">
          <reference field="4294967294" count="1">
            <x v="0"/>
          </reference>
        </references>
      </pivotArea>
    </format>
    <format dxfId="126">
      <pivotArea field="4" type="button" dataOnly="0" labelOnly="1" outline="0" axis="axisPage" fieldPosition="2"/>
    </format>
    <format dxfId="125">
      <pivotArea field="2" type="button" dataOnly="0" labelOnly="1" outline="0" axis="axisRow" fieldPosition="0"/>
    </format>
    <format dxfId="124">
      <pivotArea dataOnly="0" labelOnly="1" fieldPosition="0">
        <references count="1">
          <reference field="2" count="1">
            <x v="0"/>
          </reference>
        </references>
      </pivotArea>
    </format>
    <format dxfId="123">
      <pivotArea dataOnly="0" labelOnly="1" grandRow="1" outline="0" fieldPosition="0"/>
    </format>
    <format dxfId="122">
      <pivotArea outline="0" collapsedLevelsAreSubtotals="1" fieldPosition="0">
        <references count="1">
          <reference field="4294967294" count="1" selected="0">
            <x v="3"/>
          </reference>
        </references>
      </pivotArea>
    </format>
    <format dxfId="121">
      <pivotArea dataOnly="0" labelOnly="1" outline="0" fieldPosition="0">
        <references count="1">
          <reference field="4294967294" count="1">
            <x v="3"/>
          </reference>
        </references>
      </pivotArea>
    </format>
    <format dxfId="120">
      <pivotArea outline="0" collapsedLevelsAreSubtotals="1" fieldPosition="0">
        <references count="1">
          <reference field="4294967294" count="1" selected="0">
            <x v="6"/>
          </reference>
        </references>
      </pivotArea>
    </format>
    <format dxfId="119">
      <pivotArea dataOnly="0" labelOnly="1" outline="0" fieldPosition="0">
        <references count="1">
          <reference field="4294967294" count="1">
            <x v="6"/>
          </reference>
        </references>
      </pivotArea>
    </format>
    <format dxfId="118">
      <pivotArea outline="0" collapsedLevelsAreSubtotals="1" fieldPosition="0">
        <references count="1">
          <reference field="4294967294" count="1" selected="0">
            <x v="9"/>
          </reference>
        </references>
      </pivotArea>
    </format>
    <format dxfId="117">
      <pivotArea dataOnly="0" labelOnly="1" outline="0" fieldPosition="0">
        <references count="1">
          <reference field="4294967294" count="1">
            <x v="9"/>
          </reference>
        </references>
      </pivotArea>
    </format>
    <format dxfId="116">
      <pivotArea outline="0" collapsedLevelsAreSubtotals="1" fieldPosition="0">
        <references count="1">
          <reference field="4294967294" count="1" selected="0">
            <x v="12"/>
          </reference>
        </references>
      </pivotArea>
    </format>
    <format dxfId="115">
      <pivotArea dataOnly="0" labelOnly="1" outline="0" fieldPosition="0">
        <references count="1">
          <reference field="4294967294" count="1">
            <x v="12"/>
          </reference>
        </references>
      </pivotArea>
    </format>
    <format dxfId="114">
      <pivotArea outline="0" collapsedLevelsAreSubtotals="1" fieldPosition="0">
        <references count="1">
          <reference field="4294967294" count="1" selected="0">
            <x v="15"/>
          </reference>
        </references>
      </pivotArea>
    </format>
    <format dxfId="113">
      <pivotArea dataOnly="0" labelOnly="1" outline="0" fieldPosition="0">
        <references count="1">
          <reference field="4294967294" count="1">
            <x v="15"/>
          </reference>
        </references>
      </pivotArea>
    </format>
    <format dxfId="112">
      <pivotArea outline="0" collapsedLevelsAreSubtotals="1" fieldPosition="0">
        <references count="1">
          <reference field="4294967294" count="1" selected="0">
            <x v="17"/>
          </reference>
        </references>
      </pivotArea>
    </format>
    <format dxfId="111">
      <pivotArea dataOnly="0" labelOnly="1" outline="0" fieldPosition="0">
        <references count="1">
          <reference field="4294967294" count="1">
            <x v="17"/>
          </reference>
        </references>
      </pivotArea>
    </format>
    <format dxfId="110">
      <pivotArea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collapsedLevelsAreSubtotals="1" fieldPosition="0">
        <references count="2">
          <reference field="4294967294" count="1" selected="0">
            <x v="0"/>
          </reference>
          <reference field="2" count="1">
            <x v="2"/>
          </reference>
        </references>
      </pivotArea>
    </format>
    <format dxfId="107">
      <pivotArea collapsedLevelsAreSubtotals="1" fieldPosition="0">
        <references count="2">
          <reference field="4294967294" count="1" selected="0">
            <x v="1"/>
          </reference>
          <reference field="2" count="1">
            <x v="2"/>
          </reference>
        </references>
      </pivotArea>
    </format>
    <format dxfId="106">
      <pivotArea outline="0" fieldPosition="0">
        <references count="1">
          <reference field="4294967294" count="1">
            <x v="2"/>
          </reference>
        </references>
      </pivotArea>
    </format>
    <format dxfId="105">
      <pivotArea outline="0" fieldPosition="0">
        <references count="1">
          <reference field="4294967294" count="1">
            <x v="3"/>
          </reference>
        </references>
      </pivotArea>
    </format>
    <format dxfId="104">
      <pivotArea outline="0" fieldPosition="0">
        <references count="1">
          <reference field="4294967294" count="1">
            <x v="4"/>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6"/>
          </reference>
        </references>
      </pivotArea>
    </format>
    <format dxfId="101">
      <pivotArea outline="0" fieldPosition="0">
        <references count="1">
          <reference field="4294967294" count="1">
            <x v="7"/>
          </reference>
        </references>
      </pivotArea>
    </format>
    <format dxfId="100">
      <pivotArea outline="0" fieldPosition="0">
        <references count="1">
          <reference field="4294967294" count="1">
            <x v="8"/>
          </reference>
        </references>
      </pivotArea>
    </format>
    <format dxfId="99">
      <pivotArea outline="0" fieldPosition="0">
        <references count="1">
          <reference field="4294967294" count="1">
            <x v="9"/>
          </reference>
        </references>
      </pivotArea>
    </format>
    <format dxfId="98">
      <pivotArea outline="0" fieldPosition="0">
        <references count="1">
          <reference field="4294967294" count="1">
            <x v="10"/>
          </reference>
        </references>
      </pivotArea>
    </format>
    <format dxfId="97">
      <pivotArea outline="0" fieldPosition="0">
        <references count="1">
          <reference field="4294967294" count="1">
            <x v="11"/>
          </reference>
        </references>
      </pivotArea>
    </format>
    <format dxfId="96">
      <pivotArea outline="0" fieldPosition="0">
        <references count="1">
          <reference field="4294967294" count="1">
            <x v="12"/>
          </reference>
        </references>
      </pivotArea>
    </format>
    <format dxfId="95">
      <pivotArea outline="0" fieldPosition="0">
        <references count="1">
          <reference field="4294967294" count="1">
            <x v="13"/>
          </reference>
        </references>
      </pivotArea>
    </format>
    <format dxfId="94">
      <pivotArea outline="0" fieldPosition="0">
        <references count="1">
          <reference field="4294967294" count="1">
            <x v="14"/>
          </reference>
        </references>
      </pivotArea>
    </format>
    <format dxfId="93">
      <pivotArea outline="0" fieldPosition="0">
        <references count="1">
          <reference field="4294967294" count="1">
            <x v="15"/>
          </reference>
        </references>
      </pivotArea>
    </format>
    <format dxfId="92">
      <pivotArea outline="0" fieldPosition="0">
        <references count="1">
          <reference field="4294967294" count="1">
            <x v="16"/>
          </reference>
        </references>
      </pivotArea>
    </format>
    <format dxfId="91">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rinterSettings" Target="../printerSettings/printerSettings10.bin"/><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8.xml"/><Relationship Id="rId7" Type="http://schemas.openxmlformats.org/officeDocument/2006/relationships/pivotTable" Target="../pivotTables/pivotTable42.xml"/><Relationship Id="rId2" Type="http://schemas.openxmlformats.org/officeDocument/2006/relationships/pivotTable" Target="../pivotTables/pivotTable37.xml"/><Relationship Id="rId1" Type="http://schemas.openxmlformats.org/officeDocument/2006/relationships/pivotTable" Target="../pivotTables/pivotTable36.xml"/><Relationship Id="rId6" Type="http://schemas.openxmlformats.org/officeDocument/2006/relationships/pivotTable" Target="../pivotTables/pivotTable41.xml"/><Relationship Id="rId5" Type="http://schemas.openxmlformats.org/officeDocument/2006/relationships/pivotTable" Target="../pivotTables/pivotTable40.xml"/><Relationship Id="rId4" Type="http://schemas.openxmlformats.org/officeDocument/2006/relationships/pivotTable" Target="../pivotTables/pivotTable39.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5.xml"/><Relationship Id="rId7" Type="http://schemas.openxmlformats.org/officeDocument/2006/relationships/pivotTable" Target="../pivotTables/pivotTable49.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ivotTable" Target="../pivotTables/pivotTable48.xml"/><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2.xml"/><Relationship Id="rId2" Type="http://schemas.openxmlformats.org/officeDocument/2006/relationships/pivotTable" Target="../pivotTables/pivotTable51.xml"/><Relationship Id="rId1" Type="http://schemas.openxmlformats.org/officeDocument/2006/relationships/pivotTable" Target="../pivotTables/pivotTable50.xml"/><Relationship Id="rId6" Type="http://schemas.openxmlformats.org/officeDocument/2006/relationships/printerSettings" Target="../printerSettings/printerSettings13.bin"/><Relationship Id="rId5" Type="http://schemas.openxmlformats.org/officeDocument/2006/relationships/pivotTable" Target="../pivotTables/pivotTable54.xml"/><Relationship Id="rId4" Type="http://schemas.openxmlformats.org/officeDocument/2006/relationships/pivotTable" Target="../pivotTables/pivotTable53.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5" Type="http://schemas.openxmlformats.org/officeDocument/2006/relationships/printerSettings" Target="../printerSettings/printerSettings14.bin"/><Relationship Id="rId4" Type="http://schemas.openxmlformats.org/officeDocument/2006/relationships/pivotTable" Target="../pivotTables/pivotTable58.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1.xml"/><Relationship Id="rId7" Type="http://schemas.openxmlformats.org/officeDocument/2006/relationships/printerSettings" Target="../printerSettings/printerSettings15.bin"/><Relationship Id="rId2" Type="http://schemas.openxmlformats.org/officeDocument/2006/relationships/pivotTable" Target="../pivotTables/pivotTable60.xml"/><Relationship Id="rId1" Type="http://schemas.openxmlformats.org/officeDocument/2006/relationships/pivotTable" Target="../pivotTables/pivotTable59.xml"/><Relationship Id="rId6" Type="http://schemas.openxmlformats.org/officeDocument/2006/relationships/pivotTable" Target="../pivotTables/pivotTable64.xml"/><Relationship Id="rId5" Type="http://schemas.openxmlformats.org/officeDocument/2006/relationships/pivotTable" Target="../pivotTables/pivotTable63.xml"/><Relationship Id="rId4" Type="http://schemas.openxmlformats.org/officeDocument/2006/relationships/pivotTable" Target="../pivotTables/pivotTable62.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7.xml"/><Relationship Id="rId7" Type="http://schemas.openxmlformats.org/officeDocument/2006/relationships/printerSettings" Target="../printerSettings/printerSettings16.bin"/><Relationship Id="rId2" Type="http://schemas.openxmlformats.org/officeDocument/2006/relationships/pivotTable" Target="../pivotTables/pivotTable66.xml"/><Relationship Id="rId1" Type="http://schemas.openxmlformats.org/officeDocument/2006/relationships/pivotTable" Target="../pivotTables/pivotTable65.xml"/><Relationship Id="rId6" Type="http://schemas.openxmlformats.org/officeDocument/2006/relationships/pivotTable" Target="../pivotTables/pivotTable70.xml"/><Relationship Id="rId5" Type="http://schemas.openxmlformats.org/officeDocument/2006/relationships/pivotTable" Target="../pivotTables/pivotTable69.xml"/><Relationship Id="rId4" Type="http://schemas.openxmlformats.org/officeDocument/2006/relationships/pivotTable" Target="../pivotTables/pivotTable68.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11" Type="http://schemas.openxmlformats.org/officeDocument/2006/relationships/printerSettings" Target="../printerSettings/printerSettings17.bin"/><Relationship Id="rId5" Type="http://schemas.openxmlformats.org/officeDocument/2006/relationships/pivotTable" Target="../pivotTables/pivotTable75.xml"/><Relationship Id="rId10" Type="http://schemas.openxmlformats.org/officeDocument/2006/relationships/pivotTable" Target="../pivotTables/pivotTable80.xml"/><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2.xml"/><Relationship Id="rId1" Type="http://schemas.openxmlformats.org/officeDocument/2006/relationships/pivotTable" Target="../pivotTables/pivotTable81.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ivotTable" Target="../pivotTables/pivotTable84.xml"/><Relationship Id="rId1" Type="http://schemas.openxmlformats.org/officeDocument/2006/relationships/pivotTable" Target="../pivotTables/pivotTable83.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7.xml"/><Relationship Id="rId7" Type="http://schemas.openxmlformats.org/officeDocument/2006/relationships/printerSettings" Target="../printerSettings/printerSettings20.bin"/><Relationship Id="rId2" Type="http://schemas.openxmlformats.org/officeDocument/2006/relationships/pivotTable" Target="../pivotTables/pivotTable86.xml"/><Relationship Id="rId1" Type="http://schemas.openxmlformats.org/officeDocument/2006/relationships/pivotTable" Target="../pivotTables/pivotTable85.xml"/><Relationship Id="rId6" Type="http://schemas.openxmlformats.org/officeDocument/2006/relationships/pivotTable" Target="../pivotTables/pivotTable90.xml"/><Relationship Id="rId5" Type="http://schemas.openxmlformats.org/officeDocument/2006/relationships/pivotTable" Target="../pivotTables/pivotTable89.xml"/><Relationship Id="rId4"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2.xml"/><Relationship Id="rId1"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8.xml"/><Relationship Id="rId1" Type="http://schemas.openxmlformats.org/officeDocument/2006/relationships/pivotTable" Target="../pivotTables/pivotTable97.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00.xml"/><Relationship Id="rId1" Type="http://schemas.openxmlformats.org/officeDocument/2006/relationships/pivotTable" Target="../pivotTables/pivotTable99.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03.xml"/><Relationship Id="rId2" Type="http://schemas.openxmlformats.org/officeDocument/2006/relationships/pivotTable" Target="../pivotTables/pivotTable102.xml"/><Relationship Id="rId1" Type="http://schemas.openxmlformats.org/officeDocument/2006/relationships/pivotTable" Target="../pivotTables/pivotTable101.xml"/><Relationship Id="rId4"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39" t="s">
        <v>521</v>
      </c>
      <c r="C5" s="139"/>
      <c r="D5" s="139"/>
      <c r="F5" s="139" t="s">
        <v>522</v>
      </c>
      <c r="G5" s="139"/>
      <c r="H5" s="139"/>
      <c r="J5" s="139" t="s">
        <v>365</v>
      </c>
      <c r="K5" s="139"/>
      <c r="L5" s="139"/>
      <c r="N5" s="139" t="s">
        <v>515</v>
      </c>
      <c r="O5" s="139"/>
      <c r="P5" s="139"/>
      <c r="Q5" s="140"/>
      <c r="R5" s="140"/>
      <c r="S5" s="140"/>
      <c r="T5" s="140"/>
      <c r="U5" s="140"/>
      <c r="V5" s="140"/>
      <c r="W5" s="140"/>
      <c r="X5" s="140"/>
      <c r="Y5" s="140"/>
      <c r="Z5" s="14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45" t="s">
        <v>236</v>
      </c>
      <c r="K1" s="143" t="s">
        <v>236</v>
      </c>
      <c r="L1" s="143" t="s">
        <v>236</v>
      </c>
      <c r="M1" s="144" t="s">
        <v>236</v>
      </c>
      <c r="N1" s="141" t="s">
        <v>237</v>
      </c>
      <c r="O1" s="142" t="s">
        <v>237</v>
      </c>
      <c r="P1" s="142" t="s">
        <v>237</v>
      </c>
      <c r="Q1" s="142" t="s">
        <v>237</v>
      </c>
      <c r="R1" s="142" t="s">
        <v>237</v>
      </c>
      <c r="S1" s="146" t="s">
        <v>237</v>
      </c>
      <c r="T1" s="147" t="s">
        <v>238</v>
      </c>
      <c r="U1" s="148" t="s">
        <v>238</v>
      </c>
      <c r="V1" s="148" t="s">
        <v>238</v>
      </c>
      <c r="W1" s="148" t="s">
        <v>238</v>
      </c>
      <c r="X1" s="149" t="s">
        <v>238</v>
      </c>
      <c r="Y1" s="150" t="s">
        <v>239</v>
      </c>
      <c r="Z1" s="148" t="s">
        <v>239</v>
      </c>
      <c r="AA1" s="143" t="s">
        <v>239</v>
      </c>
      <c r="AB1" s="149" t="s">
        <v>239</v>
      </c>
      <c r="AC1" s="150" t="s">
        <v>240</v>
      </c>
      <c r="AD1" s="143" t="s">
        <v>240</v>
      </c>
      <c r="AE1" s="143" t="s">
        <v>240</v>
      </c>
      <c r="AF1" s="144" t="s">
        <v>240</v>
      </c>
      <c r="AG1" s="147" t="s">
        <v>241</v>
      </c>
      <c r="AH1" s="148" t="s">
        <v>241</v>
      </c>
      <c r="AI1" s="148" t="s">
        <v>241</v>
      </c>
      <c r="AJ1" s="148" t="s">
        <v>241</v>
      </c>
      <c r="AK1" s="151" t="s">
        <v>241</v>
      </c>
      <c r="AL1" s="141" t="s">
        <v>242</v>
      </c>
      <c r="AM1" s="142" t="s">
        <v>242</v>
      </c>
      <c r="AN1" s="142" t="s">
        <v>242</v>
      </c>
      <c r="AO1" s="142" t="s">
        <v>242</v>
      </c>
      <c r="AP1" s="142" t="s">
        <v>242</v>
      </c>
      <c r="AQ1" s="143" t="s">
        <v>242</v>
      </c>
      <c r="AR1" s="143" t="s">
        <v>242</v>
      </c>
      <c r="AS1" s="14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47" t="s">
        <v>89</v>
      </c>
      <c r="H1" s="152" t="s">
        <v>89</v>
      </c>
      <c r="I1" s="152" t="s">
        <v>89</v>
      </c>
      <c r="J1" s="151" t="s">
        <v>89</v>
      </c>
      <c r="K1" s="14"/>
      <c r="L1" s="153" t="s">
        <v>431</v>
      </c>
      <c r="M1" s="154" t="s">
        <v>431</v>
      </c>
      <c r="N1" s="154" t="s">
        <v>431</v>
      </c>
      <c r="O1" s="154"/>
      <c r="P1" s="154"/>
      <c r="Q1" s="155"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56" t="s">
        <v>377</v>
      </c>
      <c r="D1" s="157"/>
      <c r="E1" s="157"/>
      <c r="F1" s="157"/>
      <c r="G1" s="157"/>
      <c r="H1" s="157"/>
      <c r="I1" s="157"/>
      <c r="J1" s="157"/>
      <c r="L1" s="156" t="s">
        <v>365</v>
      </c>
      <c r="M1" s="157"/>
      <c r="N1" s="157"/>
      <c r="O1" s="157"/>
      <c r="P1" s="157"/>
      <c r="Q1" s="157"/>
      <c r="R1" s="157"/>
      <c r="S1" s="61"/>
      <c r="T1" s="61"/>
      <c r="U1" s="61"/>
      <c r="V1" s="61"/>
    </row>
    <row r="2" spans="1:22">
      <c r="A2" s="30"/>
      <c r="B2" s="31"/>
      <c r="C2" s="117" t="s">
        <v>0</v>
      </c>
      <c r="D2" s="118" t="s">
        <v>16</v>
      </c>
      <c r="E2" s="53"/>
      <c r="F2" s="53"/>
      <c r="G2" s="117" t="s">
        <v>0</v>
      </c>
      <c r="H2" s="118" t="s">
        <v>16</v>
      </c>
      <c r="I2" s="53"/>
      <c r="J2" s="61"/>
      <c r="K2" s="61"/>
      <c r="L2" s="107" t="s">
        <v>0</v>
      </c>
      <c r="M2" s="108" t="s">
        <v>16</v>
      </c>
      <c r="N2" s="61"/>
      <c r="O2" s="61"/>
      <c r="P2" s="107" t="s">
        <v>0</v>
      </c>
      <c r="Q2" s="108" t="s">
        <v>16</v>
      </c>
      <c r="R2" s="61"/>
      <c r="S2" s="61"/>
      <c r="T2" s="57"/>
      <c r="U2" s="57"/>
      <c r="V2" s="61"/>
    </row>
    <row r="3" spans="1:22">
      <c r="A3" s="30"/>
      <c r="B3" s="30"/>
      <c r="C3" s="117" t="s">
        <v>1</v>
      </c>
      <c r="D3" s="118" t="s">
        <v>16</v>
      </c>
      <c r="G3" s="117" t="s">
        <v>1</v>
      </c>
      <c r="H3" s="118" t="s">
        <v>16</v>
      </c>
      <c r="L3" s="107" t="s">
        <v>1</v>
      </c>
      <c r="M3" s="108" t="s">
        <v>16</v>
      </c>
      <c r="P3" s="107" t="s">
        <v>1</v>
      </c>
      <c r="Q3" s="108" t="s">
        <v>16</v>
      </c>
      <c r="R3" s="57"/>
      <c r="T3" s="57"/>
      <c r="U3" s="57"/>
      <c r="V3" s="57"/>
    </row>
    <row r="4" spans="1:22">
      <c r="A4" s="30"/>
      <c r="B4" s="30"/>
      <c r="C4" s="117" t="s">
        <v>52</v>
      </c>
      <c r="D4" s="118" t="s">
        <v>16</v>
      </c>
      <c r="G4" s="117" t="s">
        <v>52</v>
      </c>
      <c r="H4" s="118" t="s">
        <v>16</v>
      </c>
      <c r="L4" s="107" t="s">
        <v>52</v>
      </c>
      <c r="M4" s="108" t="s">
        <v>16</v>
      </c>
      <c r="P4" s="107" t="s">
        <v>52</v>
      </c>
      <c r="Q4" s="108" t="s">
        <v>16</v>
      </c>
      <c r="R4" s="57"/>
      <c r="T4" s="57"/>
      <c r="U4" s="57"/>
      <c r="V4" s="57"/>
    </row>
    <row r="5" spans="1:22">
      <c r="A5" s="30"/>
      <c r="B5" s="30"/>
      <c r="C5" s="117" t="s">
        <v>3</v>
      </c>
      <c r="D5" s="118" t="s">
        <v>10</v>
      </c>
      <c r="G5" s="117" t="s">
        <v>3</v>
      </c>
      <c r="H5" s="118"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17" t="s">
        <v>2</v>
      </c>
      <c r="D7" s="118" t="s">
        <v>302</v>
      </c>
      <c r="E7" s="118" t="s">
        <v>415</v>
      </c>
      <c r="G7" s="117" t="s">
        <v>2</v>
      </c>
      <c r="H7" s="118" t="s">
        <v>380</v>
      </c>
      <c r="I7" s="118" t="s">
        <v>376</v>
      </c>
      <c r="J7" s="118"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8">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8">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56" t="s">
        <v>377</v>
      </c>
      <c r="C1" s="157"/>
      <c r="D1" s="157"/>
      <c r="E1" s="157"/>
      <c r="F1" s="157"/>
      <c r="G1" s="157"/>
      <c r="H1" s="61"/>
      <c r="I1" s="156" t="s">
        <v>365</v>
      </c>
      <c r="J1" s="157"/>
      <c r="K1" s="157"/>
      <c r="M1" s="160" t="s">
        <v>488</v>
      </c>
      <c r="N1" s="161"/>
      <c r="O1" s="157"/>
      <c r="P1" s="157"/>
      <c r="Q1" s="157"/>
      <c r="R1" s="157"/>
      <c r="S1" s="157"/>
      <c r="T1" s="157"/>
      <c r="U1" s="157"/>
      <c r="V1" s="157"/>
      <c r="W1" s="157"/>
      <c r="X1" s="157"/>
    </row>
    <row r="2" spans="1:24">
      <c r="A2" s="31"/>
      <c r="B2" s="117" t="s">
        <v>0</v>
      </c>
      <c r="C2" s="118" t="s">
        <v>16</v>
      </c>
      <c r="D2" s="31"/>
      <c r="E2" s="31"/>
      <c r="F2" s="158" t="s">
        <v>0</v>
      </c>
      <c r="G2" s="159" t="s">
        <v>16</v>
      </c>
      <c r="I2" s="107" t="s">
        <v>0</v>
      </c>
      <c r="J2" s="108" t="s">
        <v>16</v>
      </c>
      <c r="K2" s="61"/>
      <c r="M2" s="62"/>
      <c r="N2" s="62"/>
      <c r="O2" s="62"/>
      <c r="P2" s="62"/>
      <c r="Q2" s="62"/>
      <c r="R2" s="62"/>
      <c r="S2" s="62"/>
      <c r="T2" s="62"/>
      <c r="U2" s="62"/>
      <c r="V2" s="62"/>
      <c r="W2" s="62"/>
      <c r="X2" s="62"/>
    </row>
    <row r="3" spans="1:24">
      <c r="A3" s="31"/>
      <c r="B3" s="117" t="s">
        <v>1</v>
      </c>
      <c r="C3" s="118" t="s">
        <v>16</v>
      </c>
      <c r="D3" s="31"/>
      <c r="E3" s="31"/>
      <c r="F3" s="158" t="s">
        <v>1</v>
      </c>
      <c r="G3" s="159" t="s">
        <v>16</v>
      </c>
      <c r="I3" s="107" t="s">
        <v>1</v>
      </c>
      <c r="J3" s="108" t="s">
        <v>16</v>
      </c>
      <c r="K3" s="61"/>
      <c r="M3" s="62"/>
      <c r="N3" s="63"/>
      <c r="O3" s="63"/>
      <c r="P3" s="63"/>
      <c r="Q3" s="63"/>
      <c r="R3" s="63"/>
      <c r="S3" s="63"/>
      <c r="T3" s="63"/>
      <c r="U3" s="63"/>
      <c r="V3" s="63"/>
      <c r="W3" s="63"/>
      <c r="X3" s="63"/>
    </row>
    <row r="4" spans="1:24">
      <c r="A4" s="31"/>
      <c r="B4" s="117" t="s">
        <v>2</v>
      </c>
      <c r="C4" s="118" t="s">
        <v>16</v>
      </c>
      <c r="F4" s="117" t="s">
        <v>2</v>
      </c>
      <c r="G4" s="118" t="s">
        <v>16</v>
      </c>
      <c r="I4" s="107" t="s">
        <v>2</v>
      </c>
      <c r="J4" s="108" t="s">
        <v>16</v>
      </c>
      <c r="M4" s="31"/>
      <c r="N4" s="31"/>
      <c r="S4" s="31"/>
      <c r="T4" s="31"/>
    </row>
    <row r="5" spans="1:24">
      <c r="A5" s="31"/>
      <c r="B5" s="117" t="s">
        <v>52</v>
      </c>
      <c r="C5" s="118" t="s">
        <v>16</v>
      </c>
      <c r="F5" s="117" t="s">
        <v>52</v>
      </c>
      <c r="G5" s="118" t="s">
        <v>16</v>
      </c>
      <c r="I5" s="107" t="s">
        <v>52</v>
      </c>
      <c r="J5" s="108" t="s">
        <v>16</v>
      </c>
      <c r="M5" s="135" t="s">
        <v>0</v>
      </c>
      <c r="N5" s="136" t="s">
        <v>16</v>
      </c>
      <c r="S5" s="135" t="s">
        <v>0</v>
      </c>
      <c r="T5" s="136" t="s">
        <v>16</v>
      </c>
    </row>
    <row r="6" spans="1:24">
      <c r="A6" s="31"/>
      <c r="B6" s="117" t="s">
        <v>3</v>
      </c>
      <c r="C6" s="118" t="s">
        <v>10</v>
      </c>
      <c r="F6" s="117" t="s">
        <v>3</v>
      </c>
      <c r="G6" s="118" t="s">
        <v>9</v>
      </c>
      <c r="I6" s="107" t="s">
        <v>3</v>
      </c>
      <c r="J6" s="108" t="s">
        <v>367</v>
      </c>
      <c r="M6" s="135" t="s">
        <v>3</v>
      </c>
      <c r="N6" s="136" t="s">
        <v>310</v>
      </c>
      <c r="S6" s="135" t="s">
        <v>3</v>
      </c>
      <c r="T6" s="136" t="s">
        <v>310</v>
      </c>
    </row>
    <row r="7" spans="1:24">
      <c r="A7" s="31"/>
    </row>
    <row r="8" spans="1:24">
      <c r="A8" s="24" t="s">
        <v>122</v>
      </c>
      <c r="B8" s="117" t="s">
        <v>296</v>
      </c>
      <c r="C8" s="118" t="s">
        <v>302</v>
      </c>
      <c r="D8" s="118" t="s">
        <v>415</v>
      </c>
      <c r="F8" s="117" t="s">
        <v>296</v>
      </c>
      <c r="G8" t="s">
        <v>382</v>
      </c>
      <c r="I8" s="107" t="s">
        <v>2</v>
      </c>
      <c r="J8" s="108" t="s">
        <v>302</v>
      </c>
      <c r="K8" s="108" t="s">
        <v>415</v>
      </c>
      <c r="M8" s="135" t="s">
        <v>296</v>
      </c>
      <c r="N8" s="136" t="s">
        <v>312</v>
      </c>
      <c r="O8" s="136" t="s">
        <v>408</v>
      </c>
      <c r="P8" s="136" t="s">
        <v>311</v>
      </c>
      <c r="Q8" s="136" t="s">
        <v>416</v>
      </c>
      <c r="S8" s="135" t="s">
        <v>296</v>
      </c>
      <c r="T8" s="136" t="s">
        <v>313</v>
      </c>
      <c r="U8" s="136" t="s">
        <v>314</v>
      </c>
      <c r="V8" s="136" t="s">
        <v>315</v>
      </c>
    </row>
    <row r="9" spans="1:24">
      <c r="A9" s="29">
        <f>INDEX('Node Information'!J:$J,MATCH(B9,'Node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56" t="s">
        <v>377</v>
      </c>
      <c r="D1" s="157"/>
      <c r="E1" s="157"/>
      <c r="F1" s="157"/>
      <c r="G1" s="157"/>
      <c r="H1" s="157"/>
      <c r="I1" s="157"/>
      <c r="J1" s="157"/>
      <c r="K1" s="61"/>
      <c r="L1" s="156" t="s">
        <v>365</v>
      </c>
      <c r="M1" s="157"/>
      <c r="N1" s="157"/>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17" t="s">
        <v>0</v>
      </c>
      <c r="D2" s="118" t="s">
        <v>16</v>
      </c>
      <c r="E2" s="53"/>
      <c r="F2" s="53"/>
      <c r="G2" s="117" t="s">
        <v>0</v>
      </c>
      <c r="H2" s="118"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17" t="s">
        <v>1</v>
      </c>
      <c r="D3" s="118" t="s">
        <v>16</v>
      </c>
      <c r="G3" s="117" t="s">
        <v>1</v>
      </c>
      <c r="H3" s="118" t="s">
        <v>16</v>
      </c>
      <c r="L3" s="107" t="s">
        <v>1</v>
      </c>
      <c r="M3" s="108" t="s">
        <v>16</v>
      </c>
    </row>
    <row r="4" spans="1:40">
      <c r="A4" s="30"/>
      <c r="B4" s="30"/>
      <c r="C4" s="117" t="s">
        <v>52</v>
      </c>
      <c r="D4" s="118" t="s">
        <v>16</v>
      </c>
      <c r="G4" s="117" t="s">
        <v>52</v>
      </c>
      <c r="H4" s="118" t="s">
        <v>16</v>
      </c>
      <c r="L4" s="107" t="s">
        <v>52</v>
      </c>
      <c r="M4" s="108" t="s">
        <v>16</v>
      </c>
    </row>
    <row r="5" spans="1:40">
      <c r="A5" s="30"/>
      <c r="B5" s="30"/>
      <c r="C5" s="117" t="s">
        <v>3</v>
      </c>
      <c r="D5" s="118" t="s">
        <v>12</v>
      </c>
      <c r="G5" s="117" t="s">
        <v>3</v>
      </c>
      <c r="H5" s="118" t="s">
        <v>11</v>
      </c>
      <c r="L5" s="107" t="s">
        <v>3</v>
      </c>
      <c r="M5" s="108" t="s">
        <v>366</v>
      </c>
    </row>
    <row r="6" spans="1:40">
      <c r="A6" s="30"/>
      <c r="B6" s="30"/>
    </row>
    <row r="7" spans="1:40">
      <c r="A7" s="24" t="s">
        <v>330</v>
      </c>
      <c r="B7" s="24" t="s">
        <v>94</v>
      </c>
      <c r="C7" s="117" t="s">
        <v>2</v>
      </c>
      <c r="D7" s="118" t="s">
        <v>302</v>
      </c>
      <c r="E7" s="118" t="s">
        <v>415</v>
      </c>
      <c r="G7" s="117" t="s">
        <v>2</v>
      </c>
      <c r="H7" s="118" t="s">
        <v>378</v>
      </c>
      <c r="I7" s="118" t="s">
        <v>379</v>
      </c>
      <c r="J7" s="118"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8">
        <v>2</v>
      </c>
      <c r="K8" s="5"/>
      <c r="L8" s="4" t="s">
        <v>50</v>
      </c>
      <c r="M8" s="9">
        <v>4.4999999999999998E-2</v>
      </c>
      <c r="N8" s="9">
        <v>0</v>
      </c>
      <c r="O8" s="5"/>
    </row>
    <row r="9" spans="1:40">
      <c r="C9" s="4" t="s">
        <v>18</v>
      </c>
      <c r="D9" s="9">
        <v>0.03</v>
      </c>
      <c r="E9" s="9">
        <v>0</v>
      </c>
      <c r="G9" s="4" t="s">
        <v>18</v>
      </c>
      <c r="H9" s="5">
        <v>2</v>
      </c>
      <c r="I9" s="5">
        <v>2</v>
      </c>
      <c r="J9" s="118">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56" t="s">
        <v>377</v>
      </c>
      <c r="C1" s="157"/>
      <c r="D1" s="157"/>
      <c r="E1" s="157"/>
      <c r="F1" s="157"/>
      <c r="G1" s="157"/>
      <c r="H1" s="61"/>
      <c r="I1" s="156" t="s">
        <v>365</v>
      </c>
      <c r="J1" s="157"/>
      <c r="K1" s="157"/>
      <c r="L1" s="61"/>
      <c r="M1" s="160" t="s">
        <v>489</v>
      </c>
      <c r="N1" s="161"/>
      <c r="O1" s="157"/>
      <c r="P1" s="157"/>
      <c r="Q1" s="157"/>
      <c r="R1" s="157"/>
      <c r="S1" s="157"/>
      <c r="T1" s="157"/>
      <c r="U1" s="157"/>
      <c r="V1" s="157"/>
    </row>
    <row r="2" spans="1:22" s="31" customFormat="1">
      <c r="B2" s="117" t="s">
        <v>0</v>
      </c>
      <c r="C2" s="118" t="s">
        <v>16</v>
      </c>
      <c r="F2" s="158" t="s">
        <v>0</v>
      </c>
      <c r="G2" s="159" t="s">
        <v>16</v>
      </c>
      <c r="H2" s="57"/>
      <c r="I2" s="107" t="s">
        <v>0</v>
      </c>
      <c r="J2" s="108" t="s">
        <v>16</v>
      </c>
      <c r="L2" s="57"/>
      <c r="M2" s="62"/>
      <c r="N2" s="62"/>
      <c r="O2" s="62"/>
      <c r="P2" s="62"/>
      <c r="Q2" s="62"/>
      <c r="R2" s="62"/>
      <c r="S2" s="62"/>
      <c r="T2" s="62"/>
      <c r="U2" s="62"/>
      <c r="V2" s="62"/>
    </row>
    <row r="3" spans="1:22" s="31" customFormat="1">
      <c r="B3" s="117" t="s">
        <v>1</v>
      </c>
      <c r="C3" s="118" t="s">
        <v>16</v>
      </c>
      <c r="F3" s="158" t="s">
        <v>1</v>
      </c>
      <c r="G3" s="159" t="s">
        <v>16</v>
      </c>
      <c r="H3" s="57"/>
      <c r="I3" s="107" t="s">
        <v>1</v>
      </c>
      <c r="J3" s="108" t="s">
        <v>16</v>
      </c>
      <c r="K3" s="61"/>
      <c r="L3" s="57"/>
      <c r="M3" s="62"/>
      <c r="N3" s="63"/>
      <c r="O3" s="63"/>
      <c r="P3" s="63"/>
      <c r="Q3" s="63"/>
      <c r="R3" s="63"/>
      <c r="S3" s="63"/>
      <c r="T3" s="63"/>
      <c r="U3" s="63"/>
      <c r="V3" s="63"/>
    </row>
    <row r="4" spans="1:22">
      <c r="A4" s="31"/>
      <c r="B4" s="117" t="s">
        <v>2</v>
      </c>
      <c r="C4" s="118" t="s">
        <v>16</v>
      </c>
      <c r="F4" s="117" t="s">
        <v>2</v>
      </c>
      <c r="G4" s="118" t="s">
        <v>16</v>
      </c>
      <c r="I4" s="107" t="s">
        <v>2</v>
      </c>
      <c r="J4" s="108" t="s">
        <v>16</v>
      </c>
      <c r="M4" s="31"/>
      <c r="N4" s="31"/>
    </row>
    <row r="5" spans="1:22">
      <c r="A5" s="31"/>
      <c r="B5" s="117" t="s">
        <v>52</v>
      </c>
      <c r="C5" s="118" t="s">
        <v>16</v>
      </c>
      <c r="F5" s="117" t="s">
        <v>52</v>
      </c>
      <c r="G5" s="118" t="s">
        <v>16</v>
      </c>
      <c r="I5" s="107" t="s">
        <v>52</v>
      </c>
      <c r="J5" s="108" t="s">
        <v>16</v>
      </c>
      <c r="M5" s="135" t="s">
        <v>0</v>
      </c>
      <c r="N5" s="136" t="s">
        <v>16</v>
      </c>
      <c r="S5" s="107" t="s">
        <v>0</v>
      </c>
      <c r="T5" s="108" t="s">
        <v>16</v>
      </c>
    </row>
    <row r="6" spans="1:22">
      <c r="A6" s="31"/>
      <c r="B6" s="117" t="s">
        <v>3</v>
      </c>
      <c r="C6" s="118" t="s">
        <v>12</v>
      </c>
      <c r="F6" s="117" t="s">
        <v>3</v>
      </c>
      <c r="G6" s="118" t="s">
        <v>11</v>
      </c>
      <c r="I6" s="107" t="s">
        <v>3</v>
      </c>
      <c r="J6" s="108" t="s">
        <v>366</v>
      </c>
      <c r="M6" s="135" t="s">
        <v>3</v>
      </c>
      <c r="N6" s="136" t="s">
        <v>310</v>
      </c>
      <c r="S6" s="107" t="s">
        <v>3</v>
      </c>
      <c r="T6" s="108" t="s">
        <v>310</v>
      </c>
    </row>
    <row r="7" spans="1:22">
      <c r="A7" s="31"/>
    </row>
    <row r="8" spans="1:22">
      <c r="A8" s="24" t="s">
        <v>122</v>
      </c>
      <c r="B8" s="117" t="s">
        <v>2</v>
      </c>
      <c r="C8" s="118" t="s">
        <v>302</v>
      </c>
      <c r="D8" s="118" t="s">
        <v>415</v>
      </c>
      <c r="F8" s="117" t="s">
        <v>296</v>
      </c>
      <c r="G8" t="s">
        <v>384</v>
      </c>
      <c r="I8" s="107" t="s">
        <v>2</v>
      </c>
      <c r="J8" s="108" t="s">
        <v>302</v>
      </c>
      <c r="K8" s="108" t="s">
        <v>415</v>
      </c>
      <c r="M8" s="135" t="s">
        <v>296</v>
      </c>
      <c r="N8" s="136" t="s">
        <v>312</v>
      </c>
      <c r="O8" s="136" t="s">
        <v>417</v>
      </c>
      <c r="P8" s="136" t="s">
        <v>311</v>
      </c>
      <c r="Q8" s="136"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62" t="s">
        <v>146</v>
      </c>
      <c r="C2" s="163"/>
      <c r="D2" s="163"/>
      <c r="E2" s="163"/>
      <c r="F2" s="163"/>
      <c r="G2" s="163"/>
      <c r="H2" s="163"/>
      <c r="I2" s="163"/>
      <c r="J2" s="163"/>
      <c r="K2" s="163"/>
      <c r="L2" s="156" t="s">
        <v>377</v>
      </c>
      <c r="M2" s="157"/>
      <c r="N2" s="157"/>
      <c r="O2" s="53"/>
    </row>
    <row r="3" spans="1:15">
      <c r="A3" s="30"/>
      <c r="B3" s="54"/>
      <c r="C3" s="55"/>
      <c r="D3" s="55"/>
      <c r="E3" s="55"/>
      <c r="F3" s="55"/>
      <c r="G3" s="55"/>
      <c r="H3" s="55"/>
      <c r="I3" s="55"/>
      <c r="J3" s="55"/>
      <c r="K3" s="55"/>
      <c r="L3" s="117" t="s">
        <v>0</v>
      </c>
      <c r="M3" s="118" t="s">
        <v>16</v>
      </c>
      <c r="N3" s="53"/>
      <c r="O3" s="49"/>
    </row>
    <row r="4" spans="1:15">
      <c r="A4" s="30"/>
      <c r="B4" s="117" t="s">
        <v>0</v>
      </c>
      <c r="C4" s="118" t="s">
        <v>16</v>
      </c>
      <c r="D4" s="33"/>
      <c r="E4" s="33"/>
      <c r="F4" s="117" t="s">
        <v>0</v>
      </c>
      <c r="G4" s="118" t="s">
        <v>16</v>
      </c>
      <c r="I4" s="117" t="s">
        <v>0</v>
      </c>
      <c r="J4" s="118" t="s">
        <v>16</v>
      </c>
      <c r="K4" s="33"/>
      <c r="L4" s="117" t="s">
        <v>1</v>
      </c>
      <c r="M4" s="118" t="s">
        <v>16</v>
      </c>
    </row>
    <row r="5" spans="1:15">
      <c r="A5" s="30"/>
      <c r="B5" s="117" t="s">
        <v>1</v>
      </c>
      <c r="C5" s="118" t="s">
        <v>16</v>
      </c>
      <c r="D5" s="33"/>
      <c r="E5" s="33"/>
      <c r="F5" s="117" t="s">
        <v>1</v>
      </c>
      <c r="G5" s="118" t="s">
        <v>16</v>
      </c>
      <c r="I5" s="117" t="s">
        <v>1</v>
      </c>
      <c r="J5" s="118" t="s">
        <v>16</v>
      </c>
      <c r="K5" s="33"/>
      <c r="L5" s="117" t="s">
        <v>52</v>
      </c>
      <c r="M5" s="118" t="s">
        <v>16</v>
      </c>
    </row>
    <row r="6" spans="1:15">
      <c r="A6" s="30"/>
      <c r="B6" s="117" t="s">
        <v>3</v>
      </c>
      <c r="C6" s="118" t="s">
        <v>113</v>
      </c>
      <c r="D6" s="33"/>
      <c r="E6" s="33"/>
      <c r="F6" s="117" t="s">
        <v>3</v>
      </c>
      <c r="G6" s="118" t="s">
        <v>115</v>
      </c>
      <c r="I6" s="117" t="s">
        <v>3</v>
      </c>
      <c r="J6" s="118" t="s">
        <v>144</v>
      </c>
      <c r="K6" s="33"/>
      <c r="L6" s="117" t="s">
        <v>3</v>
      </c>
      <c r="M6" s="118" t="s">
        <v>15</v>
      </c>
    </row>
    <row r="7" spans="1:15">
      <c r="A7" s="30"/>
    </row>
    <row r="8" spans="1:15">
      <c r="A8" s="24" t="s">
        <v>330</v>
      </c>
      <c r="B8" s="117" t="s">
        <v>2</v>
      </c>
      <c r="C8" s="118" t="s">
        <v>299</v>
      </c>
      <c r="D8" s="118" t="s">
        <v>418</v>
      </c>
      <c r="F8" s="117" t="s">
        <v>2</v>
      </c>
      <c r="G8" t="s">
        <v>298</v>
      </c>
      <c r="I8" s="117" t="s">
        <v>2</v>
      </c>
      <c r="J8" t="s">
        <v>297</v>
      </c>
      <c r="L8" s="117" t="s">
        <v>2</v>
      </c>
      <c r="M8" s="118" t="s">
        <v>300</v>
      </c>
      <c r="N8" s="118"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62" t="s">
        <v>146</v>
      </c>
      <c r="C1" s="163"/>
      <c r="D1" s="163"/>
      <c r="E1" s="163"/>
      <c r="F1" s="163"/>
      <c r="G1" s="163"/>
      <c r="H1" s="163"/>
      <c r="I1" s="163"/>
      <c r="J1" s="163"/>
      <c r="K1" s="163"/>
      <c r="L1" s="156" t="s">
        <v>377</v>
      </c>
      <c r="M1" s="157"/>
      <c r="N1" s="157"/>
    </row>
    <row r="2" spans="1:14">
      <c r="A2" s="31"/>
      <c r="B2" s="54"/>
      <c r="C2" s="55"/>
      <c r="D2" s="55"/>
      <c r="E2" s="55"/>
      <c r="F2" s="55"/>
      <c r="G2" s="55"/>
      <c r="H2" s="55"/>
      <c r="I2" s="55"/>
      <c r="J2" s="55"/>
      <c r="K2" s="55"/>
      <c r="L2" s="117" t="s">
        <v>0</v>
      </c>
      <c r="M2" s="118" t="s">
        <v>16</v>
      </c>
      <c r="N2" s="53"/>
    </row>
    <row r="3" spans="1:14">
      <c r="A3" s="31"/>
      <c r="B3" s="117" t="s">
        <v>0</v>
      </c>
      <c r="C3" s="118" t="s">
        <v>16</v>
      </c>
      <c r="F3" s="117" t="s">
        <v>0</v>
      </c>
      <c r="G3" s="118" t="s">
        <v>16</v>
      </c>
      <c r="I3" s="117" t="s">
        <v>0</v>
      </c>
      <c r="J3" s="118" t="s">
        <v>16</v>
      </c>
      <c r="L3" s="117" t="s">
        <v>1</v>
      </c>
      <c r="M3" s="118" t="s">
        <v>16</v>
      </c>
    </row>
    <row r="4" spans="1:14">
      <c r="A4" s="31"/>
      <c r="B4" s="117" t="s">
        <v>1</v>
      </c>
      <c r="C4" s="118" t="s">
        <v>16</v>
      </c>
      <c r="D4" s="33"/>
      <c r="E4" s="33"/>
      <c r="F4" s="117" t="s">
        <v>1</v>
      </c>
      <c r="G4" s="118" t="s">
        <v>16</v>
      </c>
      <c r="I4" s="117" t="s">
        <v>1</v>
      </c>
      <c r="J4" s="118" t="s">
        <v>16</v>
      </c>
      <c r="K4" s="33"/>
      <c r="L4" s="117" t="s">
        <v>2</v>
      </c>
      <c r="M4" s="118" t="s">
        <v>16</v>
      </c>
    </row>
    <row r="5" spans="1:14">
      <c r="A5" s="31"/>
      <c r="B5" s="117" t="s">
        <v>2</v>
      </c>
      <c r="C5" s="118" t="s">
        <v>16</v>
      </c>
      <c r="D5" s="33"/>
      <c r="E5" s="33"/>
      <c r="F5" s="117" t="s">
        <v>2</v>
      </c>
      <c r="G5" s="118" t="s">
        <v>16</v>
      </c>
      <c r="I5" s="117" t="s">
        <v>2</v>
      </c>
      <c r="J5" s="118" t="s">
        <v>16</v>
      </c>
      <c r="K5" s="33"/>
      <c r="L5" s="117" t="s">
        <v>52</v>
      </c>
      <c r="M5" s="118" t="s">
        <v>16</v>
      </c>
    </row>
    <row r="6" spans="1:14">
      <c r="A6" s="31"/>
      <c r="B6" s="117" t="s">
        <v>3</v>
      </c>
      <c r="C6" s="118" t="s">
        <v>113</v>
      </c>
      <c r="D6" s="33"/>
      <c r="E6" s="33"/>
      <c r="F6" s="117" t="s">
        <v>3</v>
      </c>
      <c r="G6" s="118" t="s">
        <v>115</v>
      </c>
      <c r="I6" s="117" t="s">
        <v>3</v>
      </c>
      <c r="J6" s="118" t="s">
        <v>144</v>
      </c>
      <c r="K6" s="33"/>
      <c r="L6" s="117" t="s">
        <v>3</v>
      </c>
      <c r="M6" s="118" t="s">
        <v>15</v>
      </c>
    </row>
    <row r="7" spans="1:14">
      <c r="A7" s="31"/>
    </row>
    <row r="8" spans="1:14">
      <c r="A8" s="24" t="s">
        <v>122</v>
      </c>
      <c r="B8" s="117" t="s">
        <v>296</v>
      </c>
      <c r="C8" s="118" t="s">
        <v>299</v>
      </c>
      <c r="D8" s="118" t="s">
        <v>415</v>
      </c>
      <c r="F8" s="117" t="s">
        <v>296</v>
      </c>
      <c r="G8" t="s">
        <v>298</v>
      </c>
      <c r="I8" s="117" t="s">
        <v>296</v>
      </c>
      <c r="J8" t="s">
        <v>297</v>
      </c>
      <c r="L8" s="117" t="s">
        <v>296</v>
      </c>
      <c r="M8" s="118" t="s">
        <v>300</v>
      </c>
      <c r="N8" s="118"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60" t="s">
        <v>308</v>
      </c>
      <c r="C3" s="140"/>
      <c r="D3" s="140"/>
      <c r="E3" s="140"/>
      <c r="F3" s="140"/>
      <c r="G3" s="140"/>
      <c r="H3" s="140"/>
      <c r="I3" s="140"/>
      <c r="J3" s="140"/>
      <c r="K3" s="140"/>
      <c r="M3" s="160" t="s">
        <v>475</v>
      </c>
      <c r="N3" s="157"/>
      <c r="O3" s="157"/>
      <c r="P3" s="157"/>
      <c r="Q3" s="157"/>
      <c r="R3" s="157"/>
      <c r="S3" s="157"/>
    </row>
    <row r="4" spans="1:19">
      <c r="A4" s="31"/>
      <c r="B4" s="160"/>
      <c r="C4" s="140"/>
      <c r="D4" s="140"/>
      <c r="E4" s="140"/>
      <c r="F4" s="140"/>
      <c r="G4" s="140"/>
      <c r="H4" s="140"/>
      <c r="I4" s="140"/>
      <c r="J4" s="140"/>
      <c r="K4" s="140"/>
      <c r="M4" s="96"/>
      <c r="N4" s="117" t="s">
        <v>0</v>
      </c>
      <c r="O4" s="118" t="s">
        <v>16</v>
      </c>
      <c r="P4" s="96"/>
      <c r="Q4" s="117" t="s">
        <v>0</v>
      </c>
      <c r="R4" s="118" t="s">
        <v>16</v>
      </c>
      <c r="S4" s="33"/>
    </row>
    <row r="5" spans="1:19">
      <c r="A5" s="31"/>
      <c r="B5" s="135" t="s">
        <v>0</v>
      </c>
      <c r="C5" s="136" t="s">
        <v>16</v>
      </c>
      <c r="E5" s="135" t="s">
        <v>0</v>
      </c>
      <c r="F5" s="136" t="s">
        <v>16</v>
      </c>
      <c r="I5" s="135" t="s">
        <v>0</v>
      </c>
      <c r="J5" s="136" t="s">
        <v>16</v>
      </c>
      <c r="K5" s="52"/>
      <c r="M5" s="96"/>
      <c r="N5" s="117" t="s">
        <v>1</v>
      </c>
      <c r="O5" s="118" t="s">
        <v>16</v>
      </c>
      <c r="P5" s="96"/>
      <c r="Q5" s="117" t="s">
        <v>1</v>
      </c>
      <c r="R5" s="118" t="s">
        <v>16</v>
      </c>
      <c r="S5" s="33"/>
    </row>
    <row r="6" spans="1:19">
      <c r="A6" s="31"/>
      <c r="B6" s="135" t="s">
        <v>3</v>
      </c>
      <c r="C6" s="136" t="s">
        <v>294</v>
      </c>
      <c r="E6" s="135" t="s">
        <v>3</v>
      </c>
      <c r="F6" s="136" t="s">
        <v>334</v>
      </c>
      <c r="I6" s="135" t="s">
        <v>3</v>
      </c>
      <c r="J6" s="136" t="s">
        <v>335</v>
      </c>
      <c r="K6" s="52"/>
      <c r="M6" s="96"/>
      <c r="N6" s="117" t="s">
        <v>3</v>
      </c>
      <c r="O6" s="118" t="s">
        <v>466</v>
      </c>
      <c r="P6" s="96"/>
      <c r="Q6" s="117" t="s">
        <v>3</v>
      </c>
      <c r="R6" s="118" t="s">
        <v>468</v>
      </c>
      <c r="S6" s="33"/>
    </row>
    <row r="7" spans="1:19">
      <c r="A7" s="31"/>
      <c r="E7" s="52"/>
      <c r="F7" s="52"/>
      <c r="I7" s="52"/>
      <c r="J7" s="52"/>
      <c r="K7" s="52"/>
      <c r="M7" s="96"/>
      <c r="N7" s="96"/>
      <c r="O7" s="96"/>
      <c r="P7" s="96"/>
      <c r="Q7" s="96"/>
      <c r="R7" s="96"/>
      <c r="S7" s="96"/>
    </row>
    <row r="8" spans="1:19" ht="30">
      <c r="A8" s="24" t="s">
        <v>122</v>
      </c>
      <c r="B8" s="135" t="s">
        <v>296</v>
      </c>
      <c r="C8" t="s">
        <v>309</v>
      </c>
      <c r="E8" s="135" t="s">
        <v>296</v>
      </c>
      <c r="F8" s="136" t="s">
        <v>346</v>
      </c>
      <c r="G8" s="136" t="s">
        <v>415</v>
      </c>
      <c r="I8" s="135" t="s">
        <v>296</v>
      </c>
      <c r="J8" s="136" t="s">
        <v>347</v>
      </c>
      <c r="K8" s="136" t="s">
        <v>419</v>
      </c>
      <c r="M8" s="24" t="s">
        <v>330</v>
      </c>
      <c r="N8" s="117" t="s">
        <v>2</v>
      </c>
      <c r="O8" t="s">
        <v>472</v>
      </c>
      <c r="P8" s="96"/>
      <c r="Q8" s="117" t="s">
        <v>2</v>
      </c>
      <c r="R8" s="118" t="s">
        <v>473</v>
      </c>
      <c r="S8" s="118" t="s">
        <v>474</v>
      </c>
    </row>
    <row r="9" spans="1:19" ht="20.25" customHeight="1">
      <c r="A9" s="29">
        <f>INDEX('Node Information'!J:$J,MATCH(B9,'Node Information'!$A:$A,0))</f>
        <v>6.5428240740740704E-2</v>
      </c>
      <c r="B9" s="4" t="s">
        <v>49</v>
      </c>
      <c r="C9" s="5">
        <v>368</v>
      </c>
      <c r="E9" s="4" t="s">
        <v>49</v>
      </c>
      <c r="F9" s="5">
        <v>396</v>
      </c>
      <c r="G9" s="136">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6">
        <v>396</v>
      </c>
      <c r="G10" s="136">
        <v>0</v>
      </c>
      <c r="I10" s="4" t="s">
        <v>18</v>
      </c>
      <c r="J10" s="136">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8" customWidth="1"/>
    <col min="28" max="28" width="18.7109375" style="118"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64" t="s">
        <v>528</v>
      </c>
      <c r="C4" s="165"/>
      <c r="D4" s="165"/>
      <c r="E4" s="165"/>
      <c r="F4" s="165"/>
      <c r="G4" s="165"/>
      <c r="H4" s="165"/>
      <c r="I4" s="165"/>
      <c r="J4" s="165"/>
      <c r="K4" s="165"/>
      <c r="M4" s="164" t="s">
        <v>529</v>
      </c>
      <c r="N4" s="165"/>
      <c r="O4" s="165"/>
      <c r="P4" s="165"/>
      <c r="Q4" s="165"/>
      <c r="R4" s="165"/>
      <c r="S4" s="165"/>
      <c r="T4" s="165"/>
      <c r="U4" s="165"/>
      <c r="V4" s="165"/>
      <c r="X4" s="164" t="s">
        <v>301</v>
      </c>
      <c r="Y4" s="165"/>
      <c r="Z4" s="165"/>
      <c r="AA4" s="165"/>
      <c r="AB4" s="165"/>
      <c r="AC4" s="165"/>
      <c r="AD4" s="165"/>
      <c r="AE4" s="165"/>
      <c r="AF4" s="165"/>
      <c r="AG4" s="165"/>
      <c r="AH4" s="140"/>
      <c r="AI4" s="140"/>
      <c r="AJ4" s="140"/>
    </row>
    <row r="5" spans="1:36">
      <c r="A5" s="45"/>
      <c r="B5" s="135" t="s">
        <v>0</v>
      </c>
      <c r="C5" s="136" t="s">
        <v>16</v>
      </c>
      <c r="D5" s="33"/>
      <c r="G5" s="33"/>
      <c r="H5" s="135" t="s">
        <v>0</v>
      </c>
      <c r="I5" s="136" t="s">
        <v>16</v>
      </c>
      <c r="M5" s="135" t="s">
        <v>0</v>
      </c>
      <c r="N5" s="136" t="s">
        <v>16</v>
      </c>
      <c r="O5" s="33"/>
      <c r="R5" s="33"/>
      <c r="S5" s="135" t="s">
        <v>0</v>
      </c>
      <c r="T5" s="136" t="s">
        <v>16</v>
      </c>
      <c r="X5" s="137" t="s">
        <v>575</v>
      </c>
      <c r="Y5" s="138" t="s">
        <v>16</v>
      </c>
      <c r="Z5" s="45"/>
      <c r="AA5" s="45"/>
      <c r="AB5" s="45"/>
      <c r="AC5" s="45"/>
      <c r="AD5" s="45"/>
      <c r="AE5" s="45"/>
      <c r="AF5" s="45"/>
      <c r="AG5" s="45"/>
      <c r="AH5" s="45"/>
      <c r="AI5" s="45"/>
      <c r="AJ5" s="45"/>
    </row>
    <row r="6" spans="1:36">
      <c r="A6" s="45"/>
      <c r="B6" s="135" t="s">
        <v>3</v>
      </c>
      <c r="C6" s="136" t="s">
        <v>310</v>
      </c>
      <c r="D6" s="33"/>
      <c r="G6" s="33"/>
      <c r="H6" s="135" t="s">
        <v>3</v>
      </c>
      <c r="I6" s="136" t="s">
        <v>310</v>
      </c>
      <c r="M6" s="135" t="s">
        <v>3</v>
      </c>
      <c r="N6" s="136" t="s">
        <v>310</v>
      </c>
      <c r="O6" s="33"/>
      <c r="R6" s="33"/>
      <c r="S6" s="135" t="s">
        <v>3</v>
      </c>
      <c r="T6" s="136" t="s">
        <v>310</v>
      </c>
      <c r="X6" s="137" t="s">
        <v>0</v>
      </c>
      <c r="Y6" s="138" t="s">
        <v>16</v>
      </c>
      <c r="Z6" s="120"/>
      <c r="AA6" s="120"/>
      <c r="AB6" s="120"/>
      <c r="AC6" s="120"/>
      <c r="AD6" s="119"/>
      <c r="AE6" s="120"/>
      <c r="AF6" s="120"/>
      <c r="AG6" s="120"/>
      <c r="AH6" s="120"/>
      <c r="AI6" s="119"/>
    </row>
    <row r="7" spans="1:36">
      <c r="A7" s="45"/>
      <c r="X7" s="121"/>
      <c r="Y7" s="118"/>
      <c r="AB7" s="121"/>
      <c r="AC7" s="118"/>
      <c r="AE7" s="121"/>
      <c r="AF7" s="118"/>
      <c r="AG7" s="118"/>
      <c r="AH7" s="118"/>
    </row>
    <row r="8" spans="1:36">
      <c r="A8" s="24" t="s">
        <v>122</v>
      </c>
      <c r="B8" s="135" t="s">
        <v>296</v>
      </c>
      <c r="C8" s="136" t="s">
        <v>312</v>
      </c>
      <c r="D8" s="136" t="s">
        <v>417</v>
      </c>
      <c r="E8" s="136" t="s">
        <v>311</v>
      </c>
      <c r="F8" s="136" t="s">
        <v>416</v>
      </c>
      <c r="H8" s="135" t="s">
        <v>296</v>
      </c>
      <c r="I8" s="136" t="s">
        <v>316</v>
      </c>
      <c r="J8" s="136" t="s">
        <v>317</v>
      </c>
      <c r="K8" s="136" t="s">
        <v>318</v>
      </c>
      <c r="M8" s="135" t="s">
        <v>296</v>
      </c>
      <c r="N8" s="136" t="s">
        <v>312</v>
      </c>
      <c r="O8" s="136" t="s">
        <v>417</v>
      </c>
      <c r="P8" s="136" t="s">
        <v>311</v>
      </c>
      <c r="Q8" s="136" t="s">
        <v>416</v>
      </c>
      <c r="S8" s="135" t="s">
        <v>296</v>
      </c>
      <c r="T8" s="136" t="s">
        <v>316</v>
      </c>
      <c r="U8" s="136" t="s">
        <v>317</v>
      </c>
      <c r="V8" s="136" t="s">
        <v>318</v>
      </c>
      <c r="X8" s="133" t="s">
        <v>17</v>
      </c>
      <c r="Y8" s="134" t="s">
        <v>601</v>
      </c>
      <c r="Z8" s="134" t="s">
        <v>599</v>
      </c>
      <c r="AA8" s="134" t="s">
        <v>600</v>
      </c>
      <c r="AB8" s="134" t="s">
        <v>602</v>
      </c>
      <c r="AC8" s="138" t="s">
        <v>625</v>
      </c>
      <c r="AD8" s="134" t="s">
        <v>603</v>
      </c>
      <c r="AE8" s="134" t="s">
        <v>608</v>
      </c>
      <c r="AF8" s="134" t="s">
        <v>604</v>
      </c>
      <c r="AG8" s="134" t="s">
        <v>609</v>
      </c>
      <c r="AH8" s="134" t="s">
        <v>605</v>
      </c>
      <c r="AI8" s="134" t="s">
        <v>606</v>
      </c>
      <c r="AJ8" s="134"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498</v>
      </c>
      <c r="Y9" s="5"/>
      <c r="Z9" s="132"/>
      <c r="AA9" s="132"/>
      <c r="AB9" s="138"/>
      <c r="AC9" s="5"/>
      <c r="AD9" s="5"/>
      <c r="AE9" s="5"/>
      <c r="AF9" s="5"/>
      <c r="AG9" s="5"/>
      <c r="AH9" s="5"/>
      <c r="AI9" s="5"/>
      <c r="AJ9" s="5"/>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620</v>
      </c>
      <c r="Y10" s="5">
        <v>2</v>
      </c>
      <c r="Z10" s="132">
        <v>4.9768518518518521E-4</v>
      </c>
      <c r="AA10" s="132">
        <v>3.3564814814814818E-4</v>
      </c>
      <c r="AB10" s="138">
        <v>0</v>
      </c>
      <c r="AC10" s="5">
        <v>1</v>
      </c>
      <c r="AD10" s="5">
        <v>0</v>
      </c>
      <c r="AE10" s="5"/>
      <c r="AF10" s="5">
        <v>3</v>
      </c>
      <c r="AG10" s="5">
        <v>69156</v>
      </c>
      <c r="AH10" s="5">
        <v>0</v>
      </c>
      <c r="AI10" s="5">
        <v>0</v>
      </c>
      <c r="AJ10" s="5">
        <v>1</v>
      </c>
    </row>
    <row r="11" spans="1:36">
      <c r="X11" s="4" t="s">
        <v>18</v>
      </c>
      <c r="Y11" s="5">
        <v>2</v>
      </c>
      <c r="Z11" s="132">
        <v>4.9768518518518521E-4</v>
      </c>
      <c r="AA11" s="132">
        <v>3.3564814814814818E-4</v>
      </c>
      <c r="AB11" s="138">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66" t="s">
        <v>147</v>
      </c>
      <c r="C2" s="163"/>
      <c r="D2" s="163"/>
      <c r="E2" s="163"/>
      <c r="F2" s="163"/>
      <c r="G2" s="163"/>
      <c r="H2" s="163"/>
      <c r="I2" s="167"/>
      <c r="J2" s="86"/>
      <c r="K2" s="156" t="s">
        <v>365</v>
      </c>
      <c r="L2" s="140"/>
      <c r="M2" s="57"/>
      <c r="N2" s="156" t="s">
        <v>377</v>
      </c>
      <c r="O2" s="140"/>
      <c r="P2" s="140"/>
      <c r="Q2" s="140"/>
      <c r="R2" s="140"/>
      <c r="S2" s="140"/>
      <c r="T2" s="140"/>
      <c r="U2" s="140"/>
      <c r="V2" s="140"/>
      <c r="W2" s="140"/>
      <c r="X2" s="140"/>
      <c r="Y2" s="140"/>
    </row>
    <row r="3" spans="1:26" s="31" customFormat="1">
      <c r="A3" s="30"/>
      <c r="B3" s="117" t="s">
        <v>150</v>
      </c>
      <c r="C3" s="118" t="s">
        <v>310</v>
      </c>
      <c r="D3" s="55"/>
      <c r="E3" s="117" t="s">
        <v>150</v>
      </c>
      <c r="F3" s="118" t="s">
        <v>310</v>
      </c>
      <c r="G3" s="55"/>
      <c r="H3" s="117" t="s">
        <v>150</v>
      </c>
      <c r="I3" s="118" t="s">
        <v>310</v>
      </c>
      <c r="J3" s="86"/>
      <c r="K3" s="111" t="s">
        <v>150</v>
      </c>
      <c r="L3" s="112" t="s">
        <v>365</v>
      </c>
      <c r="M3" s="57"/>
      <c r="N3" s="117" t="s">
        <v>0</v>
      </c>
      <c r="O3" s="118" t="s">
        <v>16</v>
      </c>
      <c r="R3" s="117" t="s">
        <v>0</v>
      </c>
      <c r="S3" s="118" t="s">
        <v>16</v>
      </c>
      <c r="T3" s="34"/>
      <c r="V3" s="117" t="s">
        <v>0</v>
      </c>
      <c r="W3" s="118" t="s">
        <v>16</v>
      </c>
    </row>
    <row r="4" spans="1:26">
      <c r="A4" s="30"/>
      <c r="B4" s="117" t="s">
        <v>0</v>
      </c>
      <c r="C4" s="118" t="s">
        <v>16</v>
      </c>
      <c r="D4" s="33"/>
      <c r="E4" s="117" t="s">
        <v>0</v>
      </c>
      <c r="F4" s="118" t="s">
        <v>16</v>
      </c>
      <c r="G4" s="33"/>
      <c r="H4" s="117" t="s">
        <v>0</v>
      </c>
      <c r="I4" s="118" t="s">
        <v>16</v>
      </c>
      <c r="K4" s="111" t="s">
        <v>0</v>
      </c>
      <c r="L4" s="112" t="s">
        <v>16</v>
      </c>
      <c r="N4" s="117" t="s">
        <v>1</v>
      </c>
      <c r="O4" s="118" t="s">
        <v>16</v>
      </c>
      <c r="Q4" s="8"/>
      <c r="R4" s="117" t="s">
        <v>1</v>
      </c>
      <c r="S4" s="118" t="s">
        <v>16</v>
      </c>
      <c r="T4"/>
      <c r="V4" s="117" t="s">
        <v>1</v>
      </c>
      <c r="W4" s="118" t="s">
        <v>16</v>
      </c>
      <c r="Z4" s="8"/>
    </row>
    <row r="5" spans="1:26">
      <c r="A5" s="30"/>
      <c r="B5" s="117" t="s">
        <v>1</v>
      </c>
      <c r="C5" s="118" t="s">
        <v>16</v>
      </c>
      <c r="D5" s="33"/>
      <c r="E5" s="117" t="s">
        <v>1</v>
      </c>
      <c r="F5" s="118" t="s">
        <v>16</v>
      </c>
      <c r="G5" s="33"/>
      <c r="H5" s="117" t="s">
        <v>1</v>
      </c>
      <c r="I5" s="118" t="s">
        <v>16</v>
      </c>
      <c r="K5" s="111" t="s">
        <v>1</v>
      </c>
      <c r="L5" s="112" t="s">
        <v>16</v>
      </c>
      <c r="N5" s="117" t="s">
        <v>52</v>
      </c>
      <c r="O5" s="118" t="s">
        <v>16</v>
      </c>
      <c r="Q5" s="8"/>
      <c r="R5" s="117" t="s">
        <v>52</v>
      </c>
      <c r="S5" s="118" t="s">
        <v>16</v>
      </c>
      <c r="T5"/>
      <c r="V5" s="117" t="s">
        <v>52</v>
      </c>
      <c r="W5" s="118" t="s">
        <v>16</v>
      </c>
      <c r="Z5" s="8"/>
    </row>
    <row r="6" spans="1:26">
      <c r="A6" s="30"/>
      <c r="B6" s="117" t="s">
        <v>3</v>
      </c>
      <c r="C6" s="118" t="s">
        <v>109</v>
      </c>
      <c r="D6" s="33"/>
      <c r="E6" s="117" t="s">
        <v>3</v>
      </c>
      <c r="F6" s="118" t="s">
        <v>143</v>
      </c>
      <c r="G6" s="33"/>
      <c r="H6" s="117" t="s">
        <v>3</v>
      </c>
      <c r="I6" s="118" t="s">
        <v>112</v>
      </c>
      <c r="K6" s="111" t="s">
        <v>3</v>
      </c>
      <c r="L6" s="112" t="s">
        <v>109</v>
      </c>
      <c r="N6" s="117" t="s">
        <v>3</v>
      </c>
      <c r="O6" s="118" t="s">
        <v>13</v>
      </c>
      <c r="Q6" s="8"/>
      <c r="R6" s="117" t="s">
        <v>3</v>
      </c>
      <c r="S6" s="118" t="s">
        <v>14</v>
      </c>
      <c r="T6"/>
      <c r="V6" s="117" t="s">
        <v>3</v>
      </c>
      <c r="W6" s="118" t="s">
        <v>8</v>
      </c>
      <c r="Z6" s="8"/>
    </row>
    <row r="7" spans="1:26">
      <c r="A7" s="30"/>
      <c r="Q7" s="8"/>
      <c r="T7"/>
      <c r="Z7" s="8"/>
    </row>
    <row r="8" spans="1:26" ht="30">
      <c r="A8" s="24" t="s">
        <v>330</v>
      </c>
      <c r="B8" s="117" t="s">
        <v>2</v>
      </c>
      <c r="C8" t="s">
        <v>439</v>
      </c>
      <c r="E8" s="117" t="s">
        <v>2</v>
      </c>
      <c r="F8" s="32" t="s">
        <v>388</v>
      </c>
      <c r="H8" s="117" t="s">
        <v>2</v>
      </c>
      <c r="I8" s="32" t="s">
        <v>440</v>
      </c>
      <c r="J8" s="32"/>
      <c r="K8" s="111" t="s">
        <v>2</v>
      </c>
      <c r="L8" t="s">
        <v>439</v>
      </c>
      <c r="N8" s="117" t="s">
        <v>2</v>
      </c>
      <c r="O8" s="32" t="s">
        <v>385</v>
      </c>
      <c r="P8" s="32" t="s">
        <v>415</v>
      </c>
      <c r="Q8" s="8"/>
      <c r="R8" s="117" t="s">
        <v>2</v>
      </c>
      <c r="S8" s="32" t="s">
        <v>386</v>
      </c>
      <c r="T8" s="32" t="s">
        <v>419</v>
      </c>
      <c r="V8" s="117" t="s">
        <v>2</v>
      </c>
      <c r="W8" s="118"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66" t="s">
        <v>387</v>
      </c>
      <c r="C1" s="163"/>
      <c r="D1" s="163"/>
      <c r="E1" s="163"/>
      <c r="F1" s="163"/>
      <c r="G1" s="163"/>
      <c r="H1" s="163"/>
      <c r="I1" s="167"/>
      <c r="J1" s="86"/>
      <c r="K1" s="156" t="s">
        <v>365</v>
      </c>
      <c r="L1" s="157"/>
      <c r="M1" s="86"/>
      <c r="N1" s="168" t="s">
        <v>377</v>
      </c>
      <c r="O1" s="157"/>
      <c r="P1" s="157"/>
      <c r="Q1" s="157"/>
      <c r="R1" s="157"/>
      <c r="S1" s="157"/>
      <c r="T1" s="157"/>
      <c r="U1" s="157"/>
      <c r="V1" s="157"/>
      <c r="W1" s="157"/>
      <c r="X1" s="157"/>
      <c r="Y1" s="157"/>
    </row>
    <row r="2" spans="1:36">
      <c r="A2" s="31"/>
      <c r="B2" s="117" t="s">
        <v>150</v>
      </c>
      <c r="C2" s="118" t="s">
        <v>310</v>
      </c>
      <c r="D2" s="55"/>
      <c r="E2" s="117" t="s">
        <v>150</v>
      </c>
      <c r="F2" s="118" t="s">
        <v>310</v>
      </c>
      <c r="G2" s="55"/>
      <c r="H2" s="117" t="s">
        <v>150</v>
      </c>
      <c r="I2" s="118" t="s">
        <v>310</v>
      </c>
      <c r="K2" s="111" t="s">
        <v>150</v>
      </c>
      <c r="L2" s="112" t="s">
        <v>365</v>
      </c>
      <c r="M2" s="86"/>
      <c r="N2" s="117" t="s">
        <v>0</v>
      </c>
      <c r="O2" s="118" t="s">
        <v>16</v>
      </c>
      <c r="P2" s="31"/>
      <c r="Q2" s="31"/>
      <c r="R2" s="117" t="s">
        <v>0</v>
      </c>
      <c r="S2" s="118" t="s">
        <v>16</v>
      </c>
      <c r="T2" s="31"/>
      <c r="U2" s="31"/>
      <c r="V2" s="117" t="s">
        <v>0</v>
      </c>
      <c r="W2" s="118" t="s">
        <v>16</v>
      </c>
      <c r="X2" s="86"/>
      <c r="Y2" s="86"/>
      <c r="Z2" s="86"/>
      <c r="AA2" s="86"/>
      <c r="AB2" s="86"/>
      <c r="AC2" s="86"/>
      <c r="AD2" s="86"/>
      <c r="AE2" s="86"/>
      <c r="AF2" s="86"/>
      <c r="AG2" s="86"/>
      <c r="AH2" s="86"/>
      <c r="AI2" s="86"/>
      <c r="AJ2" s="86"/>
    </row>
    <row r="3" spans="1:36" s="31" customFormat="1">
      <c r="B3" s="117" t="s">
        <v>0</v>
      </c>
      <c r="C3" s="118" t="s">
        <v>16</v>
      </c>
      <c r="E3" s="117" t="s">
        <v>0</v>
      </c>
      <c r="F3" s="118" t="s">
        <v>16</v>
      </c>
      <c r="H3" s="117" t="s">
        <v>0</v>
      </c>
      <c r="I3" s="118" t="s">
        <v>16</v>
      </c>
      <c r="J3" s="86"/>
      <c r="K3" s="111" t="s">
        <v>0</v>
      </c>
      <c r="L3" s="112" t="s">
        <v>16</v>
      </c>
      <c r="M3" s="86"/>
      <c r="N3" s="117" t="s">
        <v>1</v>
      </c>
      <c r="O3" s="118" t="s">
        <v>16</v>
      </c>
      <c r="R3" s="117" t="s">
        <v>1</v>
      </c>
      <c r="S3" s="118" t="s">
        <v>16</v>
      </c>
      <c r="T3" s="34"/>
      <c r="V3" s="117" t="s">
        <v>1</v>
      </c>
      <c r="W3" s="118" t="s">
        <v>16</v>
      </c>
      <c r="X3" s="86"/>
      <c r="Y3" s="86"/>
      <c r="Z3" s="86"/>
      <c r="AA3" s="86"/>
      <c r="AB3" s="86"/>
      <c r="AC3" s="86"/>
      <c r="AD3" s="86"/>
      <c r="AE3" s="86"/>
      <c r="AF3" s="86"/>
      <c r="AG3" s="86"/>
      <c r="AH3" s="86"/>
      <c r="AI3" s="86"/>
      <c r="AJ3" s="86"/>
    </row>
    <row r="4" spans="1:36">
      <c r="A4" s="31"/>
      <c r="B4" s="117" t="s">
        <v>1</v>
      </c>
      <c r="C4" s="118" t="s">
        <v>16</v>
      </c>
      <c r="D4" s="33"/>
      <c r="E4" s="117" t="s">
        <v>1</v>
      </c>
      <c r="F4" s="118" t="s">
        <v>16</v>
      </c>
      <c r="G4" s="33"/>
      <c r="H4" s="117" t="s">
        <v>1</v>
      </c>
      <c r="I4" s="118" t="s">
        <v>16</v>
      </c>
      <c r="K4" s="111" t="s">
        <v>1</v>
      </c>
      <c r="L4" s="112" t="s">
        <v>16</v>
      </c>
      <c r="N4" s="117" t="s">
        <v>2</v>
      </c>
      <c r="O4" s="118" t="s">
        <v>16</v>
      </c>
      <c r="Q4" s="8"/>
      <c r="R4" s="117" t="s">
        <v>2</v>
      </c>
      <c r="S4" s="118" t="s">
        <v>16</v>
      </c>
      <c r="T4"/>
      <c r="V4" s="117" t="s">
        <v>2</v>
      </c>
      <c r="W4" s="118" t="s">
        <v>16</v>
      </c>
      <c r="X4" s="86"/>
      <c r="Z4" s="86"/>
      <c r="AA4" s="86"/>
      <c r="AB4" s="86"/>
      <c r="AC4" s="86"/>
      <c r="AD4" s="86"/>
      <c r="AE4" s="86"/>
      <c r="AF4" s="86"/>
      <c r="AG4" s="86"/>
      <c r="AH4" s="86"/>
      <c r="AI4" s="86"/>
      <c r="AJ4" s="86"/>
    </row>
    <row r="5" spans="1:36">
      <c r="A5" s="31"/>
      <c r="B5" s="117" t="s">
        <v>2</v>
      </c>
      <c r="C5" s="118" t="s">
        <v>16</v>
      </c>
      <c r="D5" s="33"/>
      <c r="E5" s="117" t="s">
        <v>2</v>
      </c>
      <c r="F5" s="118" t="s">
        <v>16</v>
      </c>
      <c r="G5" s="33"/>
      <c r="H5" s="117" t="s">
        <v>2</v>
      </c>
      <c r="I5" s="118" t="s">
        <v>16</v>
      </c>
      <c r="K5" s="111" t="s">
        <v>2</v>
      </c>
      <c r="L5" s="112" t="s">
        <v>16</v>
      </c>
      <c r="N5" s="117" t="s">
        <v>52</v>
      </c>
      <c r="O5" s="118" t="s">
        <v>16</v>
      </c>
      <c r="Q5" s="8"/>
      <c r="R5" s="117" t="s">
        <v>52</v>
      </c>
      <c r="S5" s="118" t="s">
        <v>16</v>
      </c>
      <c r="T5"/>
      <c r="V5" s="117" t="s">
        <v>52</v>
      </c>
      <c r="W5" s="118" t="s">
        <v>16</v>
      </c>
      <c r="Z5" s="8"/>
    </row>
    <row r="6" spans="1:36">
      <c r="A6" s="31"/>
      <c r="B6" s="117" t="s">
        <v>3</v>
      </c>
      <c r="C6" s="118" t="s">
        <v>109</v>
      </c>
      <c r="D6" s="33"/>
      <c r="E6" s="117" t="s">
        <v>3</v>
      </c>
      <c r="F6" s="118" t="s">
        <v>143</v>
      </c>
      <c r="G6" s="33"/>
      <c r="H6" s="117" t="s">
        <v>3</v>
      </c>
      <c r="I6" s="118" t="s">
        <v>112</v>
      </c>
      <c r="K6" s="111" t="s">
        <v>3</v>
      </c>
      <c r="L6" s="112" t="s">
        <v>109</v>
      </c>
      <c r="N6" s="117" t="s">
        <v>3</v>
      </c>
      <c r="O6" s="118" t="s">
        <v>13</v>
      </c>
      <c r="Q6" s="8"/>
      <c r="R6" s="117" t="s">
        <v>3</v>
      </c>
      <c r="S6" s="118" t="s">
        <v>14</v>
      </c>
      <c r="T6"/>
      <c r="V6" s="117" t="s">
        <v>3</v>
      </c>
      <c r="W6" s="118" t="s">
        <v>8</v>
      </c>
      <c r="Z6" s="8"/>
    </row>
    <row r="7" spans="1:36">
      <c r="A7" s="31"/>
      <c r="Q7" s="8"/>
      <c r="T7"/>
      <c r="Z7" s="8"/>
    </row>
    <row r="8" spans="1:36" ht="30">
      <c r="A8" s="24" t="s">
        <v>122</v>
      </c>
      <c r="B8" s="117" t="s">
        <v>2</v>
      </c>
      <c r="C8" t="s">
        <v>385</v>
      </c>
      <c r="E8" s="117" t="s">
        <v>2</v>
      </c>
      <c r="F8" s="32" t="s">
        <v>388</v>
      </c>
      <c r="H8" s="117" t="s">
        <v>2</v>
      </c>
      <c r="I8" s="32" t="s">
        <v>386</v>
      </c>
      <c r="J8" s="32"/>
      <c r="K8" s="111" t="s">
        <v>2</v>
      </c>
      <c r="L8" t="s">
        <v>385</v>
      </c>
      <c r="N8" s="117" t="s">
        <v>2</v>
      </c>
      <c r="O8" s="32" t="s">
        <v>385</v>
      </c>
      <c r="P8" s="32" t="s">
        <v>386</v>
      </c>
      <c r="Q8" s="8"/>
      <c r="R8" s="117" t="s">
        <v>2</v>
      </c>
      <c r="S8" s="32" t="s">
        <v>386</v>
      </c>
      <c r="T8" s="32" t="s">
        <v>419</v>
      </c>
      <c r="V8" s="117" t="s">
        <v>2</v>
      </c>
      <c r="W8" s="118"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topLeftCell="I1" workbookViewId="0">
      <selection activeCell="M9" sqref="M9"/>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62" t="s">
        <v>490</v>
      </c>
      <c r="C4" s="157"/>
      <c r="D4" s="157"/>
      <c r="E4" s="157"/>
      <c r="F4" s="157"/>
      <c r="G4" s="157"/>
      <c r="H4" s="157"/>
      <c r="I4" s="157"/>
      <c r="J4" s="157"/>
      <c r="K4" s="157"/>
      <c r="L4" s="157"/>
      <c r="M4" s="157"/>
      <c r="N4" s="157"/>
      <c r="O4" s="157"/>
      <c r="P4" s="157"/>
      <c r="Q4" s="157"/>
      <c r="R4" s="157"/>
      <c r="S4" s="157"/>
      <c r="T4" s="157"/>
      <c r="U4" s="157"/>
      <c r="V4" s="157"/>
      <c r="W4" s="157"/>
      <c r="X4" s="157"/>
      <c r="Y4" s="157"/>
      <c r="Z4" s="157"/>
      <c r="AA4" s="37"/>
      <c r="AB4" s="37"/>
    </row>
    <row r="5" spans="1:28">
      <c r="A5" s="45"/>
      <c r="B5" s="135" t="s">
        <v>0</v>
      </c>
      <c r="C5" s="136" t="s">
        <v>16</v>
      </c>
      <c r="D5" s="33"/>
      <c r="E5" s="135" t="s">
        <v>0</v>
      </c>
      <c r="F5" s="136" t="s">
        <v>16</v>
      </c>
      <c r="G5" s="33"/>
      <c r="H5" s="135" t="s">
        <v>0</v>
      </c>
      <c r="I5" s="136" t="s">
        <v>16</v>
      </c>
      <c r="K5" s="135" t="s">
        <v>0</v>
      </c>
      <c r="L5" s="136" t="s">
        <v>16</v>
      </c>
      <c r="M5" s="169" t="s">
        <v>552</v>
      </c>
      <c r="N5" s="140"/>
      <c r="S5" s="135" t="s">
        <v>0</v>
      </c>
      <c r="T5" s="136" t="s">
        <v>16</v>
      </c>
      <c r="U5" s="169" t="s">
        <v>553</v>
      </c>
      <c r="V5" s="140"/>
      <c r="W5" s="140"/>
      <c r="X5" s="110"/>
      <c r="Y5" s="110"/>
    </row>
    <row r="6" spans="1:28">
      <c r="A6" s="45"/>
      <c r="B6" s="135" t="s">
        <v>3</v>
      </c>
      <c r="C6" s="136" t="s">
        <v>411</v>
      </c>
      <c r="D6" s="33"/>
      <c r="E6" s="135" t="s">
        <v>3</v>
      </c>
      <c r="F6" s="136" t="s">
        <v>145</v>
      </c>
      <c r="G6" s="33"/>
      <c r="H6" s="135" t="s">
        <v>3</v>
      </c>
      <c r="I6" s="136" t="s">
        <v>412</v>
      </c>
      <c r="K6" s="135" t="s">
        <v>3</v>
      </c>
      <c r="L6" s="136" t="s">
        <v>310</v>
      </c>
      <c r="S6" s="135" t="s">
        <v>3</v>
      </c>
      <c r="T6" s="136" t="s">
        <v>310</v>
      </c>
      <c r="U6" s="110"/>
      <c r="V6" s="110"/>
      <c r="W6" s="110"/>
      <c r="X6" s="110"/>
      <c r="Y6" s="110"/>
    </row>
    <row r="7" spans="1:28">
      <c r="A7" s="45"/>
      <c r="K7" s="108"/>
      <c r="L7" s="108"/>
      <c r="S7" s="110"/>
      <c r="T7" s="110"/>
      <c r="U7" s="110"/>
      <c r="V7" s="110"/>
      <c r="W7" s="110"/>
      <c r="X7" s="110"/>
      <c r="Y7" s="110"/>
    </row>
    <row r="8" spans="1:28">
      <c r="A8" s="46" t="s">
        <v>304</v>
      </c>
      <c r="B8" s="135" t="s">
        <v>296</v>
      </c>
      <c r="C8" t="s">
        <v>338</v>
      </c>
      <c r="E8" s="135" t="s">
        <v>296</v>
      </c>
      <c r="F8" t="s">
        <v>345</v>
      </c>
      <c r="H8" s="135" t="s">
        <v>296</v>
      </c>
      <c r="I8" t="s">
        <v>303</v>
      </c>
      <c r="K8" s="135" t="s">
        <v>296</v>
      </c>
      <c r="L8" s="136" t="s">
        <v>549</v>
      </c>
      <c r="M8" s="136" t="s">
        <v>550</v>
      </c>
      <c r="N8" s="136" t="s">
        <v>551</v>
      </c>
      <c r="O8" s="136" t="s">
        <v>357</v>
      </c>
      <c r="P8" s="136" t="s">
        <v>249</v>
      </c>
      <c r="Q8" s="136" t="s">
        <v>537</v>
      </c>
      <c r="S8" s="135" t="s">
        <v>296</v>
      </c>
      <c r="T8" s="136" t="s">
        <v>554</v>
      </c>
      <c r="U8" s="136" t="s">
        <v>550</v>
      </c>
      <c r="V8" s="136" t="s">
        <v>555</v>
      </c>
      <c r="W8" s="136" t="s">
        <v>551</v>
      </c>
      <c r="X8" s="136" t="s">
        <v>357</v>
      </c>
      <c r="Y8" s="136" t="s">
        <v>249</v>
      </c>
      <c r="Z8" s="136" t="s">
        <v>537</v>
      </c>
    </row>
    <row r="9" spans="1:28">
      <c r="A9" s="47" t="str">
        <f>INDEX('OS-Machine Info'!$X:X,MATCH(B9,'OS-Machine Info'!$A:$A,0))</f>
        <v>GC-CMS</v>
      </c>
      <c r="B9" s="4" t="s">
        <v>49</v>
      </c>
      <c r="C9" s="5">
        <v>396</v>
      </c>
      <c r="D9" s="5"/>
      <c r="E9" s="4" t="s">
        <v>49</v>
      </c>
      <c r="F9" s="136">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6">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62" t="s">
        <v>301</v>
      </c>
      <c r="C4" s="157"/>
      <c r="D4" s="157"/>
      <c r="E4" s="157"/>
      <c r="F4" s="157"/>
      <c r="G4" s="157"/>
      <c r="H4" s="157"/>
      <c r="I4" s="157"/>
      <c r="J4" s="157"/>
      <c r="K4" s="157"/>
      <c r="L4" s="157"/>
    </row>
    <row r="5" spans="1:12">
      <c r="A5" s="45"/>
      <c r="B5" s="135" t="s">
        <v>0</v>
      </c>
      <c r="C5" s="136" t="s">
        <v>16</v>
      </c>
      <c r="D5" s="33"/>
      <c r="E5" s="135" t="s">
        <v>0</v>
      </c>
      <c r="F5" s="136" t="s">
        <v>16</v>
      </c>
      <c r="G5" s="33"/>
      <c r="H5" s="135" t="s">
        <v>0</v>
      </c>
      <c r="I5" s="136" t="s">
        <v>16</v>
      </c>
      <c r="K5" s="135" t="s">
        <v>0</v>
      </c>
      <c r="L5" s="136" t="s">
        <v>16</v>
      </c>
    </row>
    <row r="6" spans="1:12">
      <c r="A6" s="45"/>
      <c r="B6" s="135" t="s">
        <v>3</v>
      </c>
      <c r="C6" s="136" t="s">
        <v>351</v>
      </c>
      <c r="D6" s="33"/>
      <c r="E6" s="135" t="s">
        <v>3</v>
      </c>
      <c r="F6" s="136" t="s">
        <v>435</v>
      </c>
      <c r="G6" s="33"/>
      <c r="H6" s="135" t="s">
        <v>3</v>
      </c>
      <c r="I6" s="136" t="s">
        <v>464</v>
      </c>
      <c r="K6" s="135" t="s">
        <v>3</v>
      </c>
      <c r="L6" s="136" t="s">
        <v>438</v>
      </c>
    </row>
    <row r="7" spans="1:12">
      <c r="A7" s="45"/>
      <c r="B7" s="57"/>
      <c r="C7" s="57"/>
      <c r="E7" s="82"/>
      <c r="F7" s="82"/>
      <c r="H7" s="85"/>
      <c r="I7" s="85"/>
      <c r="K7" s="90"/>
      <c r="L7" s="90"/>
    </row>
    <row r="8" spans="1:12">
      <c r="A8" s="46" t="s">
        <v>304</v>
      </c>
      <c r="B8" s="135" t="s">
        <v>296</v>
      </c>
      <c r="C8" t="s">
        <v>481</v>
      </c>
      <c r="E8" s="135" t="s">
        <v>296</v>
      </c>
      <c r="F8" t="s">
        <v>482</v>
      </c>
      <c r="H8" s="135" t="s">
        <v>296</v>
      </c>
      <c r="I8" t="s">
        <v>484</v>
      </c>
      <c r="K8" s="135" t="s">
        <v>296</v>
      </c>
      <c r="L8" t="s">
        <v>483</v>
      </c>
    </row>
    <row r="9" spans="1:12">
      <c r="A9" s="47" t="str">
        <f>INDEX('OS-Machine Info'!$X:X,MATCH(B9,'OS-Machine Info'!$A:$A,0))</f>
        <v>GC-CMS</v>
      </c>
      <c r="B9" s="4" t="s">
        <v>49</v>
      </c>
      <c r="C9" s="136">
        <v>2</v>
      </c>
      <c r="D9" s="5"/>
      <c r="E9" s="4" t="s">
        <v>49</v>
      </c>
      <c r="F9" s="136">
        <v>1</v>
      </c>
      <c r="G9" s="5"/>
      <c r="H9" s="4" t="s">
        <v>49</v>
      </c>
      <c r="I9" s="136">
        <v>3</v>
      </c>
      <c r="K9" s="4" t="s">
        <v>49</v>
      </c>
      <c r="L9" s="136">
        <v>1</v>
      </c>
    </row>
    <row r="10" spans="1:12">
      <c r="B10" s="4" t="s">
        <v>18</v>
      </c>
      <c r="C10" s="136">
        <v>2</v>
      </c>
      <c r="D10" s="5"/>
      <c r="E10" s="4" t="s">
        <v>18</v>
      </c>
      <c r="F10" s="136">
        <v>1</v>
      </c>
      <c r="G10" s="5"/>
      <c r="H10" s="4" t="s">
        <v>18</v>
      </c>
      <c r="I10" s="136">
        <v>3</v>
      </c>
      <c r="K10" s="4" t="s">
        <v>18</v>
      </c>
      <c r="L10" s="136">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62" t="s">
        <v>301</v>
      </c>
      <c r="D2" s="157"/>
      <c r="E2" s="157"/>
      <c r="F2" s="157"/>
      <c r="G2" s="157"/>
      <c r="H2" s="157"/>
      <c r="I2" s="157"/>
      <c r="J2" s="157"/>
      <c r="K2" s="157"/>
      <c r="L2" s="157"/>
      <c r="M2" s="157"/>
      <c r="N2" s="157"/>
      <c r="O2" s="157"/>
      <c r="P2" s="157"/>
      <c r="Q2" s="157"/>
      <c r="R2" s="157"/>
      <c r="S2" s="157"/>
      <c r="T2" s="157"/>
      <c r="U2" s="157"/>
    </row>
    <row r="3" spans="1:21">
      <c r="A3" s="30"/>
      <c r="B3" s="30"/>
      <c r="C3" s="117" t="s">
        <v>0</v>
      </c>
      <c r="D3" s="118" t="s">
        <v>16</v>
      </c>
      <c r="F3" s="117" t="s">
        <v>0</v>
      </c>
      <c r="G3" s="118" t="s">
        <v>16</v>
      </c>
      <c r="I3" s="117" t="s">
        <v>0</v>
      </c>
      <c r="J3" s="118" t="s">
        <v>16</v>
      </c>
      <c r="L3" s="117" t="s">
        <v>0</v>
      </c>
      <c r="M3" s="118" t="s">
        <v>16</v>
      </c>
      <c r="O3" s="117" t="s">
        <v>0</v>
      </c>
      <c r="P3" s="118" t="s">
        <v>16</v>
      </c>
      <c r="Q3" s="33"/>
      <c r="R3" s="33"/>
      <c r="S3" s="117" t="s">
        <v>0</v>
      </c>
      <c r="T3" s="118" t="s">
        <v>16</v>
      </c>
      <c r="U3" s="33"/>
    </row>
    <row r="4" spans="1:21">
      <c r="A4" s="30"/>
      <c r="B4" s="30"/>
      <c r="C4" s="117" t="s">
        <v>1</v>
      </c>
      <c r="D4" s="118" t="s">
        <v>16</v>
      </c>
      <c r="F4" s="117" t="s">
        <v>1</v>
      </c>
      <c r="G4" s="118" t="s">
        <v>16</v>
      </c>
      <c r="I4" s="117" t="s">
        <v>1</v>
      </c>
      <c r="J4" s="118" t="s">
        <v>16</v>
      </c>
      <c r="L4" s="117" t="s">
        <v>1</v>
      </c>
      <c r="M4" s="118" t="s">
        <v>16</v>
      </c>
      <c r="O4" s="117" t="s">
        <v>1</v>
      </c>
      <c r="P4" s="118" t="s">
        <v>16</v>
      </c>
      <c r="Q4" s="33"/>
      <c r="R4" s="33"/>
      <c r="S4" s="117" t="s">
        <v>1</v>
      </c>
      <c r="T4" s="118" t="s">
        <v>16</v>
      </c>
      <c r="U4" s="33"/>
    </row>
    <row r="5" spans="1:21">
      <c r="A5" s="30"/>
      <c r="B5" s="30"/>
      <c r="C5" s="117" t="s">
        <v>3</v>
      </c>
      <c r="D5" s="118" t="s">
        <v>142</v>
      </c>
      <c r="F5" s="117" t="s">
        <v>3</v>
      </c>
      <c r="G5" s="118" t="s">
        <v>151</v>
      </c>
      <c r="I5" s="117" t="s">
        <v>3</v>
      </c>
      <c r="J5" s="118" t="s">
        <v>153</v>
      </c>
      <c r="L5" s="117" t="s">
        <v>3</v>
      </c>
      <c r="M5" s="118" t="s">
        <v>154</v>
      </c>
      <c r="O5" s="117" t="s">
        <v>3</v>
      </c>
      <c r="P5" s="118" t="s">
        <v>413</v>
      </c>
      <c r="S5" s="117" t="s">
        <v>3</v>
      </c>
      <c r="T5" s="118" t="s">
        <v>414</v>
      </c>
    </row>
    <row r="6" spans="1:21">
      <c r="A6" s="30"/>
      <c r="B6" s="30"/>
    </row>
    <row r="7" spans="1:21">
      <c r="A7" s="24" t="s">
        <v>330</v>
      </c>
      <c r="B7" s="24" t="s">
        <v>94</v>
      </c>
      <c r="C7" s="117" t="s">
        <v>2</v>
      </c>
      <c r="D7" t="s">
        <v>295</v>
      </c>
      <c r="F7" s="117" t="s">
        <v>2</v>
      </c>
      <c r="G7" t="s">
        <v>305</v>
      </c>
      <c r="I7" s="117" t="s">
        <v>2</v>
      </c>
      <c r="J7" t="s">
        <v>306</v>
      </c>
      <c r="L7" s="117" t="s">
        <v>2</v>
      </c>
      <c r="M7" t="s">
        <v>307</v>
      </c>
      <c r="O7" s="117" t="s">
        <v>2</v>
      </c>
      <c r="P7" s="118" t="s">
        <v>341</v>
      </c>
      <c r="Q7" s="118" t="s">
        <v>415</v>
      </c>
      <c r="S7" s="117"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62" t="s">
        <v>301</v>
      </c>
      <c r="C2" s="157"/>
      <c r="D2" s="157"/>
      <c r="E2" s="157"/>
      <c r="F2" s="157"/>
      <c r="G2" s="157"/>
      <c r="H2" s="157"/>
      <c r="I2" s="157"/>
      <c r="J2" s="157"/>
      <c r="K2" s="157"/>
      <c r="L2" s="157"/>
      <c r="M2" s="157"/>
      <c r="N2" s="157"/>
      <c r="O2" s="157"/>
      <c r="P2" s="157"/>
      <c r="Q2" s="157"/>
      <c r="R2" s="157"/>
      <c r="S2" s="157"/>
      <c r="T2" s="157"/>
    </row>
    <row r="3" spans="1:20" s="31" customFormat="1">
      <c r="B3" s="117" t="s">
        <v>0</v>
      </c>
      <c r="C3" s="118" t="s">
        <v>16</v>
      </c>
      <c r="E3" s="117" t="s">
        <v>0</v>
      </c>
      <c r="F3" s="118" t="s">
        <v>16</v>
      </c>
      <c r="H3" s="117" t="s">
        <v>0</v>
      </c>
      <c r="I3" s="118" t="s">
        <v>16</v>
      </c>
      <c r="K3" s="117" t="s">
        <v>0</v>
      </c>
      <c r="L3" s="118" t="s">
        <v>16</v>
      </c>
      <c r="N3" s="117" t="s">
        <v>0</v>
      </c>
      <c r="O3" s="118" t="s">
        <v>16</v>
      </c>
      <c r="R3" s="117" t="s">
        <v>0</v>
      </c>
      <c r="S3" s="118" t="s">
        <v>16</v>
      </c>
    </row>
    <row r="4" spans="1:20">
      <c r="A4" s="30"/>
      <c r="B4" s="117" t="s">
        <v>1</v>
      </c>
      <c r="C4" s="118" t="s">
        <v>16</v>
      </c>
      <c r="E4" s="117" t="s">
        <v>1</v>
      </c>
      <c r="F4" s="118" t="s">
        <v>16</v>
      </c>
      <c r="H4" s="117" t="s">
        <v>1</v>
      </c>
      <c r="I4" s="118" t="s">
        <v>16</v>
      </c>
      <c r="K4" s="117" t="s">
        <v>1</v>
      </c>
      <c r="L4" s="118" t="s">
        <v>16</v>
      </c>
      <c r="N4" s="117" t="s">
        <v>1</v>
      </c>
      <c r="O4" s="118" t="s">
        <v>16</v>
      </c>
      <c r="P4" s="33"/>
      <c r="Q4" s="33"/>
      <c r="R4" s="117" t="s">
        <v>1</v>
      </c>
      <c r="S4" s="118" t="s">
        <v>16</v>
      </c>
      <c r="T4" s="33"/>
    </row>
    <row r="5" spans="1:20">
      <c r="A5" s="30"/>
      <c r="B5" s="117" t="s">
        <v>2</v>
      </c>
      <c r="C5" s="118" t="s">
        <v>16</v>
      </c>
      <c r="E5" s="117" t="s">
        <v>2</v>
      </c>
      <c r="F5" s="118" t="s">
        <v>16</v>
      </c>
      <c r="H5" s="117" t="s">
        <v>2</v>
      </c>
      <c r="I5" s="118" t="s">
        <v>16</v>
      </c>
      <c r="K5" s="117" t="s">
        <v>2</v>
      </c>
      <c r="L5" s="118" t="s">
        <v>16</v>
      </c>
      <c r="N5" s="117" t="s">
        <v>2</v>
      </c>
      <c r="O5" s="118" t="s">
        <v>16</v>
      </c>
      <c r="P5" s="33"/>
      <c r="Q5" s="33"/>
      <c r="R5" s="117" t="s">
        <v>2</v>
      </c>
      <c r="S5" s="118" t="s">
        <v>16</v>
      </c>
      <c r="T5" s="33"/>
    </row>
    <row r="6" spans="1:20">
      <c r="A6" s="30"/>
      <c r="B6" s="117" t="s">
        <v>3</v>
      </c>
      <c r="C6" s="118" t="s">
        <v>142</v>
      </c>
      <c r="E6" s="117" t="s">
        <v>3</v>
      </c>
      <c r="F6" s="118" t="s">
        <v>151</v>
      </c>
      <c r="H6" s="117" t="s">
        <v>3</v>
      </c>
      <c r="I6" s="118" t="s">
        <v>153</v>
      </c>
      <c r="K6" s="117" t="s">
        <v>3</v>
      </c>
      <c r="L6" s="118" t="s">
        <v>154</v>
      </c>
      <c r="N6" s="117" t="s">
        <v>3</v>
      </c>
      <c r="O6" s="118" t="s">
        <v>413</v>
      </c>
      <c r="R6" s="117" t="s">
        <v>3</v>
      </c>
      <c r="S6" s="118" t="s">
        <v>414</v>
      </c>
    </row>
    <row r="7" spans="1:20">
      <c r="A7" s="30"/>
    </row>
    <row r="8" spans="1:20">
      <c r="A8" s="24" t="s">
        <v>122</v>
      </c>
      <c r="B8" s="117" t="s">
        <v>2</v>
      </c>
      <c r="C8" t="s">
        <v>295</v>
      </c>
      <c r="E8" s="117" t="s">
        <v>2</v>
      </c>
      <c r="F8" t="s">
        <v>305</v>
      </c>
      <c r="H8" s="117" t="s">
        <v>2</v>
      </c>
      <c r="I8" t="s">
        <v>306</v>
      </c>
      <c r="K8" s="117" t="s">
        <v>2</v>
      </c>
      <c r="L8" t="s">
        <v>307</v>
      </c>
      <c r="N8" s="117" t="s">
        <v>2</v>
      </c>
      <c r="O8" s="118" t="s">
        <v>341</v>
      </c>
      <c r="P8" s="118" t="s">
        <v>421</v>
      </c>
      <c r="R8" s="117"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topLeftCell="P1" workbookViewId="0">
      <selection activeCell="T4" sqref="T4:AD10"/>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56" t="s">
        <v>449</v>
      </c>
      <c r="C4" s="156"/>
      <c r="D4" s="156"/>
      <c r="E4" s="156"/>
      <c r="F4" s="156"/>
      <c r="G4" s="156"/>
      <c r="H4" s="156"/>
      <c r="I4" s="156"/>
      <c r="J4" s="156"/>
      <c r="K4" s="156"/>
      <c r="L4" s="156"/>
      <c r="M4" s="156"/>
      <c r="N4" s="156"/>
      <c r="O4" s="156"/>
      <c r="P4" s="156"/>
      <c r="Q4" s="156"/>
      <c r="R4" s="156"/>
      <c r="T4" s="162" t="s">
        <v>451</v>
      </c>
      <c r="U4" s="166"/>
      <c r="V4" s="166"/>
      <c r="W4" s="166"/>
      <c r="X4" s="166"/>
      <c r="Y4" s="166"/>
      <c r="Z4" s="166"/>
      <c r="AA4" s="166"/>
      <c r="AB4" s="166"/>
      <c r="AC4" s="166"/>
      <c r="AD4" s="166"/>
    </row>
    <row r="5" spans="1:30">
      <c r="A5" s="45"/>
      <c r="B5" s="135" t="s">
        <v>0</v>
      </c>
      <c r="C5" s="136" t="s">
        <v>16</v>
      </c>
      <c r="E5" s="135" t="s">
        <v>0</v>
      </c>
      <c r="F5" s="136" t="s">
        <v>16</v>
      </c>
      <c r="H5" s="135" t="s">
        <v>0</v>
      </c>
      <c r="I5" s="136" t="s">
        <v>16</v>
      </c>
      <c r="K5" s="135" t="s">
        <v>0</v>
      </c>
      <c r="L5" s="136" t="s">
        <v>16</v>
      </c>
      <c r="N5" s="135" t="s">
        <v>0</v>
      </c>
      <c r="O5" s="136" t="s">
        <v>16</v>
      </c>
      <c r="Q5" s="135" t="s">
        <v>0</v>
      </c>
      <c r="R5" s="136" t="s">
        <v>16</v>
      </c>
      <c r="T5" s="135" t="s">
        <v>0</v>
      </c>
      <c r="U5" s="136" t="s">
        <v>16</v>
      </c>
      <c r="W5" s="135" t="s">
        <v>0</v>
      </c>
      <c r="X5" s="136" t="s">
        <v>16</v>
      </c>
      <c r="Z5" s="135" t="s">
        <v>0</v>
      </c>
      <c r="AA5" s="136" t="s">
        <v>16</v>
      </c>
      <c r="AB5" s="90"/>
      <c r="AC5" s="135" t="s">
        <v>0</v>
      </c>
      <c r="AD5" s="136" t="s">
        <v>16</v>
      </c>
    </row>
    <row r="6" spans="1:30">
      <c r="A6" s="45"/>
      <c r="B6" s="135" t="s">
        <v>3</v>
      </c>
      <c r="C6" s="136" t="s">
        <v>310</v>
      </c>
      <c r="E6" s="135" t="s">
        <v>3</v>
      </c>
      <c r="F6" s="136" t="s">
        <v>87</v>
      </c>
      <c r="H6" s="135" t="s">
        <v>3</v>
      </c>
      <c r="I6" s="136" t="s">
        <v>79</v>
      </c>
      <c r="K6" s="135" t="s">
        <v>3</v>
      </c>
      <c r="L6" s="136" t="s">
        <v>80</v>
      </c>
      <c r="N6" s="135" t="s">
        <v>3</v>
      </c>
      <c r="O6" s="136" t="s">
        <v>86</v>
      </c>
      <c r="Q6" s="135" t="s">
        <v>3</v>
      </c>
      <c r="R6" s="136" t="s">
        <v>85</v>
      </c>
      <c r="T6" s="135" t="s">
        <v>3</v>
      </c>
      <c r="U6" s="136" t="s">
        <v>444</v>
      </c>
      <c r="W6" s="135" t="s">
        <v>3</v>
      </c>
      <c r="X6" s="136" t="s">
        <v>448</v>
      </c>
      <c r="Z6" s="135" t="s">
        <v>3</v>
      </c>
      <c r="AA6" s="136" t="s">
        <v>476</v>
      </c>
      <c r="AB6" s="90"/>
      <c r="AC6" s="135" t="s">
        <v>3</v>
      </c>
      <c r="AD6" s="136" t="s">
        <v>480</v>
      </c>
    </row>
    <row r="7" spans="1:30">
      <c r="A7" s="45"/>
      <c r="T7" s="90"/>
      <c r="U7" s="90"/>
      <c r="W7" s="90"/>
      <c r="X7" s="90"/>
      <c r="Z7" s="90"/>
      <c r="AA7" s="90"/>
      <c r="AB7" s="90"/>
      <c r="AC7" s="90"/>
      <c r="AD7" s="90"/>
    </row>
    <row r="8" spans="1:30">
      <c r="A8" s="24" t="s">
        <v>122</v>
      </c>
      <c r="B8" s="135" t="s">
        <v>296</v>
      </c>
      <c r="C8" t="s">
        <v>324</v>
      </c>
      <c r="E8" s="135" t="s">
        <v>296</v>
      </c>
      <c r="F8" t="s">
        <v>325</v>
      </c>
      <c r="H8" s="135" t="s">
        <v>296</v>
      </c>
      <c r="I8" t="s">
        <v>326</v>
      </c>
      <c r="K8" s="135" t="s">
        <v>296</v>
      </c>
      <c r="L8" t="s">
        <v>327</v>
      </c>
      <c r="N8" s="135" t="s">
        <v>296</v>
      </c>
      <c r="O8" t="s">
        <v>329</v>
      </c>
      <c r="Q8" s="135" t="s">
        <v>296</v>
      </c>
      <c r="R8" t="s">
        <v>328</v>
      </c>
      <c r="T8" s="135" t="s">
        <v>296</v>
      </c>
      <c r="U8" t="s">
        <v>450</v>
      </c>
      <c r="W8" s="135" t="s">
        <v>296</v>
      </c>
      <c r="X8" t="s">
        <v>452</v>
      </c>
      <c r="Z8" s="135" t="s">
        <v>296</v>
      </c>
      <c r="AA8" t="s">
        <v>450</v>
      </c>
      <c r="AB8" s="90"/>
      <c r="AC8" s="135"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17" t="s">
        <v>0</v>
      </c>
      <c r="C3" s="118" t="s">
        <v>16</v>
      </c>
      <c r="D3" s="52"/>
      <c r="E3" s="35"/>
      <c r="F3" s="35"/>
      <c r="G3" s="35"/>
      <c r="I3" s="117" t="s">
        <v>0</v>
      </c>
      <c r="J3" s="118" t="s">
        <v>16</v>
      </c>
      <c r="L3" s="35"/>
      <c r="M3" s="35"/>
    </row>
    <row r="4" spans="1:13">
      <c r="A4" s="45"/>
      <c r="B4" s="117" t="s">
        <v>52</v>
      </c>
      <c r="C4" s="118" t="s">
        <v>16</v>
      </c>
      <c r="E4" s="35"/>
      <c r="F4" s="35"/>
      <c r="G4" s="35"/>
      <c r="I4" s="117" t="s">
        <v>1</v>
      </c>
      <c r="J4" s="118" t="s">
        <v>16</v>
      </c>
      <c r="L4" s="35"/>
      <c r="M4" s="35"/>
    </row>
    <row r="5" spans="1:13">
      <c r="A5" s="45"/>
      <c r="B5" s="117" t="s">
        <v>1</v>
      </c>
      <c r="C5" s="118" t="s">
        <v>16</v>
      </c>
      <c r="E5" s="35"/>
      <c r="F5" s="35"/>
      <c r="G5" s="35"/>
      <c r="I5" s="117" t="s">
        <v>3</v>
      </c>
      <c r="J5" s="118" t="s">
        <v>7</v>
      </c>
      <c r="L5" s="35"/>
      <c r="M5" s="35"/>
    </row>
    <row r="6" spans="1:13">
      <c r="A6" s="45"/>
      <c r="B6" s="117" t="s">
        <v>3</v>
      </c>
      <c r="C6" s="118" t="s">
        <v>7</v>
      </c>
      <c r="E6" s="35"/>
      <c r="F6" s="35"/>
      <c r="G6" s="35"/>
      <c r="I6" s="117" t="s">
        <v>2</v>
      </c>
      <c r="J6" s="118" t="s">
        <v>16</v>
      </c>
      <c r="L6" s="35"/>
      <c r="M6" s="35"/>
    </row>
    <row r="7" spans="1:13">
      <c r="E7" s="35"/>
      <c r="F7" s="35"/>
      <c r="G7" s="35"/>
      <c r="L7" s="35"/>
      <c r="M7" s="35"/>
    </row>
    <row r="8" spans="1:13" ht="60">
      <c r="A8" s="24" t="s">
        <v>330</v>
      </c>
      <c r="B8" s="117" t="s">
        <v>17</v>
      </c>
      <c r="C8" s="32" t="s">
        <v>21</v>
      </c>
      <c r="D8" s="32" t="s">
        <v>19</v>
      </c>
      <c r="F8" s="36" t="s">
        <v>148</v>
      </c>
      <c r="G8" s="36" t="s">
        <v>149</v>
      </c>
      <c r="I8" s="117"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62" t="s">
        <v>451</v>
      </c>
      <c r="C2" s="157"/>
      <c r="D2" s="157"/>
      <c r="E2" s="157"/>
      <c r="F2" s="157"/>
      <c r="G2" s="136"/>
      <c r="H2" s="136"/>
      <c r="I2" s="136"/>
      <c r="J2" s="136"/>
      <c r="K2" s="136"/>
      <c r="L2" s="136"/>
    </row>
    <row r="3" spans="1:12">
      <c r="A3" s="45"/>
      <c r="B3" s="135" t="s">
        <v>0</v>
      </c>
      <c r="C3" s="136" t="s">
        <v>16</v>
      </c>
      <c r="D3" s="136"/>
      <c r="E3" s="135" t="s">
        <v>0</v>
      </c>
      <c r="F3" s="136" t="s">
        <v>16</v>
      </c>
      <c r="G3" s="136"/>
      <c r="H3" s="136"/>
      <c r="I3" s="136"/>
      <c r="J3" s="136"/>
      <c r="K3" s="136"/>
      <c r="L3" s="136"/>
    </row>
    <row r="4" spans="1:12">
      <c r="A4" s="45"/>
      <c r="B4" s="135" t="s">
        <v>3</v>
      </c>
      <c r="C4" s="136" t="s">
        <v>614</v>
      </c>
      <c r="D4" s="136"/>
      <c r="E4" s="135" t="s">
        <v>3</v>
      </c>
      <c r="F4" s="136" t="s">
        <v>610</v>
      </c>
      <c r="G4" s="136"/>
      <c r="H4" s="136"/>
      <c r="I4" s="136"/>
      <c r="J4" s="136"/>
      <c r="K4" s="136"/>
      <c r="L4" s="136"/>
    </row>
    <row r="5" spans="1:12">
      <c r="A5" s="45"/>
      <c r="B5" s="136"/>
      <c r="C5" s="136"/>
      <c r="D5" s="136"/>
      <c r="E5" s="136"/>
      <c r="F5" s="136"/>
      <c r="G5" s="136"/>
      <c r="H5" s="136"/>
      <c r="I5" s="136"/>
      <c r="J5" s="136"/>
      <c r="K5" s="136"/>
      <c r="L5" s="136"/>
    </row>
    <row r="6" spans="1:12">
      <c r="A6" s="24" t="s">
        <v>122</v>
      </c>
      <c r="B6" s="135" t="s">
        <v>296</v>
      </c>
      <c r="C6" t="s">
        <v>615</v>
      </c>
      <c r="D6" s="136"/>
      <c r="E6" s="135" t="s">
        <v>296</v>
      </c>
      <c r="F6" t="s">
        <v>616</v>
      </c>
      <c r="G6" s="136"/>
      <c r="H6" s="136"/>
      <c r="J6" s="136"/>
      <c r="K6" s="136"/>
    </row>
    <row r="7" spans="1:12">
      <c r="A7" s="29">
        <f>INDEX('Node Information'!J:$J,MATCH(B7,'Node Information'!$A:$A,0))</f>
        <v>6.5428240740740704E-2</v>
      </c>
      <c r="B7" s="4" t="s">
        <v>49</v>
      </c>
      <c r="C7" s="5">
        <v>10</v>
      </c>
      <c r="D7" s="136"/>
      <c r="E7" s="4" t="s">
        <v>49</v>
      </c>
      <c r="F7" s="5">
        <v>5</v>
      </c>
      <c r="G7" s="136"/>
      <c r="H7" s="4"/>
      <c r="I7" s="5"/>
      <c r="J7" s="136"/>
      <c r="K7" s="4"/>
      <c r="L7" s="5"/>
    </row>
    <row r="8" spans="1:12">
      <c r="B8" s="4" t="s">
        <v>18</v>
      </c>
      <c r="C8" s="5">
        <v>10</v>
      </c>
      <c r="D8" s="136"/>
      <c r="E8" s="4" t="s">
        <v>18</v>
      </c>
      <c r="F8" s="5">
        <v>5</v>
      </c>
      <c r="G8" s="136"/>
      <c r="H8" s="4"/>
      <c r="I8" s="5"/>
      <c r="J8" s="136"/>
      <c r="K8" s="4"/>
      <c r="L8" s="5"/>
    </row>
  </sheetData>
  <mergeCells count="1">
    <mergeCell ref="B2:F2"/>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sqref="A1:XFD1"/>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66" t="s">
        <v>458</v>
      </c>
      <c r="C2" s="163"/>
      <c r="D2" s="163"/>
      <c r="E2" s="163"/>
      <c r="F2" s="163"/>
      <c r="G2" s="163"/>
      <c r="H2" s="163"/>
      <c r="I2" s="167"/>
      <c r="K2" s="166" t="s">
        <v>459</v>
      </c>
      <c r="L2" s="163"/>
      <c r="M2" s="163"/>
      <c r="N2" s="163"/>
      <c r="O2" s="163"/>
      <c r="P2" s="163"/>
      <c r="Q2" s="163"/>
      <c r="R2" s="167"/>
    </row>
    <row r="3" spans="1:18">
      <c r="A3" s="30"/>
      <c r="B3" s="59"/>
      <c r="C3" s="58"/>
      <c r="D3" s="58"/>
      <c r="E3" s="58"/>
      <c r="F3" s="58"/>
      <c r="G3" s="58"/>
      <c r="H3" s="58"/>
      <c r="I3" s="60"/>
      <c r="K3" s="92"/>
      <c r="L3" s="91"/>
      <c r="M3" s="91"/>
      <c r="N3" s="91"/>
      <c r="O3" s="91"/>
      <c r="P3" s="91"/>
      <c r="Q3" s="91"/>
      <c r="R3" s="93"/>
    </row>
    <row r="4" spans="1:18">
      <c r="A4" s="30"/>
      <c r="B4" s="117" t="s">
        <v>0</v>
      </c>
      <c r="C4" s="118" t="s">
        <v>16</v>
      </c>
      <c r="D4" s="33"/>
      <c r="E4" s="117" t="s">
        <v>0</v>
      </c>
      <c r="F4" s="118" t="s">
        <v>16</v>
      </c>
      <c r="G4" s="33"/>
      <c r="H4" s="117" t="s">
        <v>0</v>
      </c>
      <c r="I4" s="118" t="s">
        <v>16</v>
      </c>
      <c r="K4" s="117" t="s">
        <v>0</v>
      </c>
      <c r="L4" s="118" t="s">
        <v>16</v>
      </c>
      <c r="M4" s="33"/>
      <c r="N4" s="117" t="s">
        <v>0</v>
      </c>
      <c r="O4" s="118" t="s">
        <v>16</v>
      </c>
      <c r="P4" s="33"/>
      <c r="Q4" s="117" t="s">
        <v>0</v>
      </c>
      <c r="R4" s="118" t="s">
        <v>16</v>
      </c>
    </row>
    <row r="5" spans="1:18">
      <c r="A5" s="30"/>
      <c r="B5" s="117" t="s">
        <v>1</v>
      </c>
      <c r="C5" s="118" t="s">
        <v>16</v>
      </c>
      <c r="D5" s="33"/>
      <c r="E5" s="117" t="s">
        <v>1</v>
      </c>
      <c r="F5" s="118" t="s">
        <v>16</v>
      </c>
      <c r="G5" s="33"/>
      <c r="H5" s="117" t="s">
        <v>1</v>
      </c>
      <c r="I5" s="118" t="s">
        <v>16</v>
      </c>
      <c r="K5" s="117" t="s">
        <v>1</v>
      </c>
      <c r="L5" s="118" t="s">
        <v>16</v>
      </c>
      <c r="M5" s="33"/>
      <c r="N5" s="117" t="s">
        <v>1</v>
      </c>
      <c r="O5" s="118" t="s">
        <v>16</v>
      </c>
      <c r="P5" s="33"/>
      <c r="Q5" s="117" t="s">
        <v>1</v>
      </c>
      <c r="R5" s="118" t="s">
        <v>16</v>
      </c>
    </row>
    <row r="6" spans="1:18">
      <c r="A6" s="30"/>
      <c r="B6" s="117" t="s">
        <v>3</v>
      </c>
      <c r="C6" s="118" t="s">
        <v>372</v>
      </c>
      <c r="D6" s="33"/>
      <c r="E6" s="117" t="s">
        <v>3</v>
      </c>
      <c r="F6" s="118" t="s">
        <v>369</v>
      </c>
      <c r="G6" s="33"/>
      <c r="H6" s="117" t="s">
        <v>3</v>
      </c>
      <c r="I6" s="118" t="s">
        <v>371</v>
      </c>
      <c r="K6" s="117" t="s">
        <v>3</v>
      </c>
      <c r="L6" s="118" t="s">
        <v>457</v>
      </c>
      <c r="M6" s="33"/>
      <c r="N6" s="117" t="s">
        <v>3</v>
      </c>
      <c r="O6" s="118" t="s">
        <v>453</v>
      </c>
      <c r="P6" s="33"/>
      <c r="Q6" s="117" t="s">
        <v>3</v>
      </c>
      <c r="R6" s="118" t="s">
        <v>455</v>
      </c>
    </row>
    <row r="7" spans="1:18">
      <c r="A7" s="30"/>
      <c r="B7" s="57"/>
      <c r="C7" s="57"/>
      <c r="D7" s="57"/>
      <c r="E7" s="57"/>
      <c r="F7" s="57"/>
      <c r="G7" s="57"/>
      <c r="H7" s="57"/>
      <c r="I7" s="57"/>
      <c r="K7" s="90"/>
      <c r="L7" s="90"/>
      <c r="M7" s="90"/>
      <c r="N7" s="90"/>
      <c r="O7" s="90"/>
      <c r="P7" s="90"/>
      <c r="Q7" s="90"/>
      <c r="R7" s="90"/>
    </row>
    <row r="8" spans="1:18" ht="30">
      <c r="A8" s="24" t="s">
        <v>330</v>
      </c>
      <c r="B8" s="117" t="s">
        <v>2</v>
      </c>
      <c r="C8" t="s">
        <v>295</v>
      </c>
      <c r="D8" s="57"/>
      <c r="E8" s="117" t="s">
        <v>2</v>
      </c>
      <c r="F8" s="32" t="s">
        <v>373</v>
      </c>
      <c r="G8" s="57"/>
      <c r="H8" s="117" t="s">
        <v>2</v>
      </c>
      <c r="I8" s="32" t="s">
        <v>374</v>
      </c>
      <c r="K8" s="117" t="s">
        <v>2</v>
      </c>
      <c r="L8" t="s">
        <v>485</v>
      </c>
      <c r="M8" s="90"/>
      <c r="N8" s="117" t="s">
        <v>2</v>
      </c>
      <c r="O8" s="32" t="s">
        <v>486</v>
      </c>
      <c r="P8" s="90"/>
      <c r="Q8" s="117" t="s">
        <v>2</v>
      </c>
      <c r="R8" s="32" t="s">
        <v>487</v>
      </c>
    </row>
    <row r="9" spans="1:18">
      <c r="A9" s="23" t="str">
        <f>INDEX('DDL Tables'!$B:$B,MATCH(B9,'DDL Tables'!$C:$C,0))</f>
        <v>TestKS</v>
      </c>
      <c r="B9" s="4" t="s">
        <v>50</v>
      </c>
      <c r="C9" s="118">
        <v>4</v>
      </c>
      <c r="D9" s="6"/>
      <c r="E9" s="4" t="s">
        <v>50</v>
      </c>
      <c r="F9" s="5">
        <v>2100</v>
      </c>
      <c r="G9" s="6"/>
      <c r="H9" s="4" t="s">
        <v>50</v>
      </c>
      <c r="I9" s="5">
        <v>1200</v>
      </c>
      <c r="K9" s="4" t="s">
        <v>50</v>
      </c>
      <c r="L9" s="118">
        <v>3</v>
      </c>
      <c r="M9" s="6"/>
      <c r="N9" s="4" t="s">
        <v>49</v>
      </c>
      <c r="O9" s="5">
        <v>12</v>
      </c>
      <c r="P9" s="6"/>
      <c r="Q9" s="4" t="s">
        <v>49</v>
      </c>
      <c r="R9" s="5">
        <v>4</v>
      </c>
    </row>
    <row r="10" spans="1:18">
      <c r="A10" s="57"/>
      <c r="B10" s="4" t="s">
        <v>18</v>
      </c>
      <c r="C10" s="118">
        <v>4</v>
      </c>
      <c r="D10" s="6"/>
      <c r="E10" s="4" t="s">
        <v>18</v>
      </c>
      <c r="F10" s="5">
        <v>2100</v>
      </c>
      <c r="G10" s="6"/>
      <c r="H10" s="4" t="s">
        <v>18</v>
      </c>
      <c r="I10" s="5">
        <v>1200</v>
      </c>
      <c r="K10" s="4" t="s">
        <v>18</v>
      </c>
      <c r="L10" s="118">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70" t="s">
        <v>409</v>
      </c>
      <c r="D1" s="157"/>
      <c r="E1" s="157"/>
      <c r="F1" s="157"/>
      <c r="G1" s="157"/>
      <c r="H1" s="157"/>
      <c r="I1" s="157"/>
      <c r="J1" s="157"/>
      <c r="K1" s="157"/>
      <c r="L1" s="157"/>
      <c r="M1" s="157"/>
      <c r="N1" s="157"/>
      <c r="O1" s="157"/>
      <c r="P1" s="157"/>
      <c r="Q1" s="157"/>
      <c r="R1" s="157"/>
      <c r="S1" s="157"/>
      <c r="T1" s="157"/>
      <c r="U1" s="157"/>
      <c r="V1" s="30"/>
      <c r="W1" s="170" t="s">
        <v>410</v>
      </c>
      <c r="X1" s="157"/>
      <c r="Y1" s="157"/>
      <c r="Z1" s="157"/>
      <c r="AA1" s="157"/>
      <c r="AB1" s="157"/>
      <c r="AC1" s="157"/>
      <c r="AD1" s="157"/>
      <c r="AE1" s="157"/>
      <c r="AF1" s="157"/>
      <c r="AG1" s="157"/>
      <c r="AH1" s="157"/>
      <c r="AI1" s="157"/>
      <c r="AJ1" s="157"/>
      <c r="AK1" s="157"/>
      <c r="AL1" s="157"/>
      <c r="AM1" s="157"/>
      <c r="AN1" s="157"/>
      <c r="AO1" s="157"/>
    </row>
    <row r="2" spans="1:41" s="57" customFormat="1">
      <c r="A2" s="30"/>
      <c r="B2" s="68"/>
      <c r="C2" s="170"/>
      <c r="D2" s="157"/>
      <c r="E2" s="157"/>
      <c r="F2" s="157"/>
      <c r="G2" s="157"/>
      <c r="H2" s="157"/>
      <c r="I2" s="157"/>
      <c r="J2" s="157"/>
      <c r="K2" s="157"/>
      <c r="L2" s="157"/>
      <c r="M2" s="157"/>
      <c r="N2" s="157"/>
      <c r="O2" s="157"/>
      <c r="P2" s="157"/>
      <c r="Q2" s="157"/>
      <c r="R2" s="157"/>
      <c r="S2" s="157"/>
      <c r="T2" s="157"/>
      <c r="U2" s="157"/>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0" t="s">
        <v>409</v>
      </c>
      <c r="D1" s="157"/>
      <c r="E1" s="157"/>
      <c r="F1" s="157"/>
      <c r="G1" s="157"/>
      <c r="H1" s="157"/>
      <c r="I1" s="157"/>
      <c r="J1" s="157"/>
      <c r="K1" s="157"/>
      <c r="L1" s="157"/>
      <c r="M1" s="157"/>
      <c r="N1" s="157"/>
      <c r="O1" s="157"/>
      <c r="P1" s="157"/>
      <c r="Q1" s="157"/>
      <c r="R1" s="157"/>
      <c r="S1" s="157"/>
      <c r="T1" s="157"/>
      <c r="U1" s="157"/>
      <c r="W1" s="170" t="s">
        <v>410</v>
      </c>
      <c r="X1" s="157"/>
      <c r="Y1" s="157"/>
      <c r="Z1" s="157"/>
      <c r="AA1" s="157"/>
      <c r="AB1" s="157"/>
      <c r="AC1" s="157"/>
      <c r="AD1" s="157"/>
      <c r="AE1" s="157"/>
      <c r="AF1" s="157"/>
      <c r="AG1" s="157"/>
      <c r="AH1" s="157"/>
      <c r="AI1" s="157"/>
      <c r="AJ1" s="157"/>
      <c r="AK1" s="157"/>
      <c r="AL1" s="157"/>
      <c r="AM1" s="157"/>
      <c r="AN1" s="157"/>
      <c r="AO1" s="157"/>
    </row>
    <row r="2" spans="1:41">
      <c r="A2" s="30"/>
      <c r="B2" s="68"/>
      <c r="C2" s="170"/>
      <c r="D2" s="157"/>
      <c r="E2" s="157"/>
      <c r="F2" s="157"/>
      <c r="G2" s="157"/>
      <c r="H2" s="157"/>
      <c r="I2" s="157"/>
      <c r="J2" s="157"/>
      <c r="K2" s="157"/>
      <c r="L2" s="157"/>
      <c r="M2" s="157"/>
      <c r="N2" s="157"/>
      <c r="O2" s="157"/>
      <c r="P2" s="157"/>
      <c r="Q2" s="157"/>
      <c r="R2" s="157"/>
      <c r="S2" s="157"/>
      <c r="T2" s="157"/>
      <c r="U2" s="15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70" t="s">
        <v>409</v>
      </c>
      <c r="D1" s="157"/>
      <c r="E1" s="157"/>
      <c r="F1" s="157"/>
      <c r="G1" s="157"/>
      <c r="H1" s="157"/>
      <c r="I1" s="157"/>
      <c r="J1" s="157"/>
      <c r="K1" s="157"/>
      <c r="L1" s="157"/>
      <c r="M1" s="157"/>
      <c r="N1" s="157"/>
      <c r="O1" s="157"/>
      <c r="P1" s="157"/>
      <c r="Q1" s="157"/>
      <c r="R1" s="157"/>
      <c r="S1" s="157"/>
      <c r="T1" s="157"/>
      <c r="U1" s="157"/>
      <c r="W1" s="170" t="s">
        <v>410</v>
      </c>
      <c r="X1" s="157"/>
      <c r="Y1" s="157"/>
      <c r="Z1" s="157"/>
      <c r="AA1" s="157"/>
      <c r="AB1" s="157"/>
      <c r="AC1" s="157"/>
      <c r="AD1" s="157"/>
      <c r="AE1" s="157"/>
      <c r="AF1" s="157"/>
      <c r="AG1" s="157"/>
      <c r="AH1" s="157"/>
      <c r="AI1" s="157"/>
      <c r="AJ1" s="157"/>
      <c r="AK1" s="157"/>
      <c r="AL1" s="157"/>
      <c r="AM1" s="157"/>
      <c r="AN1" s="157"/>
      <c r="AO1" s="157"/>
    </row>
    <row r="2" spans="1:41">
      <c r="A2" s="30"/>
      <c r="B2" s="68"/>
      <c r="C2" s="170"/>
      <c r="D2" s="157"/>
      <c r="E2" s="157"/>
      <c r="F2" s="157"/>
      <c r="G2" s="157"/>
      <c r="H2" s="157"/>
      <c r="I2" s="157"/>
      <c r="J2" s="157"/>
      <c r="K2" s="157"/>
      <c r="L2" s="157"/>
      <c r="M2" s="157"/>
      <c r="N2" s="157"/>
      <c r="O2" s="157"/>
      <c r="P2" s="157"/>
      <c r="Q2" s="157"/>
      <c r="R2" s="157"/>
      <c r="S2" s="157"/>
      <c r="T2" s="157"/>
      <c r="U2" s="15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70" t="s">
        <v>409</v>
      </c>
      <c r="D1" s="157"/>
      <c r="E1" s="157"/>
      <c r="F1" s="157"/>
      <c r="G1" s="157"/>
      <c r="H1" s="157"/>
      <c r="I1" s="157"/>
      <c r="J1" s="157"/>
      <c r="K1" s="157"/>
      <c r="L1" s="157"/>
      <c r="M1" s="157"/>
      <c r="N1" s="157"/>
      <c r="O1" s="157"/>
      <c r="P1" s="157"/>
      <c r="Q1" s="157"/>
      <c r="R1" s="157"/>
      <c r="S1" s="157"/>
      <c r="T1" s="157"/>
      <c r="U1" s="157"/>
      <c r="W1" s="170" t="s">
        <v>410</v>
      </c>
      <c r="X1" s="157"/>
      <c r="Y1" s="157"/>
      <c r="Z1" s="157"/>
      <c r="AA1" s="157"/>
      <c r="AB1" s="157"/>
      <c r="AC1" s="157"/>
      <c r="AD1" s="157"/>
      <c r="AE1" s="157"/>
      <c r="AF1" s="157"/>
      <c r="AG1" s="157"/>
      <c r="AH1" s="157"/>
      <c r="AI1" s="157"/>
      <c r="AJ1" s="157"/>
      <c r="AK1" s="157"/>
      <c r="AL1" s="157"/>
      <c r="AM1" s="157"/>
      <c r="AN1" s="157"/>
      <c r="AO1" s="157"/>
    </row>
    <row r="2" spans="1:41">
      <c r="A2" s="30"/>
      <c r="B2" s="68"/>
      <c r="C2" s="170"/>
      <c r="D2" s="157"/>
      <c r="E2" s="157"/>
      <c r="F2" s="157"/>
      <c r="G2" s="157"/>
      <c r="H2" s="157"/>
      <c r="I2" s="157"/>
      <c r="J2" s="157"/>
      <c r="K2" s="157"/>
      <c r="L2" s="157"/>
      <c r="M2" s="157"/>
      <c r="N2" s="157"/>
      <c r="O2" s="157"/>
      <c r="P2" s="157"/>
      <c r="Q2" s="157"/>
      <c r="R2" s="157"/>
      <c r="S2" s="157"/>
      <c r="T2" s="157"/>
      <c r="U2" s="15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0" t="s">
        <v>409</v>
      </c>
      <c r="D1" s="157"/>
      <c r="E1" s="157"/>
      <c r="F1" s="157"/>
      <c r="G1" s="157"/>
      <c r="H1" s="157"/>
      <c r="I1" s="157"/>
      <c r="J1" s="157"/>
      <c r="K1" s="157"/>
      <c r="L1" s="157"/>
      <c r="M1" s="157"/>
      <c r="N1" s="157"/>
      <c r="O1" s="157"/>
      <c r="P1" s="157"/>
      <c r="Q1" s="157"/>
      <c r="R1" s="157"/>
      <c r="S1" s="157"/>
      <c r="T1" s="157"/>
      <c r="U1" s="157"/>
      <c r="W1" s="170" t="s">
        <v>410</v>
      </c>
      <c r="X1" s="157"/>
      <c r="Y1" s="157"/>
      <c r="Z1" s="157"/>
      <c r="AA1" s="157"/>
      <c r="AB1" s="157"/>
      <c r="AC1" s="157"/>
      <c r="AD1" s="157"/>
      <c r="AE1" s="157"/>
      <c r="AF1" s="157"/>
      <c r="AG1" s="157"/>
      <c r="AH1" s="157"/>
      <c r="AI1" s="157"/>
      <c r="AJ1" s="157"/>
      <c r="AK1" s="157"/>
      <c r="AL1" s="157"/>
      <c r="AM1" s="157"/>
      <c r="AN1" s="157"/>
      <c r="AO1" s="157"/>
    </row>
    <row r="2" spans="1:41">
      <c r="A2" s="30"/>
      <c r="B2" s="68"/>
      <c r="C2" s="170"/>
      <c r="D2" s="157"/>
      <c r="E2" s="157"/>
      <c r="F2" s="157"/>
      <c r="G2" s="157"/>
      <c r="H2" s="157"/>
      <c r="I2" s="157"/>
      <c r="J2" s="157"/>
      <c r="K2" s="157"/>
      <c r="L2" s="157"/>
      <c r="M2" s="157"/>
      <c r="N2" s="157"/>
      <c r="O2" s="157"/>
      <c r="P2" s="157"/>
      <c r="Q2" s="157"/>
      <c r="R2" s="157"/>
      <c r="S2" s="157"/>
      <c r="T2" s="157"/>
      <c r="U2" s="15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62" t="s">
        <v>514</v>
      </c>
      <c r="B1" s="157"/>
      <c r="C1" s="157"/>
      <c r="D1" s="157"/>
      <c r="E1" s="157"/>
      <c r="F1" s="157"/>
      <c r="G1" s="157"/>
      <c r="H1" s="157"/>
      <c r="I1" s="157"/>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71" t="s">
        <v>426</v>
      </c>
      <c r="B1" s="172" t="s">
        <v>422</v>
      </c>
      <c r="C1" s="173" t="s">
        <v>422</v>
      </c>
      <c r="D1" s="173" t="s">
        <v>422</v>
      </c>
      <c r="E1" s="173" t="s">
        <v>422</v>
      </c>
      <c r="F1" s="173" t="s">
        <v>422</v>
      </c>
      <c r="G1" s="173" t="s">
        <v>422</v>
      </c>
      <c r="H1" s="173" t="s">
        <v>422</v>
      </c>
      <c r="I1" s="174"/>
      <c r="J1" s="175"/>
      <c r="K1" s="173"/>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0"/>
  <sheetViews>
    <sheetView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s>
  <sheetData>
    <row r="1" spans="1:32" s="16" customFormat="1">
      <c r="A1" s="122"/>
      <c r="B1" s="122"/>
      <c r="C1" s="122"/>
      <c r="D1" s="122"/>
      <c r="E1" s="122"/>
      <c r="F1" s="122"/>
      <c r="G1" s="122"/>
      <c r="H1" s="122"/>
      <c r="I1" s="147" t="s">
        <v>89</v>
      </c>
      <c r="J1" s="176" t="s">
        <v>89</v>
      </c>
      <c r="K1" s="148" t="s">
        <v>89</v>
      </c>
      <c r="L1" s="148" t="s">
        <v>89</v>
      </c>
      <c r="M1" s="177" t="s">
        <v>89</v>
      </c>
      <c r="N1" s="148" t="s">
        <v>89</v>
      </c>
      <c r="O1" s="177" t="s">
        <v>89</v>
      </c>
      <c r="P1" s="177" t="s">
        <v>89</v>
      </c>
      <c r="Q1" s="177" t="s">
        <v>89</v>
      </c>
      <c r="R1" s="177" t="s">
        <v>89</v>
      </c>
      <c r="S1" s="148" t="s">
        <v>89</v>
      </c>
      <c r="T1" s="148" t="s">
        <v>89</v>
      </c>
      <c r="U1" s="151" t="s">
        <v>89</v>
      </c>
      <c r="V1" s="178" t="s">
        <v>263</v>
      </c>
      <c r="W1" s="179" t="s">
        <v>263</v>
      </c>
      <c r="X1" s="179" t="s">
        <v>263</v>
      </c>
      <c r="Y1" s="180" t="s">
        <v>263</v>
      </c>
      <c r="Z1" s="178" t="s">
        <v>574</v>
      </c>
      <c r="AA1" s="179" t="s">
        <v>574</v>
      </c>
      <c r="AB1" s="177" t="s">
        <v>574</v>
      </c>
      <c r="AC1" s="177" t="s">
        <v>574</v>
      </c>
      <c r="AD1" s="181" t="s">
        <v>574</v>
      </c>
      <c r="AE1" s="123"/>
    </row>
    <row r="2" spans="1:32" s="16" customFormat="1">
      <c r="A2" s="122" t="s">
        <v>575</v>
      </c>
      <c r="B2" s="122" t="s">
        <v>576</v>
      </c>
      <c r="C2" s="122" t="s">
        <v>0</v>
      </c>
      <c r="D2" s="122" t="s">
        <v>88</v>
      </c>
      <c r="E2" s="122" t="s">
        <v>425</v>
      </c>
      <c r="F2" s="122" t="s">
        <v>1</v>
      </c>
      <c r="G2" s="122" t="s">
        <v>2</v>
      </c>
      <c r="H2" s="122" t="s">
        <v>577</v>
      </c>
      <c r="I2" s="42" t="s">
        <v>578</v>
      </c>
      <c r="J2" s="124" t="s">
        <v>579</v>
      </c>
      <c r="K2" s="123" t="s">
        <v>580</v>
      </c>
      <c r="L2" s="123" t="s">
        <v>581</v>
      </c>
      <c r="M2" s="123" t="s">
        <v>582</v>
      </c>
      <c r="N2" s="123" t="s">
        <v>583</v>
      </c>
      <c r="O2" s="123" t="s">
        <v>584</v>
      </c>
      <c r="P2" s="123" t="s">
        <v>585</v>
      </c>
      <c r="Q2" s="123" t="s">
        <v>586</v>
      </c>
      <c r="R2" s="123" t="s">
        <v>587</v>
      </c>
      <c r="S2" s="123" t="s">
        <v>617</v>
      </c>
      <c r="T2" s="123" t="s">
        <v>618</v>
      </c>
      <c r="U2" s="17" t="s">
        <v>588</v>
      </c>
      <c r="V2" s="125" t="s">
        <v>589</v>
      </c>
      <c r="W2" s="126" t="s">
        <v>590</v>
      </c>
      <c r="X2" s="126" t="s">
        <v>591</v>
      </c>
      <c r="Y2" s="127" t="s">
        <v>592</v>
      </c>
      <c r="Z2" s="125" t="s">
        <v>360</v>
      </c>
      <c r="AA2" s="126" t="s">
        <v>593</v>
      </c>
      <c r="AB2" s="123" t="s">
        <v>594</v>
      </c>
      <c r="AC2" s="123" t="s">
        <v>595</v>
      </c>
      <c r="AD2" s="182" t="s">
        <v>596</v>
      </c>
      <c r="AE2" s="123" t="s">
        <v>597</v>
      </c>
      <c r="AF2" s="16" t="s">
        <v>530</v>
      </c>
    </row>
    <row r="3" spans="1:32" s="10" customFormat="1">
      <c r="A3" s="128">
        <v>42660.659882673601</v>
      </c>
      <c r="B3" s="10" t="s">
        <v>619</v>
      </c>
      <c r="C3" s="10" t="s">
        <v>51</v>
      </c>
      <c r="D3" s="10" t="s">
        <v>620</v>
      </c>
      <c r="E3" s="10" t="s">
        <v>598</v>
      </c>
      <c r="F3" s="21" t="s">
        <v>48</v>
      </c>
      <c r="H3" s="128">
        <v>42660.660379594898</v>
      </c>
      <c r="I3" s="10" t="s">
        <v>619</v>
      </c>
      <c r="J3" s="129">
        <v>4.9692129629629598E-4</v>
      </c>
      <c r="K3" s="10" t="s">
        <v>621</v>
      </c>
      <c r="L3" s="10" t="s">
        <v>622</v>
      </c>
      <c r="M3" s="130">
        <v>0</v>
      </c>
      <c r="O3" s="130">
        <v>0</v>
      </c>
      <c r="P3" s="130">
        <v>0</v>
      </c>
      <c r="Q3" s="130">
        <v>0</v>
      </c>
      <c r="R3" s="130">
        <v>0</v>
      </c>
      <c r="S3" s="10" t="s">
        <v>623</v>
      </c>
      <c r="T3" s="10">
        <v>1</v>
      </c>
      <c r="U3" s="130">
        <v>1</v>
      </c>
      <c r="V3" s="130"/>
      <c r="W3" s="131"/>
      <c r="X3" s="131"/>
      <c r="Y3" s="131"/>
      <c r="Z3" s="130"/>
      <c r="AA3" s="131"/>
      <c r="AB3" s="130"/>
      <c r="AC3" s="130"/>
      <c r="AD3" s="183"/>
      <c r="AE3" s="130"/>
      <c r="AF3" s="10">
        <v>3464</v>
      </c>
    </row>
    <row r="4" spans="1:32" s="10" customFormat="1">
      <c r="A4" s="128">
        <v>42660.6603799074</v>
      </c>
      <c r="B4" s="10" t="s">
        <v>624</v>
      </c>
      <c r="C4" s="10" t="s">
        <v>51</v>
      </c>
      <c r="D4" s="10" t="s">
        <v>620</v>
      </c>
      <c r="E4" s="10" t="s">
        <v>598</v>
      </c>
      <c r="F4" s="21" t="s">
        <v>48</v>
      </c>
      <c r="H4" s="128">
        <v>42660.660550254601</v>
      </c>
      <c r="I4" s="10" t="s">
        <v>624</v>
      </c>
      <c r="J4" s="129">
        <v>1.7034722222222199E-4</v>
      </c>
      <c r="K4" s="10" t="s">
        <v>621</v>
      </c>
      <c r="L4" s="10" t="s">
        <v>622</v>
      </c>
      <c r="M4" s="130">
        <v>0</v>
      </c>
      <c r="O4" s="130">
        <v>0</v>
      </c>
      <c r="P4" s="130">
        <v>3</v>
      </c>
      <c r="Q4" s="130">
        <v>0</v>
      </c>
      <c r="R4" s="130">
        <v>0</v>
      </c>
      <c r="S4" s="10" t="s">
        <v>623</v>
      </c>
      <c r="T4" s="10">
        <v>0</v>
      </c>
      <c r="U4" s="130">
        <v>0</v>
      </c>
      <c r="V4" s="130"/>
      <c r="W4" s="131"/>
      <c r="X4" s="131"/>
      <c r="Y4" s="131"/>
      <c r="Z4" s="130"/>
      <c r="AA4" s="131"/>
      <c r="AB4" s="130"/>
      <c r="AC4" s="130"/>
      <c r="AD4" s="183"/>
      <c r="AE4" s="130"/>
      <c r="AF4" s="10">
        <v>3464</v>
      </c>
    </row>
    <row r="5" spans="1:32" s="10" customFormat="1">
      <c r="A5" s="128">
        <v>42660.6603917014</v>
      </c>
      <c r="B5" s="10" t="s">
        <v>624</v>
      </c>
      <c r="C5" s="10" t="s">
        <v>51</v>
      </c>
      <c r="D5" s="10" t="s">
        <v>620</v>
      </c>
      <c r="E5" s="10" t="s">
        <v>574</v>
      </c>
      <c r="F5" s="21" t="s">
        <v>48</v>
      </c>
      <c r="G5" s="21" t="s">
        <v>50</v>
      </c>
      <c r="H5" s="128">
        <v>42660.660997245403</v>
      </c>
      <c r="I5" s="10" t="s">
        <v>624</v>
      </c>
      <c r="J5" s="129"/>
      <c r="M5" s="130"/>
      <c r="O5" s="130"/>
      <c r="P5" s="130"/>
      <c r="Q5" s="130"/>
      <c r="R5" s="130"/>
      <c r="V5" s="130"/>
      <c r="W5" s="131"/>
      <c r="X5" s="131"/>
      <c r="Y5" s="131"/>
      <c r="Z5" s="130">
        <v>2</v>
      </c>
      <c r="AA5" s="131">
        <v>108.86038303375244</v>
      </c>
      <c r="AB5" s="130">
        <v>104</v>
      </c>
      <c r="AC5" s="130">
        <v>52319</v>
      </c>
      <c r="AD5" s="183">
        <v>1.983803</v>
      </c>
      <c r="AE5" s="130"/>
      <c r="AF5" s="10">
        <v>15</v>
      </c>
    </row>
    <row r="6" spans="1:32" s="10" customFormat="1">
      <c r="A6" s="128">
        <v>42660.660420231499</v>
      </c>
      <c r="B6" s="10" t="s">
        <v>624</v>
      </c>
      <c r="C6" s="10" t="s">
        <v>51</v>
      </c>
      <c r="D6" s="10" t="s">
        <v>620</v>
      </c>
      <c r="E6" s="10" t="s">
        <v>574</v>
      </c>
      <c r="F6" s="21" t="s">
        <v>48</v>
      </c>
      <c r="G6" s="21" t="s">
        <v>50</v>
      </c>
      <c r="H6" s="128">
        <v>42660.661220648202</v>
      </c>
      <c r="I6" s="10" t="s">
        <v>624</v>
      </c>
      <c r="J6" s="129"/>
      <c r="M6" s="130"/>
      <c r="O6" s="130"/>
      <c r="P6" s="130"/>
      <c r="Q6" s="130"/>
      <c r="R6" s="130"/>
      <c r="V6" s="130"/>
      <c r="W6" s="131"/>
      <c r="X6" s="131"/>
      <c r="Y6" s="131"/>
      <c r="Z6" s="130">
        <v>2</v>
      </c>
      <c r="AA6" s="131">
        <v>133.73400020599365</v>
      </c>
      <c r="AB6" s="130">
        <v>129</v>
      </c>
      <c r="AC6" s="130">
        <v>69156</v>
      </c>
      <c r="AD6" s="183">
        <v>1.8655379999999999</v>
      </c>
      <c r="AE6" s="130"/>
      <c r="AF6" s="10">
        <v>15</v>
      </c>
    </row>
    <row r="7" spans="1:32" s="10" customFormat="1">
      <c r="A7" s="128">
        <v>42660.660486238397</v>
      </c>
      <c r="B7" s="10" t="s">
        <v>624</v>
      </c>
      <c r="C7" s="10" t="s">
        <v>51</v>
      </c>
      <c r="D7" s="10" t="s">
        <v>620</v>
      </c>
      <c r="E7" s="10" t="s">
        <v>574</v>
      </c>
      <c r="F7" s="21" t="s">
        <v>48</v>
      </c>
      <c r="G7" s="21" t="s">
        <v>50</v>
      </c>
      <c r="H7" s="128">
        <v>42660.661230150501</v>
      </c>
      <c r="I7" s="10" t="s">
        <v>624</v>
      </c>
      <c r="J7" s="129"/>
      <c r="M7" s="130"/>
      <c r="O7" s="130"/>
      <c r="P7" s="130"/>
      <c r="Q7" s="130"/>
      <c r="R7" s="130"/>
      <c r="V7" s="130"/>
      <c r="W7" s="131"/>
      <c r="X7" s="131"/>
      <c r="Y7" s="131"/>
      <c r="Z7" s="130">
        <v>2</v>
      </c>
      <c r="AA7" s="131">
        <v>130.4456787109375</v>
      </c>
      <c r="AB7" s="130">
        <v>122</v>
      </c>
      <c r="AC7" s="130">
        <v>64274</v>
      </c>
      <c r="AD7" s="183">
        <v>1.903929</v>
      </c>
      <c r="AE7" s="130"/>
      <c r="AF7" s="10">
        <v>15</v>
      </c>
    </row>
    <row r="8" spans="1:32">
      <c r="A8" s="128"/>
      <c r="B8" s="10"/>
      <c r="C8" s="10"/>
      <c r="D8" s="22"/>
      <c r="E8" s="10"/>
      <c r="F8" s="22"/>
      <c r="G8" s="10"/>
      <c r="H8" s="128"/>
      <c r="I8" s="10"/>
      <c r="J8" s="129"/>
      <c r="K8" s="10"/>
      <c r="L8" s="10"/>
      <c r="M8" s="130"/>
      <c r="N8" s="10"/>
      <c r="O8" s="130"/>
      <c r="P8" s="130"/>
      <c r="Q8" s="130"/>
      <c r="R8" s="130"/>
      <c r="S8" s="130"/>
      <c r="T8" s="130"/>
      <c r="U8" s="131"/>
      <c r="V8" s="131"/>
      <c r="W8" s="131"/>
      <c r="X8" s="130"/>
      <c r="Y8" s="131"/>
      <c r="Z8" s="131"/>
      <c r="AA8" s="130"/>
      <c r="AB8" s="131"/>
      <c r="AC8" s="130"/>
      <c r="AD8" s="10"/>
    </row>
    <row r="9" spans="1:32">
      <c r="A9" s="128"/>
      <c r="B9" s="10"/>
      <c r="C9" s="10"/>
      <c r="D9" s="22"/>
      <c r="E9" s="10"/>
      <c r="F9" s="22"/>
      <c r="G9" s="10"/>
      <c r="H9" s="128"/>
      <c r="I9" s="10"/>
      <c r="J9" s="129"/>
      <c r="K9" s="10"/>
      <c r="L9" s="10"/>
      <c r="M9" s="130"/>
      <c r="N9" s="10"/>
      <c r="O9" s="130"/>
      <c r="P9" s="130"/>
      <c r="Q9" s="130"/>
      <c r="R9" s="130"/>
      <c r="S9" s="130"/>
      <c r="T9" s="130"/>
      <c r="U9" s="131"/>
      <c r="V9" s="131"/>
      <c r="W9" s="131"/>
      <c r="X9" s="130"/>
      <c r="Y9" s="131"/>
      <c r="Z9" s="131"/>
      <c r="AA9" s="130"/>
      <c r="AB9" s="131"/>
      <c r="AC9" s="130"/>
      <c r="AD9" s="10"/>
    </row>
    <row r="10" spans="1:32">
      <c r="A10" s="128"/>
      <c r="B10" s="10"/>
      <c r="C10" s="10"/>
      <c r="D10" s="22"/>
      <c r="E10" s="10"/>
      <c r="F10" s="22"/>
      <c r="G10" s="10"/>
      <c r="H10" s="128"/>
      <c r="I10" s="10"/>
      <c r="J10" s="129"/>
      <c r="K10" s="10"/>
      <c r="L10" s="10"/>
      <c r="M10" s="130"/>
      <c r="N10" s="10"/>
      <c r="O10" s="130"/>
      <c r="P10" s="130"/>
      <c r="Q10" s="130"/>
      <c r="R10" s="130"/>
      <c r="S10" s="130"/>
      <c r="T10" s="130"/>
      <c r="U10" s="131"/>
      <c r="V10" s="131"/>
      <c r="W10" s="131"/>
      <c r="X10" s="130"/>
      <c r="Y10" s="131"/>
      <c r="Z10" s="131"/>
      <c r="AA10" s="130"/>
      <c r="AB10" s="131"/>
      <c r="AC10" s="130"/>
      <c r="AD10" s="10"/>
    </row>
  </sheetData>
  <mergeCells count="3">
    <mergeCell ref="I1:U1"/>
    <mergeCell ref="V1:Y1"/>
    <mergeCell ref="Z1:AD1"/>
  </mergeCells>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8" t="s">
        <v>51</v>
      </c>
      <c r="C80" s="121" t="s">
        <v>49</v>
      </c>
      <c r="D80" s="121" t="s">
        <v>48</v>
      </c>
      <c r="E80" s="10"/>
      <c r="F80" s="10" t="s">
        <v>563</v>
      </c>
      <c r="G80" s="10">
        <v>7901303</v>
      </c>
      <c r="H80" s="10" t="s">
        <v>35</v>
      </c>
      <c r="I80" s="27"/>
      <c r="J80" s="10"/>
      <c r="K80" s="10">
        <v>7901303</v>
      </c>
      <c r="L80" s="10" t="s">
        <v>572</v>
      </c>
    </row>
    <row r="81" spans="1:12">
      <c r="A81" s="10" t="s">
        <v>155</v>
      </c>
      <c r="B81" s="118" t="s">
        <v>51</v>
      </c>
      <c r="C81" s="121" t="s">
        <v>49</v>
      </c>
      <c r="D81" s="121" t="s">
        <v>48</v>
      </c>
      <c r="E81" s="10"/>
      <c r="F81" s="10" t="s">
        <v>564</v>
      </c>
      <c r="G81" s="10">
        <v>9174</v>
      </c>
      <c r="H81" s="10" t="s">
        <v>35</v>
      </c>
      <c r="I81" s="27"/>
      <c r="J81" s="10"/>
      <c r="K81" s="10">
        <v>9174</v>
      </c>
      <c r="L81" s="10" t="s">
        <v>572</v>
      </c>
    </row>
    <row r="82" spans="1:12">
      <c r="A82" s="10" t="s">
        <v>155</v>
      </c>
      <c r="B82" s="118" t="s">
        <v>51</v>
      </c>
      <c r="C82" s="121" t="s">
        <v>49</v>
      </c>
      <c r="D82" s="121" t="s">
        <v>48</v>
      </c>
      <c r="E82" s="10"/>
      <c r="F82" s="10" t="s">
        <v>565</v>
      </c>
      <c r="G82" s="10">
        <v>112953</v>
      </c>
      <c r="H82" s="10" t="s">
        <v>35</v>
      </c>
      <c r="I82" s="27"/>
      <c r="J82" s="10"/>
      <c r="K82" s="10">
        <v>112953</v>
      </c>
      <c r="L82" s="10" t="s">
        <v>572</v>
      </c>
    </row>
    <row r="83" spans="1:12">
      <c r="A83" s="10" t="s">
        <v>155</v>
      </c>
      <c r="B83" s="118" t="s">
        <v>51</v>
      </c>
      <c r="C83" s="121" t="s">
        <v>49</v>
      </c>
      <c r="D83" s="121" t="s">
        <v>48</v>
      </c>
      <c r="E83" s="10"/>
      <c r="F83" s="10" t="s">
        <v>566</v>
      </c>
      <c r="G83" s="10">
        <v>246</v>
      </c>
      <c r="H83" s="10"/>
      <c r="I83" s="27"/>
      <c r="J83" s="10"/>
      <c r="K83" s="10">
        <v>246</v>
      </c>
      <c r="L83" s="10" t="s">
        <v>572</v>
      </c>
    </row>
    <row r="84" spans="1:12">
      <c r="B84" s="10"/>
      <c r="C84" s="121" t="s">
        <v>49</v>
      </c>
      <c r="D84" s="121" t="s">
        <v>48</v>
      </c>
      <c r="E84" s="10"/>
      <c r="F84" s="10" t="s">
        <v>573</v>
      </c>
      <c r="G84" s="10">
        <v>1</v>
      </c>
      <c r="H84" s="10"/>
      <c r="I84" s="27"/>
      <c r="J84" s="10"/>
      <c r="K84" s="10">
        <v>1</v>
      </c>
      <c r="L84" s="10" t="s">
        <v>572</v>
      </c>
    </row>
    <row r="85" spans="1:12">
      <c r="B85" s="10"/>
      <c r="C85" s="121" t="s">
        <v>49</v>
      </c>
      <c r="D85" s="121" t="s">
        <v>48</v>
      </c>
      <c r="E85" s="121" t="s">
        <v>50</v>
      </c>
      <c r="F85" s="10" t="s">
        <v>567</v>
      </c>
      <c r="G85" s="10">
        <v>5819747</v>
      </c>
      <c r="H85" s="10" t="s">
        <v>35</v>
      </c>
      <c r="I85" s="27"/>
      <c r="J85" s="10" t="b">
        <v>1</v>
      </c>
      <c r="K85" s="10">
        <v>5819747</v>
      </c>
      <c r="L85" s="10">
        <v>13</v>
      </c>
    </row>
    <row r="86" spans="1:12">
      <c r="B86" s="10"/>
      <c r="C86" s="121" t="s">
        <v>49</v>
      </c>
      <c r="D86" s="121" t="s">
        <v>48</v>
      </c>
      <c r="E86" s="121" t="s">
        <v>50</v>
      </c>
      <c r="F86" s="10" t="s">
        <v>568</v>
      </c>
      <c r="G86" s="10">
        <v>23</v>
      </c>
      <c r="H86" s="10" t="s">
        <v>35</v>
      </c>
      <c r="I86" s="27"/>
      <c r="J86" s="10" t="b">
        <v>1</v>
      </c>
      <c r="K86" s="10">
        <v>23</v>
      </c>
      <c r="L86" s="10">
        <v>13</v>
      </c>
    </row>
    <row r="87" spans="1:12">
      <c r="B87" s="10"/>
      <c r="C87" s="121" t="s">
        <v>49</v>
      </c>
      <c r="D87" s="121" t="s">
        <v>48</v>
      </c>
      <c r="E87" s="121" t="s">
        <v>50</v>
      </c>
      <c r="F87" s="10" t="s">
        <v>569</v>
      </c>
      <c r="G87" s="10">
        <v>1455699.25</v>
      </c>
      <c r="H87" s="10" t="s">
        <v>35</v>
      </c>
      <c r="I87" s="27"/>
      <c r="J87" s="10" t="b">
        <v>1</v>
      </c>
      <c r="K87" s="10">
        <v>1455699.25</v>
      </c>
      <c r="L87" s="10">
        <v>13</v>
      </c>
    </row>
    <row r="88" spans="1:12">
      <c r="B88" s="10"/>
      <c r="C88" s="121" t="s">
        <v>49</v>
      </c>
      <c r="D88" s="121" t="s">
        <v>48</v>
      </c>
      <c r="E88" s="121" t="s">
        <v>50</v>
      </c>
      <c r="F88" s="10" t="s">
        <v>570</v>
      </c>
      <c r="G88" s="10">
        <v>2519584.2544080932</v>
      </c>
      <c r="H88" s="10" t="s">
        <v>35</v>
      </c>
      <c r="I88" s="27"/>
      <c r="J88" s="10" t="b">
        <v>1</v>
      </c>
      <c r="K88" s="10">
        <v>2519584.2544080932</v>
      </c>
      <c r="L88" s="10">
        <v>13</v>
      </c>
    </row>
    <row r="89" spans="1:12">
      <c r="B89" s="10"/>
      <c r="C89" s="121" t="s">
        <v>49</v>
      </c>
      <c r="D89" s="121" t="s">
        <v>48</v>
      </c>
      <c r="E89" s="121" t="s">
        <v>50</v>
      </c>
      <c r="F89" s="10" t="s">
        <v>571</v>
      </c>
      <c r="G89" s="10">
        <v>4</v>
      </c>
      <c r="H89" s="10"/>
      <c r="I89" s="27"/>
      <c r="J89" s="10" t="b">
        <v>1</v>
      </c>
      <c r="K89" s="10">
        <v>4</v>
      </c>
      <c r="L89" s="10">
        <v>13</v>
      </c>
    </row>
    <row r="90" spans="1:12">
      <c r="B90" s="10"/>
      <c r="C90" s="10"/>
      <c r="D90" s="10"/>
      <c r="E90" s="10"/>
      <c r="F90" s="10"/>
      <c r="G90" s="10"/>
      <c r="H90" s="10"/>
      <c r="I90" s="88"/>
      <c r="J90" s="11"/>
      <c r="K90" s="10"/>
    </row>
    <row r="91" spans="1:12">
      <c r="B91" s="10"/>
      <c r="C91" s="10"/>
      <c r="D91" s="10"/>
      <c r="E91" s="10"/>
      <c r="F91" s="10"/>
      <c r="G91" s="10"/>
      <c r="H91" s="10"/>
      <c r="I91" s="88"/>
      <c r="J91" s="11"/>
      <c r="K91" s="10"/>
    </row>
    <row r="92" spans="1:12">
      <c r="B92" s="10"/>
      <c r="C92" s="10"/>
      <c r="D92" s="10"/>
      <c r="E92" s="10"/>
      <c r="F92" s="10"/>
      <c r="G92" s="10"/>
      <c r="H92" s="10"/>
      <c r="I92" s="88"/>
      <c r="J92" s="11"/>
      <c r="K92" s="10"/>
    </row>
    <row r="93" spans="1:12">
      <c r="B93" s="10"/>
      <c r="C93" s="10"/>
      <c r="D93" s="10"/>
      <c r="E93" s="10"/>
      <c r="F93" s="10"/>
      <c r="G93" s="10"/>
      <c r="H93" s="10"/>
      <c r="I93" s="88"/>
      <c r="J93" s="11"/>
      <c r="K93" s="10"/>
    </row>
    <row r="94" spans="1:12">
      <c r="B94" s="10"/>
      <c r="C94" s="10"/>
      <c r="D94" s="10"/>
      <c r="E94" s="10"/>
      <c r="F94" s="10"/>
      <c r="G94" s="10"/>
      <c r="H94" s="10"/>
      <c r="I94" s="88"/>
      <c r="J94" s="11"/>
      <c r="K94" s="10"/>
    </row>
    <row r="95" spans="1:12">
      <c r="B95" s="10"/>
      <c r="C95" s="10"/>
      <c r="D95" s="10"/>
      <c r="E95" s="10"/>
      <c r="F95" s="10"/>
      <c r="G95" s="10"/>
      <c r="H95" s="10"/>
      <c r="I95" s="88"/>
      <c r="J95" s="11"/>
      <c r="K95" s="10"/>
    </row>
    <row r="96" spans="1:12">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2016-12-13T01:06:04Z</dcterms:modified>
</cp:coreProperties>
</file>