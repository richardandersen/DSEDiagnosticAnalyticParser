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925" codeName="{1563B04E-AB91-75FE-B8BC-B18F01832D57}"/>
  <workbookPr codeName="ThisWorkbook" defaultThemeVersion="153222"/>
  <mc:AlternateContent xmlns:mc="http://schemas.openxmlformats.org/markup-compatibility/2006">
    <mc:Choice Requires="x15">
      <x15ac:absPath xmlns:x15ac="http://schemas.microsoft.com/office/spreadsheetml/2010/11/ac" url="D:\Projects\GitHub\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Settings-Yamls" sheetId="43" r:id="rId4"/>
    <sheet name="DDL Keyspaces" sheetId="41" r:id="rId5"/>
    <sheet name="DDL Tables" sheetId="17" r:id="rId6"/>
    <sheet name="Read" sheetId="21" r:id="rId7"/>
    <sheet name="Read by Node" sheetId="34" r:id="rId8"/>
    <sheet name="Write" sheetId="11" r:id="rId9"/>
    <sheet name="Write by Node" sheetId="35" r:id="rId10"/>
    <sheet name="TombStones" sheetId="22" r:id="rId11"/>
    <sheet name="TombStones by Node" sheetId="28" r:id="rId12"/>
    <sheet name="Query" sheetId="24" r:id="rId13"/>
    <sheet name="Read-Repair" sheetId="25" r:id="rId14"/>
    <sheet name="Partitions" sheetId="12" r:id="rId15"/>
    <sheet name="Partitions by Node" sheetId="29" r:id="rId16"/>
    <sheet name="GC" sheetId="23" r:id="rId17"/>
    <sheet name="Pauses-JVM" sheetId="31" r:id="rId18"/>
    <sheet name="Compaction" sheetId="19" r:id="rId19"/>
    <sheet name="Compaction by Node" sheetId="30" r:id="rId20"/>
    <sheet name="Droppable" sheetId="26" r:id="rId21"/>
    <sheet name="Storage-Size" sheetId="15" r:id="rId22"/>
    <sheet name="Batches" sheetId="33" r:id="rId23"/>
    <sheet name="Histogram - Read" sheetId="36" r:id="rId24"/>
    <sheet name="Histogram - SSTables" sheetId="45" r:id="rId25"/>
    <sheet name="Histogram - Write" sheetId="37" r:id="rId26"/>
    <sheet name="Histogram - Cell Counts" sheetId="38" r:id="rId27"/>
    <sheet name="Histogram - Partition" sheetId="44" r:id="rId28"/>
    <sheet name="Cassandra Log Exceptions" sheetId="47" r:id="rId29"/>
    <sheet name="Cassandra Summary Logs" sheetId="39" r:id="rId30"/>
    <sheet name="Application" sheetId="27" r:id="rId31"/>
    <sheet name="--Marker--" sheetId="42" r:id="rId32"/>
    <sheet name="CFStats" sheetId="4" r:id="rId33"/>
    <sheet name="NodeStats" sheetId="16" r:id="rId34"/>
    <sheet name="TableHistogram" sheetId="32" r:id="rId35"/>
  </sheets>
  <definedNames>
    <definedName name="_xlnm._FilterDatabase" localSheetId="29" hidden="1">'Cassandra Summary Logs'!$A$2:$H$2</definedName>
    <definedName name="_xlnm._FilterDatabase" localSheetId="32" hidden="1">CFStats!$A$1:$K$68</definedName>
    <definedName name="_xlnm._FilterDatabase" localSheetId="4" hidden="1">'DDL Keyspaces'!$A$1:$E$1</definedName>
    <definedName name="_xlnm._FilterDatabase" localSheetId="33" hidden="1">NodeStats!$A$1:$M$130</definedName>
    <definedName name="_xlnm._FilterDatabase" localSheetId="3" hidden="1">'Settings-Yamls'!$A$1:$E$1</definedName>
    <definedName name="_xlnm._FilterDatabase" localSheetId="34"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0" r:id="rId36"/>
    <pivotCache cacheId="1" r:id="rId37"/>
    <pivotCache cacheId="2" r:id="rId38"/>
    <pivotCache cacheId="3" r:id="rId39"/>
    <pivotCache cacheId="4" r:id="rId40"/>
  </pivotCaches>
  <extLst>
    <ext xmlns:x14="http://schemas.microsoft.com/office/spreadsheetml/2009/9/main" uri="{BBE1A952-AA13-448e-AADC-164F8A28A991}">
      <x14:slicerCaches>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s>
    </ext>
    <ext xmlns:x14="http://schemas.microsoft.com/office/spreadsheetml/2009/9/main" uri="{79F54976-1DA5-4618-B147-4CDE4B953A38}">
      <x14:workbookPr/>
    </ext>
  </extLst>
</workbook>
</file>

<file path=xl/calcChain.xml><?xml version="1.0" encoding="utf-8"?>
<calcChain xmlns="http://schemas.openxmlformats.org/spreadsheetml/2006/main">
  <c r="D10" i="47" l="1"/>
  <c r="M9" i="24" l="1"/>
  <c r="B8" i="45" l="1"/>
  <c r="A8" i="45"/>
  <c r="B8" i="44"/>
  <c r="A8" i="44"/>
  <c r="B8" i="38" l="1"/>
  <c r="A8" i="38"/>
  <c r="B8" i="37"/>
  <c r="A8" i="37"/>
  <c r="B8" i="36"/>
  <c r="A8" i="36"/>
  <c r="A9" i="35"/>
  <c r="A9" i="34"/>
  <c r="A9" i="33" l="1"/>
  <c r="A9" i="31" l="1"/>
  <c r="A9" i="30" l="1"/>
  <c r="A9" i="29"/>
  <c r="Z9" i="29"/>
  <c r="Q9" i="29"/>
  <c r="A9" i="28"/>
  <c r="A9" i="15" l="1"/>
  <c r="A8" i="19"/>
  <c r="A9" i="12"/>
  <c r="A9" i="22"/>
  <c r="A8" i="11"/>
  <c r="A8" i="21"/>
  <c r="A9" i="26" l="1"/>
  <c r="A9" i="25"/>
  <c r="A9" i="24" l="1"/>
  <c r="B8" i="19"/>
  <c r="A9" i="23"/>
  <c r="B8" i="11"/>
  <c r="B8" i="21"/>
  <c r="F9" i="15" l="1"/>
  <c r="G9" i="15" l="1"/>
  <c r="L9" i="15"/>
  <c r="M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<sst xmlns="http://schemas.openxmlformats.org/spreadsheetml/2006/main" count="3376" uniqueCount="527">
  <si>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</si>
  <si>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</si>
  <si>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</si>
  <si>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</si>
  <si>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</si>
  <si>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</si>
  <si>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</si>
  <si>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</si>
  <si>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</si>
  <si>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</si>
  <si>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</si>
  <si>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</si>
  <si>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</si>
  <si>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</si>
  <si>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</si>
  <si>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</si>
  <si>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</si>
  <si>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</si>
  <si>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</si>
  <si>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</si>
  <si>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</si>
  <si>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</si>
  <si>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</si>
  <si>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</si>
  <si>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</si>
  <si>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</si>
  <si>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</si>
  <si>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</si>
  <si>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</si>
  <si>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</si>
  <si>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</si>
  <si>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</si>
  <si>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</si>
  <si>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</si>
  <si>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</si>
  <si>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</si>
  <si>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</si>
  <si>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</si>
  <si>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</si>
  <si>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</si>
  <si>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</si>
  <si>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</si>
  <si>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</si>
  <si>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</si>
  <si>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</si>
  <si>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</si>
  <si>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</si>
  <si>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</si>
  <si>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</si>
  <si>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</si>
  <si>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</si>
  <si>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</si>
  <si>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</si>
  <si>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</si>
  <si>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</si>
  <si>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</si>
  <si>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</si>
  <si>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</si>
  <si>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</si>
  <si>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</si>
  <si>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</si>
  <si>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</si>
  <si>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</si>
  <si>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</si>
  <si>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</si>
  <si>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</si>
  <si>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</si>
  <si>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</si>
  <si>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</si>
  <si>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</si>
  <si>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</si>
  <si>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</si>
  <si>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</si>
  <si>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</si>
  <si>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</si>
  <si>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</si>
  <si>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</si>
  <si>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</si>
  <si>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</si>
  <si>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</si>
  <si>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</si>
  <si>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</si>
  <si>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</si>
  <si>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</si>
  <si>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</si>
  <si>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</si>
  <si>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</si>
  <si>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</si>
  <si>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</si>
  <si>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</si>
  <si>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</si>
  <si>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</si>
  <si>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</si>
  <si>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</si>
  <si>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</si>
  <si>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</si>
  <si>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</si>
  <si>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</si>
  <si>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</si>
  <si>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</si>
  <si>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</si>
  <si>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</si>
  <si>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</si>
  <si>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</si>
  <si>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</si>
  <si>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</si>
  <si>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</si>
  <si>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</si>
  <si>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</si>
  <si>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</si>
  <si>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</si>
  <si>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</si>
  <si>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</si>
  <si>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</si>
  <si>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</si>
  <si>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</si>
  <si>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</si>
  <si>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</si>
  <si>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</si>
  <si>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</si>
  <si>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</si>
  <si>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</si>
  <si>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</si>
  <si>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</si>
  <si>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</si>
  <si>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</si>
  <si>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</si>
  <si>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</si>
  <si>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</si>
  <si>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</si>
  <si>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</si>
  <si>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</si>
  <si>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</si>
  <si>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</si>
  <si>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</si>
  <si>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</si>
  <si>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</si>
  <si>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</si>
  <si>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</si>
  <si>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</si>
  <si>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</si>
  <si>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</si>
  <si>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</si>
  <si>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</si>
  <si>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</si>
  <si>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</si>
  <si>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</si>
  <si>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</si>
  <si>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</si>
  <si>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</si>
  <si>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</si>
  <si>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</si>
  <si>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</si>
  <si>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</si>
  <si>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</si>
  <si>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</si>
  <si>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</si>
  <si>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</si>
  <si>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</si>
  <si>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</si>
  <si>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</si>
  <si>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</si>
  <si>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</si>
  <si>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</si>
  <si>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</si>
  <si>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</si>
  <si>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</si>
  <si>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</si>
  <si>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</si>
  <si>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</si>
  <si>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</si>
  <si>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</si>
  <si>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</si>
  <si>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</si>
  <si>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</si>
  <si>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</si>
  <si>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</si>
  <si>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</si>
  <si>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</si>
  <si>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</si>
  <si>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</si>
  <si>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</si>
  <si>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</si>
  <si>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</si>
  <si>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</si>
  <si>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</si>
  <si>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</si>
  <si>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</si>
  <si>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</si>
  <si>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</si>
  <si>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</si>
  <si>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</si>
  <si>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</si>
  <si>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</si>
  <si>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</si>
  <si>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</si>
  <si>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</si>
  <si>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</si>
  <si>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</si>
  <si>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</si>
  <si>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</si>
  <si>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</si>
  <si>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</si>
  <si>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</si>
  <si>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</si>
  <si>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</si>
  <si>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</si>
  <si>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</si>
  <si>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</si>
  <si>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</si>
  <si>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</si>
  <si>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</si>
  <si>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</si>
  <si>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</si>
  <si>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</si>
  <si>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</si>
  <si>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</si>
  <si>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</si>
  <si>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</si>
  <si>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</si>
  <si>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</si>
  <si>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</si>
  <si>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</si>
  <si>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</si>
  <si>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</si>
  <si>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</si>
  <si>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</si>
  <si>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</si>
  <si>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</si>
  <si>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</si>
  <si>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</si>
  <si>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</si>
  <si>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</si>
  <si>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</si>
  <si>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</si>
  <si>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</si>
  <si>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</si>
  <si>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</si>
  <si>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</si>
  <si>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</si>
  <si>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</si>
  <si>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</si>
  <si>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</si>
  <si>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</si>
  <si>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</si>
  <si>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</si>
  <si>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</si>
  <si>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</si>
  <si>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</si>
  <si>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</si>
  <si>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</si>
  <si>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</si>
  <si>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</si>
  <si>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</si>
  <si>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</si>
  <si>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</si>
  <si>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</si>
  <si>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</si>
  <si>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</si>
  <si>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</si>
  <si>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</si>
  <si>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</si>
  <si>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</si>
  <si>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</si>
  <si>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</si>
  <si>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</si>
  <si>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</si>
  <si>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</si>
  <si>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</si>
  <si>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</si>
  <si>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</si>
  <si>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</si>
  <si>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</si>
  <si>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</si>
  <si>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</si>
  <si>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</si>
  <si>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</si>
  <si>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</si>
  <si>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</si>
  <si>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</si>
  <si>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</si>
  <si>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</si>
  <si>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</si>
  <si>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</si>
  <si>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</si>
  <si>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</si>
  <si>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</si>
  <si>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</si>
  <si>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</si>
  <si>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</si>
  <si>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</si>
  <si>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</si>
  <si>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</si>
  <si>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</si>
  <si>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</si>
  <si>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</si>
  <si>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</si>
  <si>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</si>
  <si>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</si>
  <si>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</si>
  <si>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</si>
  <si>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</si>
  <si>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</si>
  <si>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</si>
  <si>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</si>
  <si>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</si>
  <si>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</si>
  <si>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</si>
  <si>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</si>
  <si>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</si>
  <si>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</si>
  <si>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</si>
  <si>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</si>
  <si>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</si>
  <si>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</si>
  <si>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</si>
  <si>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</si>
  <si>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</si>
  <si>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</si>
  <si>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Log Stats (digest query)</t>
  </si>
  <si>
    <t>AntiEntropyStage maximum</t>
  </si>
  <si>
    <t>AntiEntropyStage minimum</t>
  </si>
  <si>
    <t>AntiEntropyStage mean</t>
  </si>
  <si>
    <t>AntiEntropyStage Total</t>
  </si>
  <si>
    <t>AntiEntropyStage occurrences</t>
  </si>
  <si>
    <t>Log Stats (repair)</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</si>
  <si>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</si>
  <si>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</si>
  <si>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</si>
  <si>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</si>
  <si>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</si>
  <si>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</si>
  <si>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</si>
  <si>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</si>
  <si>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</si>
  <si>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</si>
  <si>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</si>
  <si>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</si>
  <si>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</si>
  <si>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</si>
  <si>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</si>
  <si>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</si>
  <si>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</si>
  <si>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</si>
  <si>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</si>
  <si>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</si>
  <si>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</si>
  <si>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</si>
  <si>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</si>
  <si>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</si>
  <si>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</si>
  <si>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</si>
  <si>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</si>
  <si>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</si>
  <si>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</si>
  <si>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</si>
  <si>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</si>
  <si>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</si>
  <si>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</si>
  <si>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</si>
  <si>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</si>
  <si>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</si>
  <si>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</si>
  <si>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</si>
  <si>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</si>
  <si>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</si>
  <si>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</si>
  <si>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</si>
  <si>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</si>
  <si>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</si>
  <si>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</si>
  <si>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</si>
  <si>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</si>
  <si>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</si>
  <si>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</si>
  <si>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</si>
  <si>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</si>
  <si>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</si>
  <si>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</si>
  <si>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</si>
  <si>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</si>
  <si>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</si>
  <si>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</si>
  <si>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</si>
  <si>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</si>
  <si>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</si>
  <si>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</si>
  <si>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</si>
  <si>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</si>
  <si>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</si>
  <si>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</si>
  <si>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</si>
  <si>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</si>
  <si>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</si>
  <si>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</si>
  <si>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</si>
  <si>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</si>
  <si>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</si>
  <si>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</si>
  <si>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</si>
  <si>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</si>
  <si>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</si>
  <si>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</si>
  <si>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</si>
  <si>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</si>
  <si>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</si>
  <si>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</si>
  <si>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</si>
  <si>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</si>
  <si>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</si>
  <si>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</si>
  <si>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</si>
  <si>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</si>
  <si>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</si>
  <si>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</si>
  <si>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</si>
  <si>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</si>
  <si>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</si>
  <si>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</si>
  <si>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</si>
  <si>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</si>
  <si>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</si>
  <si>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</si>
  <si>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</si>
  <si>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</si>
  <si>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</si>
  <si>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</si>
  <si>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</si>
  <si>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</si>
  <si>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</si>
  <si>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</si>
  <si>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</si>
  <si>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</si>
  <si>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</si>
  <si>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</si>
  <si>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</si>
  <si>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</si>
  <si>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</si>
  <si>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</si>
  <si>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</si>
  <si>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</si>
  <si>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</si>
  <si>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</si>
  <si>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</si>
  <si>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</si>
  <si>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</si>
  <si>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</si>
  <si>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</si>
  <si>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</si>
  <si>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</si>
  <si>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</si>
  <si>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</si>
  <si>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</si>
  <si>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</si>
  <si>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</si>
  <si>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</si>
  <si>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</si>
  <si>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</si>
  <si>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</si>
  <si>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</si>
  <si>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</si>
  <si>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</si>
  <si>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</si>
  <si>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</si>
  <si>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</si>
  <si>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</si>
  <si>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</si>
  <si>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</si>
  <si>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</si>
  <si>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</si>
  <si>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</si>
  <si>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</si>
  <si>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</si>
  <si>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</si>
  <si>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</si>
  <si>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</si>
  <si>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</si>
  <si>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</si>
  <si>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</si>
  <si>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</si>
  <si>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</si>
  <si>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</si>
  <si>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</si>
  <si>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</si>
  <si>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</si>
  <si>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</si>
  <si>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</si>
  <si>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</si>
  <si>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</si>
  <si>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</si>
  <si>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</si>
  <si>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</si>
  <si>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</si>
  <si>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Workbook Version: 20161022</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</si>
  <si>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</si>
  <si>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</si>
  <si>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</si>
  <si>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</si>
  <si>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</si>
  <si>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</si>
  <si>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</si>
  <si>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</si>
  <si>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</si>
  <si>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</si>
  <si>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</si>
  <si>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</si>
  <si>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Group Indicator</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</si>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</sst>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145">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cellXfs>
  <cellStyles count="2">
    <cellStyle name="Normal" xfId="0" builtinId="0"/>
    <cellStyle name="Normal 2" xfId="1"/>
  </cellStyles>
  <dxfs count="312">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numFmt numFmtId="4" formatCode="#,##0.00"/>
    </dxf>
    <dxf>
      <alignment wrapText="1" readingOrder="0"/>
    </dxf>
    <dxf>
      <alignment wrapText="1" readingOrder="0"/>
    </dxf>
    <dxf>
      <alignment wrapText="1" readingOrder="0"/>
    </dxf>
    <dxf>
      <alignment wrapText="1" readingOrder="0"/>
    </dxf>
    <dxf>
      <alignment wrapText="1" readingOrder="0"/>
    </dxf>
    <dxf>
      <numFmt numFmtId="3" formatCode="#,##0"/>
    </dxf>
    <dxf>
      <numFmt numFmtId="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7/relationships/slicerCache" Target="slicerCaches/slicerCache2.xml"/><Relationship Id="rId47" Type="http://schemas.microsoft.com/office/2007/relationships/slicerCache" Target="slicerCaches/slicerCache7.xml"/><Relationship Id="rId50" Type="http://schemas.microsoft.com/office/2007/relationships/slicerCache" Target="slicerCaches/slicerCache10.xml"/><Relationship Id="rId55" Type="http://schemas.microsoft.com/office/2007/relationships/slicerCache" Target="slicerCaches/slicerCache15.xml"/><Relationship Id="rId63" Type="http://schemas.microsoft.com/office/2007/relationships/slicerCache" Target="slicerCaches/slicerCache2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pivotCacheDefinition" Target="pivotCache/pivotCacheDefinition5.xml"/><Relationship Id="rId45" Type="http://schemas.microsoft.com/office/2007/relationships/slicerCache" Target="slicerCaches/slicerCache5.xml"/><Relationship Id="rId53" Type="http://schemas.microsoft.com/office/2007/relationships/slicerCache" Target="slicerCaches/slicerCache13.xml"/><Relationship Id="rId58" Type="http://schemas.microsoft.com/office/2007/relationships/slicerCache" Target="slicerCaches/slicerCache18.xml"/><Relationship Id="rId66"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07/relationships/slicerCache" Target="slicerCaches/slicerCache9.xml"/><Relationship Id="rId57" Type="http://schemas.microsoft.com/office/2007/relationships/slicerCache" Target="slicerCaches/slicerCache17.xml"/><Relationship Id="rId61" Type="http://schemas.microsoft.com/office/2007/relationships/slicerCache" Target="slicerCaches/slicerCache2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7/relationships/slicerCache" Target="slicerCaches/slicerCache4.xml"/><Relationship Id="rId52" Type="http://schemas.microsoft.com/office/2007/relationships/slicerCache" Target="slicerCaches/slicerCache12.xml"/><Relationship Id="rId60" Type="http://schemas.microsoft.com/office/2007/relationships/slicerCache" Target="slicerCaches/slicerCache20.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7/relationships/slicerCache" Target="slicerCaches/slicerCache3.xml"/><Relationship Id="rId48" Type="http://schemas.microsoft.com/office/2007/relationships/slicerCache" Target="slicerCaches/slicerCache8.xml"/><Relationship Id="rId56" Type="http://schemas.microsoft.com/office/2007/relationships/slicerCache" Target="slicerCaches/slicerCache16.xml"/><Relationship Id="rId64" Type="http://schemas.microsoft.com/office/2007/relationships/slicerCache" Target="slicerCaches/slicerCache24.xml"/><Relationship Id="rId69" Type="http://schemas.microsoft.com/office/2006/relationships/vbaProject" Target="vbaProject.bin"/><Relationship Id="rId8" Type="http://schemas.openxmlformats.org/officeDocument/2006/relationships/worksheet" Target="worksheets/sheet8.xml"/><Relationship Id="rId51" Type="http://schemas.microsoft.com/office/2007/relationships/slicerCache" Target="slicerCaches/slicerCache1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07/relationships/slicerCache" Target="slicerCaches/slicerCache6.xml"/><Relationship Id="rId59" Type="http://schemas.microsoft.com/office/2007/relationships/slicerCache" Target="slicerCaches/slicerCache19.xml"/><Relationship Id="rId67"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1.xml"/><Relationship Id="rId54" Type="http://schemas.microsoft.com/office/2007/relationships/slicerCache" Target="slicerCaches/slicerCache14.xml"/><Relationship Id="rId62" Type="http://schemas.microsoft.com/office/2007/relationships/slicerCache" Target="slicerCaches/slicerCache2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257175</xdr:colOff>
      <xdr:row>5</xdr:row>
      <xdr:rowOff>28575</xdr:rowOff>
    </xdr:from>
    <xdr:to>
      <xdr:col>25</xdr:col>
      <xdr:colOff>257175</xdr:colOff>
      <xdr:row>18</xdr:row>
      <xdr:rowOff>76200</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68375" y="1028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76200</xdr:colOff>
      <xdr:row>4</xdr:row>
      <xdr:rowOff>209550</xdr:rowOff>
    </xdr:from>
    <xdr:to>
      <xdr:col>19</xdr:col>
      <xdr:colOff>76200</xdr:colOff>
      <xdr:row>10</xdr:row>
      <xdr:rowOff>171450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29800" y="97155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45.676872453703"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63.433807754627" createdVersion="6" refreshedVersion="5" minRefreshableVersion="3" recordCount="135">
  <cacheSource type="worksheet">
    <worksheetSource ref="A1:K1048576" sheet="NodeStats"/>
  </cacheSource>
  <cacheFields count="11">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45">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01" maxValue="189033475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64.495589467595" createdVersion="6" refreshedVersion="5" minRefreshableVersion="3" recordCount="135">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45">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01"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66.804914120374"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ean latencty" u="1"/>
        <s v="SSTable read maximum " u="1"/>
        <s v="Compaction maximum latencty" u="1"/>
        <s v="Compaction minimum latencty"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666.973990509257"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Group Indicator"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2.xml><?xml version="1.0" encoding="utf-8"?>
<pivotCacheRecords xmlns="http://schemas.openxmlformats.org/spreadsheetml/2006/main" xmlns:r="http://schemas.openxmlformats.org/officeDocument/2006/relationships" count="135">
  <r>
    <s v="TPStats"/>
    <x v="0"/>
    <x v="0"/>
    <x v="0"/>
    <n v="0"/>
    <n v="0"/>
    <n v="346708473"/>
    <n v="0"/>
    <n v="0"/>
    <m/>
    <m/>
  </r>
  <r>
    <s v="TPStats"/>
    <x v="0"/>
    <x v="0"/>
    <x v="1"/>
    <n v="0"/>
    <n v="0"/>
    <n v="9373164"/>
    <n v="0"/>
    <n v="0"/>
    <m/>
    <m/>
  </r>
  <r>
    <s v="TPStats"/>
    <x v="0"/>
    <x v="0"/>
    <x v="2"/>
    <n v="0"/>
    <n v="0"/>
    <n v="397905909"/>
    <n v="0"/>
    <n v="0"/>
    <m/>
    <m/>
  </r>
  <r>
    <s v="TPStats"/>
    <x v="0"/>
    <x v="0"/>
    <x v="3"/>
    <n v="0"/>
    <n v="0"/>
    <n v="14840"/>
    <n v="0"/>
    <n v="0"/>
    <m/>
    <m/>
  </r>
  <r>
    <s v="TPStats"/>
    <x v="0"/>
    <x v="0"/>
    <x v="4"/>
    <n v="0"/>
    <n v="0"/>
    <n v="0"/>
    <n v="0"/>
    <n v="0"/>
    <m/>
    <m/>
  </r>
  <r>
    <s v="TPStats"/>
    <x v="0"/>
    <x v="0"/>
    <x v="5"/>
    <n v="0"/>
    <n v="0"/>
    <n v="0"/>
    <n v="0"/>
    <n v="0"/>
    <m/>
    <m/>
  </r>
  <r>
    <s v="TPStats"/>
    <x v="0"/>
    <x v="0"/>
    <x v="6"/>
    <n v="0"/>
    <n v="0"/>
    <n v="3728"/>
    <n v="0"/>
    <n v="0"/>
    <m/>
    <m/>
  </r>
  <r>
    <s v="TPStats"/>
    <x v="0"/>
    <x v="0"/>
    <x v="7"/>
    <n v="0"/>
    <n v="1"/>
    <n v="8237"/>
    <n v="0"/>
    <n v="0"/>
    <m/>
    <m/>
  </r>
  <r>
    <s v="TPStats"/>
    <x v="0"/>
    <x v="0"/>
    <x v="8"/>
    <n v="0"/>
    <n v="0"/>
    <n v="9047891"/>
    <n v="0"/>
    <n v="0"/>
    <m/>
    <m/>
  </r>
  <r>
    <s v="TPStats"/>
    <x v="0"/>
    <x v="0"/>
    <x v="9"/>
    <n v="0"/>
    <n v="0"/>
    <n v="0"/>
    <n v="0"/>
    <n v="0"/>
    <m/>
    <m/>
  </r>
  <r>
    <s v="TPStats"/>
    <x v="0"/>
    <x v="0"/>
    <x v="10"/>
    <n v="0"/>
    <n v="0"/>
    <n v="126"/>
    <n v="0"/>
    <n v="0"/>
    <m/>
    <m/>
  </r>
  <r>
    <s v="TPStats"/>
    <x v="0"/>
    <x v="0"/>
    <x v="11"/>
    <n v="0"/>
    <n v="0"/>
    <n v="0"/>
    <n v="0"/>
    <n v="0"/>
    <m/>
    <m/>
  </r>
  <r>
    <s v="TPStats"/>
    <x v="0"/>
    <x v="0"/>
    <x v="12"/>
    <n v="0"/>
    <n v="0"/>
    <n v="2646529"/>
    <n v="0"/>
    <n v="0"/>
    <m/>
    <m/>
  </r>
  <r>
    <s v="TPStats"/>
    <x v="0"/>
    <x v="0"/>
    <x v="13"/>
    <n v="0"/>
    <n v="0"/>
    <n v="36102"/>
    <n v="0"/>
    <n v="0"/>
    <m/>
    <m/>
  </r>
  <r>
    <s v="TPStats"/>
    <x v="0"/>
    <x v="0"/>
    <x v="14"/>
    <n v="0"/>
    <n v="0"/>
    <n v="269"/>
    <n v="0"/>
    <n v="0"/>
    <m/>
    <m/>
  </r>
  <r>
    <s v="TPStats"/>
    <x v="0"/>
    <x v="0"/>
    <x v="15"/>
    <n v="0"/>
    <n v="0"/>
    <n v="305803"/>
    <n v="0"/>
    <n v="0"/>
    <m/>
    <m/>
  </r>
  <r>
    <s v="TPStats"/>
    <x v="0"/>
    <x v="0"/>
    <x v="16"/>
    <n v="0"/>
    <n v="0"/>
    <n v="51"/>
    <n v="0"/>
    <n v="0"/>
    <m/>
    <m/>
  </r>
  <r>
    <s v="TPStats"/>
    <x v="0"/>
    <x v="0"/>
    <x v="17"/>
    <n v="0"/>
    <n v="0"/>
    <n v="0"/>
    <n v="0"/>
    <n v="0"/>
    <m/>
    <m/>
  </r>
  <r>
    <s v="TPStats"/>
    <x v="0"/>
    <x v="0"/>
    <x v="18"/>
    <n v="0"/>
    <n v="0"/>
    <n v="94410"/>
    <n v="0"/>
    <n v="0"/>
    <m/>
    <m/>
  </r>
  <r>
    <s v="TPStats"/>
    <x v="0"/>
    <x v="0"/>
    <x v="19"/>
    <n v="0"/>
    <n v="0"/>
    <n v="174045"/>
    <n v="0"/>
    <n v="0"/>
    <m/>
    <m/>
  </r>
  <r>
    <s v="TPStats"/>
    <x v="0"/>
    <x v="0"/>
    <x v="20"/>
    <n v="0"/>
    <n v="0"/>
    <n v="94416"/>
    <n v="0"/>
    <n v="0"/>
    <m/>
    <m/>
  </r>
  <r>
    <s v="TPStats"/>
    <x v="0"/>
    <x v="0"/>
    <x v="21"/>
    <m/>
    <m/>
    <m/>
    <m/>
    <m/>
    <n v="0"/>
    <m/>
  </r>
  <r>
    <s v="TPStats"/>
    <x v="0"/>
    <x v="0"/>
    <x v="22"/>
    <m/>
    <m/>
    <m/>
    <m/>
    <m/>
    <n v="0"/>
    <m/>
  </r>
  <r>
    <s v="TPStats"/>
    <x v="0"/>
    <x v="0"/>
    <x v="23"/>
    <m/>
    <m/>
    <m/>
    <m/>
    <m/>
    <n v="551"/>
    <m/>
  </r>
  <r>
    <s v="TPStats"/>
    <x v="0"/>
    <x v="0"/>
    <x v="24"/>
    <m/>
    <m/>
    <m/>
    <m/>
    <m/>
    <n v="4670"/>
    <m/>
  </r>
  <r>
    <s v="TPStats"/>
    <x v="0"/>
    <x v="0"/>
    <x v="25"/>
    <m/>
    <m/>
    <m/>
    <m/>
    <m/>
    <n v="0"/>
    <m/>
  </r>
  <r>
    <s v="TPStats"/>
    <x v="0"/>
    <x v="0"/>
    <x v="26"/>
    <m/>
    <m/>
    <m/>
    <m/>
    <m/>
    <n v="0"/>
    <m/>
  </r>
  <r>
    <s v="TPStats"/>
    <x v="0"/>
    <x v="0"/>
    <x v="27"/>
    <m/>
    <m/>
    <m/>
    <m/>
    <m/>
    <n v="0"/>
    <m/>
  </r>
  <r>
    <s v="TPStats"/>
    <x v="0"/>
    <x v="0"/>
    <x v="28"/>
    <m/>
    <m/>
    <m/>
    <m/>
    <m/>
    <n v="0"/>
    <m/>
  </r>
  <r>
    <s v="TPStats"/>
    <x v="0"/>
    <x v="0"/>
    <x v="29"/>
    <m/>
    <m/>
    <m/>
    <m/>
    <m/>
    <n v="0"/>
    <m/>
  </r>
  <r>
    <s v="Cassandra Log"/>
    <x v="0"/>
    <x v="0"/>
    <x v="30"/>
    <m/>
    <m/>
    <m/>
    <m/>
    <m/>
    <m/>
    <n v="201"/>
  </r>
  <r>
    <s v="Cassandra Log"/>
    <x v="0"/>
    <x v="0"/>
    <x v="31"/>
    <m/>
    <m/>
    <m/>
    <m/>
    <m/>
    <m/>
    <n v="396"/>
  </r>
  <r>
    <s v="Cassandra Log"/>
    <x v="0"/>
    <x v="0"/>
    <x v="32"/>
    <m/>
    <m/>
    <m/>
    <m/>
    <m/>
    <m/>
    <n v="240"/>
  </r>
  <r>
    <s v="Cassandra Log"/>
    <x v="0"/>
    <x v="0"/>
    <x v="33"/>
    <m/>
    <m/>
    <m/>
    <m/>
    <m/>
    <m/>
    <m/>
  </r>
  <r>
    <s v="Cassandra Log"/>
    <x v="0"/>
    <x v="0"/>
    <x v="34"/>
    <n v="0"/>
    <n v="0"/>
    <n v="512410"/>
    <n v="0"/>
    <n v="0"/>
    <m/>
    <m/>
  </r>
  <r>
    <s v="Cassandra Log"/>
    <x v="0"/>
    <x v="0"/>
    <x v="35"/>
    <n v="0"/>
    <n v="0"/>
    <n v="453949"/>
    <n v="0"/>
    <n v="0"/>
    <m/>
    <m/>
  </r>
  <r>
    <s v="Cassandra Log"/>
    <x v="0"/>
    <x v="0"/>
    <x v="36"/>
    <n v="0"/>
    <n v="0"/>
    <n v="486922"/>
    <n v="0"/>
    <n v="0"/>
    <m/>
    <m/>
  </r>
  <r>
    <s v="Cassandra Log"/>
    <x v="0"/>
    <x v="0"/>
    <x v="37"/>
    <n v="0"/>
    <n v="0"/>
    <n v="1049317074"/>
    <n v="0"/>
    <n v="0"/>
    <m/>
    <m/>
  </r>
  <r>
    <s v="Cassandra Log"/>
    <x v="0"/>
    <x v="0"/>
    <x v="38"/>
    <m/>
    <m/>
    <m/>
    <m/>
    <m/>
    <m/>
    <m/>
  </r>
  <r>
    <s v="Cassandra Log"/>
    <x v="0"/>
    <x v="0"/>
    <x v="39"/>
    <n v="1"/>
    <n v="0"/>
    <n v="9765848"/>
    <n v="0"/>
    <n v="0"/>
    <m/>
    <m/>
  </r>
  <r>
    <s v="Cassandra Log"/>
    <x v="0"/>
    <x v="0"/>
    <x v="40"/>
    <n v="0"/>
    <n v="0"/>
    <n v="9121895"/>
    <n v="0"/>
    <n v="0"/>
    <m/>
    <m/>
  </r>
  <r>
    <s v="Cassandra Log"/>
    <x v="0"/>
    <x v="0"/>
    <x v="41"/>
    <n v="0"/>
    <n v="0"/>
    <n v="9456449"/>
    <n v="0"/>
    <n v="0"/>
    <m/>
    <m/>
  </r>
  <r>
    <s v="Cassandra Log"/>
    <x v="0"/>
    <x v="0"/>
    <x v="42"/>
    <n v="28"/>
    <n v="0"/>
    <n v="20378648728"/>
    <n v="0"/>
    <n v="0"/>
    <m/>
    <m/>
  </r>
  <r>
    <s v="Cassandra Log"/>
    <x v="0"/>
    <x v="0"/>
    <x v="43"/>
    <m/>
    <m/>
    <m/>
    <m/>
    <m/>
    <m/>
    <m/>
  </r>
  <r>
    <s v="Cassandra Log"/>
    <x v="0"/>
    <x v="0"/>
    <x v="44"/>
    <n v="0"/>
    <n v="1"/>
    <n v="36018563"/>
    <n v="0"/>
    <n v="0"/>
    <m/>
    <m/>
  </r>
  <r>
    <s v="Cassandra Log"/>
    <x v="0"/>
    <x v="0"/>
    <x v="45"/>
    <n v="0"/>
    <n v="0"/>
    <n v="33047357"/>
    <n v="0"/>
    <n v="0"/>
    <m/>
    <m/>
  </r>
  <r>
    <s v="Cassandra Log"/>
    <x v="0"/>
    <x v="0"/>
    <x v="46"/>
    <n v="0"/>
    <n v="0"/>
    <n v="34592870"/>
    <n v="0"/>
    <n v="0"/>
    <m/>
    <m/>
  </r>
  <r>
    <s v="Cassandra Log"/>
    <x v="0"/>
    <x v="0"/>
    <x v="47"/>
    <n v="0"/>
    <n v="10"/>
    <n v="74547636444"/>
    <n v="0"/>
    <n v="0"/>
    <m/>
    <m/>
  </r>
  <r>
    <s v="Cassandra Log"/>
    <x v="0"/>
    <x v="0"/>
    <x v="48"/>
    <m/>
    <m/>
    <m/>
    <m/>
    <m/>
    <m/>
    <m/>
  </r>
  <r>
    <s v="Cassandra Log"/>
    <x v="0"/>
    <x v="0"/>
    <x v="49"/>
    <n v="0"/>
    <n v="0"/>
    <n v="581445"/>
    <n v="0"/>
    <n v="0"/>
    <m/>
    <m/>
  </r>
  <r>
    <s v="Cassandra Log"/>
    <x v="0"/>
    <x v="0"/>
    <x v="50"/>
    <n v="0"/>
    <n v="0"/>
    <n v="535049"/>
    <n v="0"/>
    <n v="0"/>
    <m/>
    <m/>
  </r>
  <r>
    <s v="Cassandra Log"/>
    <x v="0"/>
    <x v="0"/>
    <x v="51"/>
    <n v="0"/>
    <n v="0"/>
    <n v="559378"/>
    <n v="0"/>
    <n v="0"/>
    <m/>
    <m/>
  </r>
  <r>
    <s v="Cassandra Log"/>
    <x v="0"/>
    <x v="0"/>
    <x v="52"/>
    <n v="0"/>
    <n v="0"/>
    <n v="1205459904"/>
    <n v="0"/>
    <n v="0"/>
    <m/>
    <m/>
  </r>
  <r>
    <s v="Cassandra Log"/>
    <x v="0"/>
    <x v="0"/>
    <x v="53"/>
    <m/>
    <m/>
    <m/>
    <m/>
    <m/>
    <m/>
    <m/>
  </r>
  <r>
    <s v="Cassandra Log"/>
    <x v="0"/>
    <x v="0"/>
    <x v="54"/>
    <n v="32"/>
    <n v="169"/>
    <n v="46678042"/>
    <n v="0"/>
    <n v="0"/>
    <m/>
    <m/>
  </r>
  <r>
    <s v="Cassandra Log"/>
    <x v="0"/>
    <x v="0"/>
    <x v="55"/>
    <n v="0"/>
    <n v="0"/>
    <n v="42828661"/>
    <n v="0"/>
    <n v="0"/>
    <m/>
    <m/>
  </r>
  <r>
    <s v="Cassandra Log"/>
    <x v="0"/>
    <x v="0"/>
    <x v="56"/>
    <n v="0"/>
    <n v="0"/>
    <n v="44826543"/>
    <n v="0"/>
    <n v="0"/>
    <m/>
    <m/>
  </r>
  <r>
    <s v="Cassandra Log"/>
    <x v="0"/>
    <x v="0"/>
    <x v="57"/>
    <n v="45"/>
    <n v="175"/>
    <n v="96601201700"/>
    <n v="0"/>
    <n v="0"/>
    <m/>
    <m/>
  </r>
  <r>
    <s v="Cassandra Log"/>
    <x v="0"/>
    <x v="0"/>
    <x v="58"/>
    <m/>
    <m/>
    <m/>
    <m/>
    <m/>
    <m/>
    <m/>
  </r>
  <r>
    <s v="Cassandra Log"/>
    <x v="0"/>
    <x v="0"/>
    <x v="59"/>
    <n v="0"/>
    <n v="0"/>
    <n v="3486421"/>
    <n v="0"/>
    <n v="0"/>
    <m/>
    <m/>
  </r>
  <r>
    <s v="Cassandra Log"/>
    <x v="0"/>
    <x v="0"/>
    <x v="60"/>
    <n v="0"/>
    <n v="0"/>
    <n v="3212148"/>
    <n v="0"/>
    <n v="0"/>
    <m/>
    <m/>
  </r>
  <r>
    <s v="Cassandra Log"/>
    <x v="0"/>
    <x v="0"/>
    <x v="61"/>
    <n v="0"/>
    <n v="0"/>
    <n v="3352628"/>
    <n v="0"/>
    <n v="0"/>
    <m/>
    <m/>
  </r>
  <r>
    <s v="Cassandra Log"/>
    <x v="0"/>
    <x v="0"/>
    <x v="62"/>
    <n v="0"/>
    <n v="0"/>
    <n v="7224914051"/>
    <n v="0"/>
    <n v="0"/>
    <m/>
    <m/>
  </r>
  <r>
    <s v="Cassandra Log"/>
    <x v="0"/>
    <x v="0"/>
    <x v="63"/>
    <m/>
    <m/>
    <m/>
    <m/>
    <m/>
    <m/>
    <m/>
  </r>
  <r>
    <s v="Cassandra Log"/>
    <x v="0"/>
    <x v="0"/>
    <x v="64"/>
    <n v="0"/>
    <n v="0"/>
    <n v="18"/>
    <n v="0"/>
    <n v="0"/>
    <m/>
    <m/>
  </r>
  <r>
    <s v="Cassandra Log"/>
    <x v="0"/>
    <x v="0"/>
    <x v="65"/>
    <n v="0"/>
    <n v="0"/>
    <n v="6"/>
    <n v="0"/>
    <n v="0"/>
    <m/>
    <m/>
  </r>
  <r>
    <s v="Cassandra Log"/>
    <x v="0"/>
    <x v="0"/>
    <x v="66"/>
    <n v="0"/>
    <n v="0"/>
    <n v="14"/>
    <n v="0"/>
    <n v="0"/>
    <m/>
    <m/>
  </r>
  <r>
    <s v="Cassandra Log"/>
    <x v="0"/>
    <x v="0"/>
    <x v="67"/>
    <n v="0"/>
    <n v="0"/>
    <n v="30372"/>
    <n v="0"/>
    <n v="0"/>
    <m/>
    <m/>
  </r>
  <r>
    <s v="Cassandra Log"/>
    <x v="0"/>
    <x v="0"/>
    <x v="68"/>
    <m/>
    <m/>
    <m/>
    <m/>
    <m/>
    <m/>
    <m/>
  </r>
  <r>
    <s v="Cassandra Log"/>
    <x v="0"/>
    <x v="0"/>
    <x v="69"/>
    <n v="1"/>
    <n v="1"/>
    <n v="7356"/>
    <n v="0"/>
    <n v="0"/>
    <m/>
    <m/>
  </r>
  <r>
    <s v="Cassandra Log"/>
    <x v="0"/>
    <x v="0"/>
    <x v="70"/>
    <n v="0"/>
    <n v="0"/>
    <n v="6780"/>
    <n v="0"/>
    <n v="0"/>
    <m/>
    <m/>
  </r>
  <r>
    <s v="Cassandra Log"/>
    <x v="0"/>
    <x v="0"/>
    <x v="71"/>
    <n v="0"/>
    <n v="0"/>
    <n v="7069"/>
    <n v="0"/>
    <n v="0"/>
    <m/>
    <m/>
  </r>
  <r>
    <s v="Cassandra Log"/>
    <x v="0"/>
    <x v="0"/>
    <x v="72"/>
    <n v="19"/>
    <n v="19"/>
    <n v="15234400"/>
    <n v="0"/>
    <n v="0"/>
    <m/>
    <m/>
  </r>
  <r>
    <s v="Cassandra Log"/>
    <x v="0"/>
    <x v="0"/>
    <x v="73"/>
    <m/>
    <m/>
    <m/>
    <m/>
    <m/>
    <m/>
    <m/>
  </r>
  <r>
    <s v="Cassandra Log"/>
    <x v="0"/>
    <x v="0"/>
    <x v="74"/>
    <n v="0"/>
    <n v="0"/>
    <n v="5"/>
    <n v="0"/>
    <n v="0"/>
    <m/>
    <m/>
  </r>
  <r>
    <s v="Cassandra Log"/>
    <x v="0"/>
    <x v="0"/>
    <x v="75"/>
    <n v="0"/>
    <n v="0"/>
    <n v="5"/>
    <n v="0"/>
    <n v="0"/>
    <m/>
    <m/>
  </r>
  <r>
    <s v="Cassandra Log"/>
    <x v="0"/>
    <x v="0"/>
    <x v="76"/>
    <n v="0"/>
    <n v="0"/>
    <n v="5"/>
    <n v="0"/>
    <n v="0"/>
    <m/>
    <m/>
  </r>
  <r>
    <s v="Cassandra Log"/>
    <x v="0"/>
    <x v="0"/>
    <x v="77"/>
    <n v="0"/>
    <n v="0"/>
    <n v="10775"/>
    <n v="0"/>
    <n v="0"/>
    <m/>
    <m/>
  </r>
  <r>
    <s v="Cassandra Log"/>
    <x v="0"/>
    <x v="0"/>
    <x v="78"/>
    <m/>
    <m/>
    <m/>
    <m/>
    <m/>
    <m/>
    <m/>
  </r>
  <r>
    <s v="Cassandra Log"/>
    <x v="0"/>
    <x v="0"/>
    <x v="79"/>
    <n v="0"/>
    <n v="0"/>
    <n v="7356"/>
    <n v="0"/>
    <n v="0"/>
    <m/>
    <m/>
  </r>
  <r>
    <s v="Cassandra Log"/>
    <x v="0"/>
    <x v="0"/>
    <x v="80"/>
    <n v="0"/>
    <n v="0"/>
    <n v="6780"/>
    <n v="0"/>
    <n v="0"/>
    <m/>
    <m/>
  </r>
  <r>
    <s v="Cassandra Log"/>
    <x v="0"/>
    <x v="0"/>
    <x v="81"/>
    <n v="0"/>
    <n v="0"/>
    <n v="7069"/>
    <n v="0"/>
    <n v="0"/>
    <m/>
    <m/>
  </r>
  <r>
    <s v="Cassandra Log"/>
    <x v="0"/>
    <x v="0"/>
    <x v="82"/>
    <n v="0"/>
    <n v="0"/>
    <n v="15234400"/>
    <n v="0"/>
    <n v="0"/>
    <m/>
    <m/>
  </r>
  <r>
    <s v="Cassandra Log"/>
    <x v="0"/>
    <x v="0"/>
    <x v="83"/>
    <m/>
    <m/>
    <m/>
    <m/>
    <m/>
    <m/>
    <m/>
  </r>
  <r>
    <s v="Cassandra Log"/>
    <x v="0"/>
    <x v="0"/>
    <x v="84"/>
    <n v="1"/>
    <n v="2"/>
    <n v="37626"/>
    <n v="0"/>
    <n v="0"/>
    <m/>
    <m/>
  </r>
  <r>
    <s v="Cassandra Log"/>
    <x v="0"/>
    <x v="0"/>
    <x v="85"/>
    <n v="0"/>
    <n v="0"/>
    <n v="34684"/>
    <n v="0"/>
    <n v="0"/>
    <m/>
    <m/>
  </r>
  <r>
    <s v="Cassandra Log"/>
    <x v="0"/>
    <x v="0"/>
    <x v="86"/>
    <n v="0"/>
    <n v="0"/>
    <n v="36180"/>
    <n v="0"/>
    <n v="0"/>
    <m/>
    <m/>
  </r>
  <r>
    <s v="Cassandra Log"/>
    <x v="0"/>
    <x v="0"/>
    <x v="87"/>
    <n v="19"/>
    <n v="22"/>
    <n v="77968557"/>
    <n v="0"/>
    <n v="0"/>
    <m/>
    <m/>
  </r>
  <r>
    <s v="Cassandra Log"/>
    <x v="0"/>
    <x v="0"/>
    <x v="88"/>
    <m/>
    <m/>
    <m/>
    <m/>
    <m/>
    <m/>
    <m/>
  </r>
  <r>
    <s v="Cassandra Log"/>
    <x v="0"/>
    <x v="0"/>
    <x v="89"/>
    <n v="2"/>
    <n v="11"/>
    <n v="825851"/>
    <n v="0"/>
    <n v="0"/>
    <m/>
    <m/>
  </r>
  <r>
    <s v="Cassandra Log"/>
    <x v="0"/>
    <x v="0"/>
    <x v="90"/>
    <n v="0"/>
    <n v="0"/>
    <n v="760949"/>
    <n v="0"/>
    <n v="0"/>
    <m/>
    <m/>
  </r>
  <r>
    <s v="Cassandra Log"/>
    <x v="0"/>
    <x v="0"/>
    <x v="91"/>
    <n v="0"/>
    <n v="0"/>
    <n v="794121"/>
    <n v="0"/>
    <n v="0"/>
    <m/>
    <m/>
  </r>
  <r>
    <s v="Cassandra Log"/>
    <x v="0"/>
    <x v="0"/>
    <x v="92"/>
    <n v="36"/>
    <n v="115"/>
    <n v="1711330880"/>
    <n v="0"/>
    <n v="0"/>
    <m/>
    <m/>
  </r>
  <r>
    <s v="Cassandra Log"/>
    <x v="0"/>
    <x v="0"/>
    <x v="93"/>
    <m/>
    <m/>
    <m/>
    <m/>
    <m/>
    <m/>
    <m/>
  </r>
  <r>
    <s v="Cassandra Log"/>
    <x v="0"/>
    <x v="0"/>
    <x v="94"/>
    <n v="0"/>
    <n v="0"/>
    <n v="18"/>
    <n v="0"/>
    <n v="0"/>
    <m/>
    <m/>
  </r>
  <r>
    <s v="Cassandra Log"/>
    <x v="0"/>
    <x v="0"/>
    <x v="95"/>
    <n v="0"/>
    <n v="0"/>
    <n v="6"/>
    <n v="0"/>
    <n v="0"/>
    <m/>
    <m/>
  </r>
  <r>
    <s v="Cassandra Log"/>
    <x v="0"/>
    <x v="0"/>
    <x v="96"/>
    <n v="0"/>
    <n v="0"/>
    <n v="14"/>
    <n v="0"/>
    <n v="0"/>
    <m/>
    <m/>
  </r>
  <r>
    <s v="Cassandra Log"/>
    <x v="0"/>
    <x v="0"/>
    <x v="97"/>
    <n v="0"/>
    <n v="0"/>
    <n v="30372"/>
    <n v="0"/>
    <n v="0"/>
    <m/>
    <m/>
  </r>
  <r>
    <s v="Cassandra Log"/>
    <x v="0"/>
    <x v="0"/>
    <x v="98"/>
    <m/>
    <m/>
    <m/>
    <m/>
    <m/>
    <m/>
    <m/>
  </r>
  <r>
    <s v="Cassandra Log"/>
    <x v="0"/>
    <x v="0"/>
    <x v="99"/>
    <n v="0"/>
    <n v="0"/>
    <n v="24"/>
    <n v="0"/>
    <n v="0"/>
    <m/>
    <m/>
  </r>
  <r>
    <s v="Cassandra Log"/>
    <x v="0"/>
    <x v="0"/>
    <x v="100"/>
    <n v="0"/>
    <n v="0"/>
    <n v="24"/>
    <n v="0"/>
    <n v="0"/>
    <m/>
    <m/>
  </r>
  <r>
    <s v="Cassandra Log"/>
    <x v="0"/>
    <x v="0"/>
    <x v="101"/>
    <n v="0"/>
    <n v="0"/>
    <n v="24"/>
    <n v="0"/>
    <n v="0"/>
    <m/>
    <m/>
  </r>
  <r>
    <s v="Cassandra Log"/>
    <x v="0"/>
    <x v="0"/>
    <x v="102"/>
    <n v="0"/>
    <n v="0"/>
    <n v="51720"/>
    <n v="0"/>
    <n v="0"/>
    <m/>
    <m/>
  </r>
  <r>
    <s v="Cassandra Log"/>
    <x v="0"/>
    <x v="0"/>
    <x v="103"/>
    <m/>
    <m/>
    <m/>
    <m/>
    <m/>
    <m/>
    <m/>
  </r>
  <r>
    <s v="Cassandra Log"/>
    <x v="0"/>
    <x v="0"/>
    <x v="104"/>
    <m/>
    <m/>
    <m/>
    <m/>
    <m/>
    <m/>
    <n v="201"/>
  </r>
  <r>
    <s v="Cassandra Log"/>
    <x v="0"/>
    <x v="0"/>
    <x v="105"/>
    <m/>
    <m/>
    <m/>
    <m/>
    <m/>
    <m/>
    <n v="396"/>
  </r>
  <r>
    <s v="Cassandra Log"/>
    <x v="0"/>
    <x v="0"/>
    <x v="106"/>
    <m/>
    <m/>
    <m/>
    <m/>
    <m/>
    <m/>
    <n v="240"/>
  </r>
  <r>
    <s v="Cassandra Log"/>
    <x v="0"/>
    <x v="0"/>
    <x v="107"/>
    <m/>
    <m/>
    <m/>
    <m/>
    <m/>
    <m/>
    <m/>
  </r>
  <r>
    <s v="Cassandra Log"/>
    <x v="0"/>
    <x v="0"/>
    <x v="108"/>
    <n v="1"/>
    <n v="0"/>
    <n v="9765848"/>
    <n v="0"/>
    <n v="0"/>
    <m/>
    <m/>
  </r>
  <r>
    <s v="Cassandra Log"/>
    <x v="0"/>
    <x v="0"/>
    <x v="109"/>
    <n v="0"/>
    <n v="0"/>
    <n v="9121895"/>
    <n v="0"/>
    <n v="0"/>
    <m/>
    <m/>
  </r>
  <r>
    <s v="Cassandra Log"/>
    <x v="0"/>
    <x v="0"/>
    <x v="110"/>
    <n v="0"/>
    <n v="0"/>
    <n v="9456449"/>
    <n v="0"/>
    <n v="0"/>
    <m/>
    <m/>
  </r>
  <r>
    <s v="Cassandra Log"/>
    <x v="0"/>
    <x v="0"/>
    <x v="111"/>
    <n v="28"/>
    <n v="0"/>
    <n v="20378648728"/>
    <n v="0"/>
    <n v="0"/>
    <m/>
    <m/>
  </r>
  <r>
    <s v="Cassandra Log"/>
    <x v="0"/>
    <x v="0"/>
    <x v="112"/>
    <m/>
    <m/>
    <m/>
    <m/>
    <m/>
    <m/>
    <m/>
  </r>
  <r>
    <s v="Cassandra Log"/>
    <x v="0"/>
    <x v="0"/>
    <x v="113"/>
    <m/>
    <m/>
    <m/>
    <m/>
    <m/>
    <m/>
    <n v="1161690624"/>
  </r>
  <r>
    <s v="Cassandra Log"/>
    <x v="0"/>
    <x v="0"/>
    <x v="114"/>
    <m/>
    <m/>
    <m/>
    <m/>
    <m/>
    <m/>
    <n v="1890334750"/>
  </r>
  <r>
    <s v="Cassandra Log"/>
    <x v="0"/>
    <x v="0"/>
    <x v="115"/>
    <m/>
    <m/>
    <m/>
    <m/>
    <m/>
    <m/>
    <n v="1526012687"/>
  </r>
  <r>
    <s v="Cassandra Log"/>
    <x v="0"/>
    <x v="0"/>
    <x v="116"/>
    <m/>
    <m/>
    <m/>
    <m/>
    <m/>
    <m/>
    <m/>
  </r>
  <r>
    <s v="Cassandra Log"/>
    <x v="0"/>
    <x v="0"/>
    <x v="117"/>
    <m/>
    <m/>
    <m/>
    <m/>
    <m/>
    <m/>
    <m/>
  </r>
  <r>
    <s v="Cassandra Log"/>
    <x v="0"/>
    <x v="0"/>
    <x v="118"/>
    <m/>
    <m/>
    <m/>
    <m/>
    <m/>
    <m/>
    <m/>
  </r>
  <r>
    <s v="Cassandra Log"/>
    <x v="0"/>
    <x v="0"/>
    <x v="119"/>
    <m/>
    <m/>
    <m/>
    <m/>
    <m/>
    <n v="12"/>
    <m/>
  </r>
  <r>
    <s v="Cassandra Log"/>
    <x v="0"/>
    <x v="0"/>
    <x v="120"/>
    <m/>
    <m/>
    <m/>
    <m/>
    <m/>
    <n v="8"/>
    <m/>
  </r>
  <r>
    <s v="Cassandra Log"/>
    <x v="0"/>
    <x v="0"/>
    <x v="121"/>
    <m/>
    <m/>
    <m/>
    <m/>
    <m/>
    <n v="6"/>
    <m/>
  </r>
  <r>
    <s v="Cassandra Log"/>
    <x v="0"/>
    <x v="0"/>
    <x v="122"/>
    <m/>
    <m/>
    <m/>
    <m/>
    <m/>
    <n v="4"/>
    <m/>
  </r>
  <r>
    <s v="Cassandra Log"/>
    <x v="0"/>
    <x v="0"/>
    <x v="123"/>
    <m/>
    <m/>
    <m/>
    <m/>
    <m/>
    <m/>
    <m/>
  </r>
  <r>
    <s v="Cassandra Log"/>
    <x v="0"/>
    <x v="0"/>
    <x v="124"/>
    <m/>
    <m/>
    <m/>
    <m/>
    <m/>
    <m/>
    <m/>
  </r>
  <r>
    <s v="Cassandra Log"/>
    <x v="0"/>
    <x v="0"/>
    <x v="125"/>
    <m/>
    <m/>
    <m/>
    <m/>
    <m/>
    <m/>
    <m/>
  </r>
  <r>
    <s v="Cassandra Log"/>
    <x v="0"/>
    <x v="0"/>
    <x v="126"/>
    <m/>
    <m/>
    <m/>
    <m/>
    <m/>
    <m/>
    <m/>
  </r>
  <r>
    <s v="Cassandra Log"/>
    <x v="0"/>
    <x v="0"/>
    <x v="127"/>
    <m/>
    <m/>
    <m/>
    <m/>
    <m/>
    <m/>
    <m/>
  </r>
  <r>
    <s v="Cassandra Log"/>
    <x v="0"/>
    <x v="0"/>
    <x v="128"/>
    <m/>
    <m/>
    <m/>
    <m/>
    <m/>
    <m/>
    <m/>
  </r>
  <r>
    <s v="Cassandra Log"/>
    <x v="0"/>
    <x v="0"/>
    <x v="129"/>
    <m/>
    <m/>
    <m/>
    <m/>
    <m/>
    <n v="12"/>
    <m/>
  </r>
  <r>
    <s v="Cassandra Log"/>
    <x v="0"/>
    <x v="0"/>
    <x v="130"/>
    <m/>
    <m/>
    <m/>
    <m/>
    <m/>
    <n v="8"/>
    <m/>
  </r>
  <r>
    <s v="Cassandra Log"/>
    <x v="0"/>
    <x v="0"/>
    <x v="131"/>
    <m/>
    <m/>
    <m/>
    <m/>
    <m/>
    <n v="6"/>
    <m/>
  </r>
  <r>
    <s v="Cassandra Log"/>
    <x v="0"/>
    <x v="0"/>
    <x v="132"/>
    <m/>
    <m/>
    <m/>
    <m/>
    <m/>
    <n v="4"/>
    <m/>
  </r>
  <r>
    <s v="Cassandra Log"/>
    <x v="0"/>
    <x v="0"/>
    <x v="133"/>
    <m/>
    <m/>
    <m/>
    <m/>
    <m/>
    <m/>
    <m/>
  </r>
  <r>
    <m/>
    <x v="1"/>
    <x v="1"/>
    <x v="134"/>
    <m/>
    <m/>
    <m/>
    <m/>
    <m/>
    <m/>
    <m/>
  </r>
</pivotCacheRecords>
</file>

<file path=xl/pivotCache/pivotCacheRecords3.xml><?xml version="1.0" encoding="utf-8"?>
<pivotCacheRecords xmlns="http://schemas.openxmlformats.org/spreadsheetml/2006/main" xmlns:r="http://schemas.openxmlformats.org/officeDocument/2006/relationships" count="135">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2"/>
    <x v="1"/>
    <x v="1"/>
    <x v="134"/>
    <m/>
    <m/>
    <m/>
    <m/>
    <m/>
    <m/>
    <m/>
    <m/>
  </r>
</pivotCacheRecords>
</file>

<file path=xl/pivotCache/pivotCacheRecords4.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055.2689999999998"/>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3"/>
    <x v="0"/>
    <x v="0"/>
    <x v="0"/>
    <x v="1"/>
    <x v="67"/>
    <n v="7"/>
    <m/>
    <m/>
    <x v="1"/>
    <n v="7"/>
  </r>
  <r>
    <x v="3"/>
    <x v="0"/>
    <x v="0"/>
    <x v="0"/>
    <x v="1"/>
    <x v="68"/>
    <n v="3"/>
    <m/>
    <m/>
    <x v="1"/>
    <n v="3"/>
  </r>
  <r>
    <x v="3"/>
    <x v="0"/>
    <x v="0"/>
    <x v="0"/>
    <x v="1"/>
    <x v="69"/>
    <n v="2"/>
    <m/>
    <m/>
    <x v="1"/>
    <n v="2"/>
  </r>
  <r>
    <x v="3"/>
    <x v="0"/>
    <x v="0"/>
    <x v="0"/>
    <x v="1"/>
    <x v="70"/>
    <n v="1"/>
    <m/>
    <m/>
    <x v="1"/>
    <n v="1"/>
  </r>
  <r>
    <x v="3"/>
    <x v="0"/>
    <x v="0"/>
    <x v="0"/>
    <x v="1"/>
    <x v="71"/>
    <n v="6"/>
    <m/>
    <m/>
    <x v="1"/>
    <n v="6"/>
  </r>
  <r>
    <x v="3"/>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5.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LocalReadCountbyTabl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TLocalReadLatencyMaxbyTabl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TPReadCntMax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6">
        <item h="1" x="134"/>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2"/>
        <item h="1" m="1" x="141"/>
        <item h="1" m="1" x="136"/>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LocalReadCount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7"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LocalReadLatencyMax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TTPReadNbr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6">
        <item h="1" x="134"/>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2"/>
        <item h="1" m="1" x="141"/>
        <item h="1" m="1" x="136"/>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TLocalWriteCountbyTabl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TLocalWriteLatencyMaxbyTabl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LocalWriteLatency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TLocalWriteCount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TPWriteNbr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6">
        <item h="1" x="134"/>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2"/>
        <item h="1" m="1" x="141"/>
        <item h="1" m="1" x="136"/>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TPWriteCntMaxin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6">
        <item h="1" x="134"/>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2"/>
        <item h="1" m="1" x="141"/>
        <item h="1" m="1" x="136"/>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MaxTombStonesSlicebyTabl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AvgTombStonesbyTabl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MaxTombStonesbyTabl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40"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NbrTombStonesWarningsbyTabl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MaxTombStonesSlice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NbrTombStonesWarnings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MaxTombStones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40"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AvgNbrTombStones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6">
        <item x="134"/>
        <item x="0"/>
        <item x="1"/>
        <item x="2"/>
        <item x="3"/>
        <item x="4"/>
        <item x="5"/>
        <item x="6"/>
        <item x="7"/>
        <item x="8"/>
        <item x="9"/>
        <item x="10"/>
        <item x="11"/>
        <item x="12"/>
        <item x="13"/>
        <item x="14"/>
        <item x="15"/>
        <item x="16"/>
        <item x="17"/>
        <item x="18"/>
        <item x="19"/>
        <item x="20"/>
        <item x="21"/>
        <item x="22"/>
        <item x="23"/>
        <item x="24"/>
        <item x="25"/>
        <item x="26"/>
        <item x="27"/>
        <item x="28"/>
        <item x="29"/>
        <item m="1" x="142"/>
        <item m="1" x="141"/>
        <item m="1" x="136"/>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9" hier="-1"/>
  </pageFields>
  <dataFields count="2">
    <dataField name="Avg Query Latency (ms)" fld="10" subtotal="max" baseField="2" baseItem="0"/>
    <dataField name="Avg StdDev Across Nodes" fld="10" subtotal="stdDevp" baseField="2" baseItem="0" numFmtId="3"/>
  </dataFields>
  <formats count="1">
    <format dxfId="310">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6">
        <item x="134"/>
        <item x="0"/>
        <item x="1"/>
        <item x="2"/>
        <item x="3"/>
        <item x="4"/>
        <item x="5"/>
        <item x="6"/>
        <item x="7"/>
        <item x="8"/>
        <item x="9"/>
        <item x="10"/>
        <item x="11"/>
        <item x="12"/>
        <item x="13"/>
        <item x="14"/>
        <item x="15"/>
        <item x="16"/>
        <item x="17"/>
        <item x="18"/>
        <item x="19"/>
        <item x="20"/>
        <item x="21"/>
        <item x="22"/>
        <item x="23"/>
        <item x="24"/>
        <item x="25"/>
        <item x="26"/>
        <item x="27"/>
        <item x="28"/>
        <item x="29"/>
        <item m="1" x="142"/>
        <item m="1" x="141"/>
        <item m="1" x="136"/>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8" hier="-1"/>
  </pageFields>
  <dataFields count="2">
    <dataField name="Max Query latency (ms)" fld="10" subtotal="max" baseField="2" baseItem="0"/>
    <dataField name="Max StdDev Across Nodes" fld="10" subtotal="stdDevp" baseField="2" baseItem="0"/>
  </dataFields>
  <formats count="1">
    <format dxfId="311">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9"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4"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8"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72"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TSlowQueryOccurrences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6">
        <item x="134"/>
        <item x="0"/>
        <item x="1"/>
        <item x="2"/>
        <item x="3"/>
        <item x="4"/>
        <item x="5"/>
        <item x="6"/>
        <item x="7"/>
        <item x="8"/>
        <item x="9"/>
        <item x="10"/>
        <item x="11"/>
        <item x="12"/>
        <item x="13"/>
        <item x="14"/>
        <item x="15"/>
        <item x="16"/>
        <item x="17"/>
        <item x="18"/>
        <item x="19"/>
        <item x="20"/>
        <item x="21"/>
        <item x="22"/>
        <item x="23"/>
        <item x="24"/>
        <item x="25"/>
        <item x="26"/>
        <item x="27"/>
        <item x="28"/>
        <item x="29"/>
        <item m="1" x="142"/>
        <item m="1" x="141"/>
        <item m="1" x="136"/>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s>
  <rowFields count="1">
    <field x="2"/>
  </rowFields>
  <rowItems count="2">
    <i>
      <x/>
    </i>
    <i t="grand">
      <x/>
    </i>
  </rowItems>
  <colItems count="1">
    <i/>
  </colItems>
  <pageFields count="2">
    <pageField fld="1" hier="-1"/>
    <pageField fld="3" item="108"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TTPReadRepairMax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x="15"/>
        <item h="1" x="26"/>
        <item h="1" x="9"/>
        <item h="1" x="11"/>
        <item h="1" x="12"/>
        <item h="1" x="25"/>
        <item h="1" x="4"/>
        <item h="1" m="1" x="141"/>
        <item h="1" m="1" x="136"/>
        <item h="1" m="1" x="142"/>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dataField="1" showAll="0"/>
    <pivotField dataField="1" showAll="0"/>
    <pivotField showAll="0"/>
    <pivotField showAll="0"/>
    <pivotField showAll="0"/>
    <pivotField showAll="0"/>
    <pivotField showAl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TTPReadRepairDigestQryMax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41"/>
        <item h="1" m="1" x="136"/>
        <item h="1" m="1" x="142"/>
        <item h="1" x="8"/>
        <item h="1" x="7"/>
        <item h="1" x="10"/>
        <item h="1" x="18"/>
        <item h="1" x="19"/>
        <item h="1" x="20"/>
        <item h="1" x="14"/>
        <item h="1" x="5"/>
        <item h="1" x="24"/>
        <item h="1" x="0"/>
        <item h="1" x="28"/>
        <item h="1" x="16"/>
        <item h="1" x="22"/>
        <item h="1" x="21"/>
        <item h="1" x="29"/>
        <item x="3"/>
        <item h="1" x="1"/>
        <item h="1" x="27"/>
        <item h="1" x="2"/>
        <item h="1" x="17"/>
        <item h="1" x="13"/>
        <item h="1" x="134"/>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dataField="1" showAll="0"/>
    <pivotField dataField="1" showAll="0"/>
    <pivotField showAll="0"/>
    <pivotField showAll="0"/>
    <pivotField showAll="0"/>
    <pivotField showAll="0"/>
    <pivotField showAl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TTPReadRepairDigestQryNbrbyNode"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h="1" x="28"/>
        <item h="1" x="16"/>
        <item h="1" x="22"/>
        <item h="1" x="21"/>
        <item h="1" x="29"/>
        <item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dataField="1" showAll="0"/>
    <pivotField dataField="1" showAll="0"/>
    <pivotField dataField="1" showAll="0"/>
    <pivotField showAll="0"/>
    <pivotField showAl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NbrbyNode"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x="15"/>
        <item h="1" x="26"/>
        <item h="1" x="9"/>
        <item h="1" x="11"/>
        <item h="1" x="12"/>
        <item h="1" x="25"/>
        <item h="1" x="4"/>
        <item h="1" m="1" x="136"/>
        <item h="1" m="1" x="135"/>
        <item h="1" m="1" x="137"/>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dataField="1" showAll="0"/>
    <pivotField dataField="1" showAll="0"/>
    <pivotField dataField="1" showAll="0"/>
    <pivotField showAll="0"/>
    <pivotField showAl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299">
      <pivotArea dataOnly="0" labelOnly="1" outline="0" fieldPosition="0">
        <references count="1">
          <reference field="4294967294" count="1">
            <x v="1"/>
          </reference>
        </references>
      </pivotArea>
    </format>
    <format dxfId="298">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13"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4" hier="-1"/>
  </pageFields>
  <dataFields count="1">
    <dataField name="Nbr Warnings" fld="6" baseField="3" baseItem="27" numFmtId="3"/>
  </dataFields>
  <formats count="3">
    <format dxfId="302">
      <pivotArea dataOnly="0" labelOnly="1" outline="0" axis="axisValues" fieldPosition="0"/>
    </format>
    <format dxfId="301">
      <pivotArea dataOnly="0" outline="0" axis="axisValues" fieldPosition="0"/>
    </format>
    <format dxfId="30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12"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9" hier="-1"/>
  </pageFields>
  <dataFields count="1">
    <dataField name="Average Size in MB" fld="8" subtotal="average" baseField="3" baseItem="27" numFmtId="4"/>
  </dataFields>
  <formats count="1">
    <format dxfId="30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7" hier="-1"/>
  </pageFields>
  <dataFields count="1">
    <dataField name="Max Size in MB" fld="8" subtotal="max" baseField="4" baseItem="0"/>
  </dataFields>
  <formats count="1">
    <format dxfId="304">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06">
      <pivotArea dataOnly="0" labelOnly="1" outline="0" fieldPosition="0">
        <references count="1">
          <reference field="4294967294" count="1">
            <x v="0"/>
          </reference>
        </references>
      </pivotArea>
    </format>
    <format dxfId="30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08">
      <pivotArea dataOnly="0" labelOnly="1" outline="0" fieldPosition="0">
        <references count="1">
          <reference field="4294967294" count="1">
            <x v="0"/>
          </reference>
        </references>
      </pivotArea>
    </format>
    <format dxfId="30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0"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7" hier="-1"/>
  </pageFields>
  <dataFields count="1">
    <dataField name="Max Size in MB" fld="8" subtotal="max" baseField="3" baseItem="19" numFmtId="4"/>
  </dataFields>
  <formats count="1">
    <format dxfId="309">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287">
      <pivotArea dataOnly="0" labelOnly="1" outline="0" fieldPosition="0">
        <references count="1">
          <reference field="4294967294" count="1">
            <x v="0"/>
          </reference>
        </references>
      </pivotArea>
    </format>
    <format dxfId="28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10"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7" hier="-1"/>
  </pageFields>
  <dataFields count="1">
    <dataField name="Max of Size in MB" fld="8" subtotal="max" baseField="3" baseItem="19" numFmtId="4"/>
  </dataFields>
  <formats count="1">
    <format dxfId="288">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13"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4" hier="-1"/>
  </pageFields>
  <dataFields count="1">
    <dataField name="Nbr Warnings" fld="6" baseField="3" baseItem="27" numFmtId="3"/>
  </dataFields>
  <formats count="3">
    <format dxfId="291">
      <pivotArea dataOnly="0" labelOnly="1" outline="0" axis="axisValues" fieldPosition="0"/>
    </format>
    <format dxfId="290">
      <pivotArea dataOnly="0" outline="0" axis="axisValues" fieldPosition="0"/>
    </format>
    <format dxfId="28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2"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9" hier="-1"/>
  </pageFields>
  <dataFields count="1">
    <dataField name="Average of Size in MB" fld="8" subtotal="average" baseField="3" baseItem="27" numFmtId="4"/>
  </dataFields>
  <formats count="1">
    <format dxfId="29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294">
      <pivotArea dataOnly="0" labelOnly="1" outline="0" fieldPosition="0">
        <references count="1">
          <reference field="4294967294" count="1">
            <x v="1"/>
          </reference>
        </references>
      </pivotArea>
    </format>
    <format dxfId="293">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296">
      <pivotArea dataOnly="0" labelOnly="1" outline="0" fieldPosition="0">
        <references count="1">
          <reference field="4294967294" count="1">
            <x v="1"/>
          </reference>
        </references>
      </pivotArea>
    </format>
    <format dxfId="295">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7" hier="-1"/>
  </pageFields>
  <dataFields count="1">
    <dataField name="Max of Size in MB" fld="8" subtotal="max" baseField="3" baseItem="19" numFmtId="4"/>
  </dataFields>
  <formats count="1">
    <format dxfId="297">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2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41"/>
        <item m="1" x="136"/>
        <item m="1" x="142"/>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item="34"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2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36"/>
        <item n="GC mean latency" m="1" x="135"/>
        <item m="1" x="137"/>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42"/>
        <item m="1" x="141"/>
        <item m="1" x="143"/>
        <item x="107"/>
        <item x="108"/>
        <item x="109"/>
        <item x="110"/>
        <item x="111"/>
        <item x="112"/>
        <item x="30"/>
        <item x="31"/>
        <item n="GC mean latency2" x="32"/>
        <item x="104"/>
        <item x="105"/>
        <item x="106"/>
        <item m="1" x="140"/>
        <item m="1" x="139"/>
        <item m="1" x="144"/>
        <item m="1" x="138"/>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dataField="1" showAll="0"/>
  </pivotFields>
  <rowFields count="1">
    <field x="2"/>
  </rowFields>
  <rowItems count="2">
    <i>
      <x/>
    </i>
    <i t="grand">
      <x/>
    </i>
  </rowItems>
  <colItems count="1">
    <i/>
  </colItems>
  <pageFields count="2">
    <pageField fld="1" hier="-1"/>
    <pageField fld="3" item="116"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19"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n="GC maximum latency" m="1" x="136"/>
        <item m="1" x="135"/>
        <item m="1" x="137"/>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42"/>
        <item m="1" x="141"/>
        <item m="1" x="143"/>
        <item x="107"/>
        <item x="108"/>
        <item x="109"/>
        <item x="110"/>
        <item x="111"/>
        <item x="112"/>
        <item x="30"/>
        <item n="GC maximum latency2" x="31"/>
        <item x="32"/>
        <item x="104"/>
        <item x="105"/>
        <item x="106"/>
        <item m="1" x="140"/>
        <item m="1" x="139"/>
        <item m="1" x="144"/>
        <item m="1" x="138"/>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dataField="1" showAll="0"/>
  </pivotFields>
  <rowFields count="1">
    <field x="2"/>
  </rowFields>
  <rowItems count="2">
    <i>
      <x/>
    </i>
    <i t="grand">
      <x/>
    </i>
  </rowItems>
  <colItems count="1">
    <i/>
  </colItems>
  <pageFields count="2">
    <pageField fld="1" hier="-1"/>
    <pageField fld="3" item="115"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9"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41"/>
        <item m="1" x="136"/>
        <item m="1" x="142"/>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item="12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41"/>
        <item m="1" x="136"/>
        <item m="1" x="142"/>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item="12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15"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41"/>
        <item m="1" x="136"/>
        <item m="1" x="142"/>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item="12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41"/>
        <item m="1" x="136"/>
        <item m="1" x="142"/>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item="13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10"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Items count="1">
    <i/>
  </colItems>
  <pageFields count="3">
    <pageField fld="1" hier="-1"/>
    <pageField fld="3" hier="-1"/>
    <pageField fld="5" item="48"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9"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Items count="1">
    <i/>
  </colItems>
  <pageFields count="3">
    <pageField fld="1" hier="-1"/>
    <pageField fld="3" hier="-1"/>
    <pageField fld="5" item="47"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8"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Items count="1">
    <i/>
  </colItems>
  <pageFields count="3">
    <pageField fld="1" hier="-1"/>
    <pageField fld="3" hier="-1"/>
    <pageField fld="5" item="46"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n="Compaction mean latency" m="1" x="74"/>
        <item x="36"/>
        <item x="37"/>
        <item x="38"/>
        <item x="39"/>
        <item x="40"/>
        <item x="41"/>
        <item x="42"/>
        <item x="43"/>
        <item x="44"/>
        <item x="45"/>
        <item x="46"/>
        <item x="47"/>
        <item x="48"/>
        <item x="49"/>
        <item x="50"/>
        <item x="51"/>
        <item x="52"/>
        <item x="53"/>
        <item x="54"/>
        <item x="33"/>
        <item x="34"/>
        <item n="Compaction mean latency2"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Items count="1">
    <i/>
  </colItems>
  <pageFields count="3">
    <pageField fld="1" hier="-1"/>
    <pageField fld="3" hier="-1"/>
    <pageField fld="5" item="58"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n="Compaction maximum latency" m="1" x="76"/>
        <item m="1" x="77"/>
        <item m="1" x="74"/>
        <item x="36"/>
        <item x="37"/>
        <item x="38"/>
        <item x="39"/>
        <item x="40"/>
        <item x="41"/>
        <item x="42"/>
        <item x="43"/>
        <item x="44"/>
        <item x="45"/>
        <item x="46"/>
        <item x="47"/>
        <item x="48"/>
        <item x="49"/>
        <item x="50"/>
        <item x="51"/>
        <item x="52"/>
        <item x="53"/>
        <item x="54"/>
        <item n="Compaction maximum latency2"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Fields count="1">
    <field x="-2"/>
  </colFields>
  <colItems count="2">
    <i>
      <x/>
    </i>
    <i i="1">
      <x v="1"/>
    </i>
  </colItems>
  <pageFields count="3">
    <pageField fld="1" hier="-1"/>
    <pageField fld="3" hier="-1"/>
    <pageField fld="5" item="56"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7"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Items count="1">
    <i/>
  </colItems>
  <pageFields count="3">
    <pageField fld="1" hier="-1"/>
    <pageField fld="3" hier="-1"/>
    <pageField fld="5" item="43"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9"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Items count="1">
    <i/>
  </colItems>
  <pageFields count="4">
    <pageField fld="1" hier="-1"/>
    <pageField fld="3" hier="-1"/>
    <pageField fld="4" hier="-1"/>
    <pageField fld="5" item="47"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10"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Items count="1">
    <i/>
  </colItems>
  <pageFields count="4">
    <pageField fld="1" hier="-1"/>
    <pageField fld="3" hier="-1"/>
    <pageField fld="4" hier="-1"/>
    <pageField fld="5" item="48"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7"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Items count="1">
    <i/>
  </colItems>
  <pageFields count="4">
    <pageField fld="1" hier="-1"/>
    <pageField fld="3" hier="-1"/>
    <pageField fld="4" hier="-1"/>
    <pageField fld="5" item="43"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n="Compaction maximum latency" m="1" x="76"/>
        <item m="1" x="77"/>
        <item m="1" x="74"/>
        <item x="36"/>
        <item x="37"/>
        <item x="38"/>
        <item x="39"/>
        <item x="40"/>
        <item x="41"/>
        <item x="42"/>
        <item x="43"/>
        <item x="44"/>
        <item x="45"/>
        <item x="46"/>
        <item x="47"/>
        <item x="48"/>
        <item x="49"/>
        <item x="50"/>
        <item x="51"/>
        <item x="52"/>
        <item x="53"/>
        <item x="54"/>
        <item n="Compaction maximum latency2"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Fields count="1">
    <field x="-2"/>
  </colFields>
  <colItems count="2">
    <i>
      <x/>
    </i>
    <i i="1">
      <x v="1"/>
    </i>
  </colItems>
  <pageFields count="4">
    <pageField fld="1" hier="-1"/>
    <pageField fld="3" hier="-1"/>
    <pageField fld="4" hier="-1"/>
    <pageField fld="5" item="56"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n="Compaction mean latency" m="1" x="74"/>
        <item x="36"/>
        <item x="37"/>
        <item x="38"/>
        <item x="39"/>
        <item x="40"/>
        <item x="41"/>
        <item x="42"/>
        <item x="43"/>
        <item x="44"/>
        <item x="45"/>
        <item x="46"/>
        <item x="47"/>
        <item x="48"/>
        <item x="49"/>
        <item x="50"/>
        <item x="51"/>
        <item x="52"/>
        <item x="53"/>
        <item x="54"/>
        <item x="33"/>
        <item x="34"/>
        <item n="Compaction mean latency2"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Items count="1">
    <i/>
  </colItems>
  <pageFields count="4">
    <pageField fld="1" hier="-1"/>
    <pageField fld="3" hier="-1"/>
    <pageField fld="4" hier="-1"/>
    <pageField fld="5" item="58"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8"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Items count="1">
    <i/>
  </colItems>
  <pageFields count="4">
    <pageField fld="1" hier="-1"/>
    <pageField fld="3" hier="-1"/>
    <pageField fld="4" hier="-1"/>
    <pageField fld="5" item="46"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41"/>
        <item h="1" m="1" x="136"/>
        <item h="1" m="1" x="142"/>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1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36"/>
        <item m="1" x="135"/>
        <item m="1" x="137"/>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42"/>
        <item m="1" x="141"/>
        <item m="1" x="143"/>
        <item x="107"/>
        <item x="108"/>
        <item x="109"/>
        <item x="110"/>
        <item x="111"/>
        <item x="112"/>
        <item x="30"/>
        <item x="31"/>
        <item x="32"/>
        <item x="104"/>
        <item x="105"/>
        <item x="106"/>
        <item m="1" x="140"/>
        <item m="1" x="139"/>
        <item m="1" x="144"/>
        <item m="1" x="138"/>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item="25"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12"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36"/>
        <item m="1" x="135"/>
        <item m="1" x="137"/>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42"/>
        <item m="1" x="141"/>
        <item m="1" x="143"/>
        <item x="107"/>
        <item x="108"/>
        <item x="109"/>
        <item x="110"/>
        <item x="111"/>
        <item x="112"/>
        <item x="30"/>
        <item x="31"/>
        <item x="32"/>
        <item x="104"/>
        <item x="105"/>
        <item x="106"/>
        <item m="1" x="140"/>
        <item m="1" x="139"/>
        <item m="1" x="144"/>
        <item m="1" x="138"/>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item="26"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17"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x="119"/>
        <item h="1" x="120"/>
        <item h="1" x="121"/>
        <item h="1" x="122"/>
        <item h="1" x="123"/>
        <item h="1" x="124"/>
        <item h="1" x="125"/>
        <item h="1" x="126"/>
        <item h="1" x="127"/>
        <item h="1" x="128"/>
        <item h="1"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18"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h="1" x="28"/>
        <item h="1" x="16"/>
        <item h="1" x="22"/>
        <item h="1" x="21"/>
        <item h="1" x="29"/>
        <item h="1" x="3"/>
        <item h="1" x="1"/>
        <item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1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x="25"/>
        <item h="1" x="4"/>
        <item h="1" m="1" x="136"/>
        <item h="1" m="1" x="135"/>
        <item h="1" m="1" x="137"/>
        <item h="1" x="8"/>
        <item h="1" x="7"/>
        <item h="1" x="10"/>
        <item h="1" x="18"/>
        <item h="1" x="19"/>
        <item h="1" x="20"/>
        <item h="1" x="14"/>
        <item h="1" x="5"/>
        <item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41"/>
        <item h="1" m="1" x="136"/>
        <item h="1" m="1" x="142"/>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x="123"/>
        <item h="1" x="124"/>
        <item h="1" x="125"/>
        <item h="1" x="126"/>
        <item h="1" x="127"/>
        <item h="1" x="128"/>
        <item h="1" x="129"/>
        <item h="1" x="130"/>
        <item h="1" x="131"/>
        <item h="1" x="132"/>
        <item h="1"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15"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h="1" x="28"/>
        <item h="1" x="16"/>
        <item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283">
      <pivotArea dataOnly="0" labelOnly="1" outline="0" fieldPosition="0">
        <references count="1">
          <reference field="4294967294" count="1">
            <x v="0"/>
          </reference>
        </references>
      </pivotArea>
    </format>
    <format dxfId="28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285">
      <pivotArea dataOnly="0" labelOnly="1" outline="0" fieldPosition="0">
        <references count="1">
          <reference field="4294967294" count="1">
            <x v="0"/>
          </reference>
        </references>
      </pivotArea>
    </format>
    <format dxfId="28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71"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7" hier="-1"/>
  </pageFields>
  <dataFields count="1">
    <dataField name="Unlogged Batches Total Partitions" fld="6" subtotal="max" baseField="4" baseItem="1" numFmtId="3"/>
  </dataFields>
  <formats count="3">
    <format dxfId="274">
      <pivotArea dataOnly="0" labelOnly="1" outline="0" axis="axisValues" fieldPosition="0"/>
    </format>
    <format dxfId="273">
      <pivotArea dataOnly="0" outline="0" axis="axisValues" fieldPosition="0"/>
    </format>
    <format dxfId="27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9" hier="-1"/>
  </pageFields>
  <dataFields count="1">
    <dataField name="Unlogged Batches Average Partitions across Nodes" fld="6" subtotal="average" baseField="4" baseItem="1" numFmtId="3"/>
  </dataFields>
  <formats count="2">
    <format dxfId="276">
      <pivotArea dataOnly="0" labelOnly="1" outline="0" axis="axisValues" fieldPosition="0"/>
    </format>
    <format dxfId="27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4" hier="-1"/>
  </pageFields>
  <dataFields count="1">
    <dataField name="Average Nbr of Batches across Occurrences" fld="6" subtotal="average" baseField="4" baseItem="1" numFmtId="3"/>
  </dataFields>
  <formats count="2">
    <format dxfId="278">
      <pivotArea dataOnly="0" labelOnly="1" outline="0" axis="axisValues" fieldPosition="0"/>
    </format>
    <format dxfId="27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2" hier="-1"/>
  </pageFields>
  <dataFields count="1">
    <dataField name="Max Nbr Batches per Occurrence" fld="6" subtotal="max" baseField="4" baseItem="1" numFmtId="3"/>
  </dataFields>
  <formats count="3">
    <format dxfId="281">
      <pivotArea dataOnly="0" labelOnly="1" outline="0" axis="axisValues" fieldPosition="0"/>
    </format>
    <format dxfId="280">
      <pivotArea dataOnly="0" outline="0" axis="axisValues" fieldPosition="0"/>
    </format>
    <format dxfId="27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5"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49">
      <pivotArea outline="0" collapsedLevelsAreSubtotals="1" fieldPosition="0">
        <references count="1">
          <reference field="4294967294" count="1" selected="0">
            <x v="3"/>
          </reference>
        </references>
      </pivotArea>
    </format>
    <format dxfId="248">
      <pivotArea dataOnly="0" labelOnly="1" outline="0" fieldPosition="0">
        <references count="1">
          <reference field="4294967294" count="1">
            <x v="3"/>
          </reference>
        </references>
      </pivotArea>
    </format>
    <format dxfId="247">
      <pivotArea outline="0" collapsedLevelsAreSubtotals="1" fieldPosition="0">
        <references count="1">
          <reference field="4294967294" count="1" selected="0">
            <x v="6"/>
          </reference>
        </references>
      </pivotArea>
    </format>
    <format dxfId="246">
      <pivotArea dataOnly="0" labelOnly="1" outline="0" fieldPosition="0">
        <references count="1">
          <reference field="4294967294" count="1">
            <x v="6"/>
          </reference>
        </references>
      </pivotArea>
    </format>
    <format dxfId="245">
      <pivotArea outline="0" collapsedLevelsAreSubtotals="1" fieldPosition="0">
        <references count="1">
          <reference field="4294967294" count="1" selected="0">
            <x v="9"/>
          </reference>
        </references>
      </pivotArea>
    </format>
    <format dxfId="244">
      <pivotArea dataOnly="0" labelOnly="1" outline="0" fieldPosition="0">
        <references count="1">
          <reference field="4294967294" count="1">
            <x v="9"/>
          </reference>
        </references>
      </pivotArea>
    </format>
    <format dxfId="243">
      <pivotArea outline="0" collapsedLevelsAreSubtotals="1" fieldPosition="0">
        <references count="1">
          <reference field="4294967294" count="1" selected="0">
            <x v="12"/>
          </reference>
        </references>
      </pivotArea>
    </format>
    <format dxfId="242">
      <pivotArea dataOnly="0" labelOnly="1" outline="0" fieldPosition="0">
        <references count="1">
          <reference field="4294967294" count="1">
            <x v="12"/>
          </reference>
        </references>
      </pivotArea>
    </format>
    <format dxfId="241">
      <pivotArea outline="0" collapsedLevelsAreSubtotals="1" fieldPosition="0">
        <references count="1">
          <reference field="4294967294" count="1" selected="0">
            <x v="15"/>
          </reference>
        </references>
      </pivotArea>
    </format>
    <format dxfId="240">
      <pivotArea dataOnly="0" labelOnly="1" outline="0" fieldPosition="0">
        <references count="1">
          <reference field="4294967294" count="1">
            <x v="15"/>
          </reference>
        </references>
      </pivotArea>
    </format>
    <format dxfId="239">
      <pivotArea dataOnly="0" labelOnly="1" outline="0" fieldPosition="0">
        <references count="1">
          <reference field="4294967294" count="3">
            <x v="3"/>
            <x v="4"/>
            <x v="5"/>
          </reference>
        </references>
      </pivotArea>
    </format>
    <format dxfId="238">
      <pivotArea dataOnly="0" labelOnly="1" outline="0" fieldPosition="0">
        <references count="1">
          <reference field="4294967294" count="3">
            <x v="9"/>
            <x v="10"/>
            <x v="11"/>
          </reference>
        </references>
      </pivotArea>
    </format>
    <format dxfId="237">
      <pivotArea dataOnly="0" labelOnly="1" outline="0" fieldPosition="0">
        <references count="1">
          <reference field="4294967294" count="3">
            <x v="15"/>
            <x v="16"/>
            <x v="17"/>
          </reference>
        </references>
      </pivotArea>
    </format>
    <format dxfId="236">
      <pivotArea field="4" type="button" dataOnly="0" labelOnly="1" outline="0" axis="axisRow" fieldPosition="0"/>
    </format>
    <format dxfId="235">
      <pivotArea dataOnly="0" labelOnly="1" fieldPosition="0">
        <references count="1">
          <reference field="4" count="1">
            <x v="0"/>
          </reference>
        </references>
      </pivotArea>
    </format>
    <format dxfId="234">
      <pivotArea dataOnly="0" labelOnly="1" grandRow="1" outline="0" fieldPosition="0"/>
    </format>
    <format dxfId="233">
      <pivotArea dataOnly="0" labelOnly="1" outline="0" fieldPosition="0">
        <references count="1">
          <reference field="4294967294" count="1">
            <x v="0"/>
          </reference>
        </references>
      </pivotArea>
    </format>
    <format dxfId="232">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71">
      <pivotArea dataOnly="0" labelOnly="1" outline="0" fieldPosition="0">
        <references count="1">
          <reference field="4294967294" count="3">
            <x v="3"/>
            <x v="4"/>
            <x v="5"/>
          </reference>
        </references>
      </pivotArea>
    </format>
    <format dxfId="270">
      <pivotArea dataOnly="0" labelOnly="1" outline="0" fieldPosition="0">
        <references count="1">
          <reference field="4294967294" count="3">
            <x v="9"/>
            <x v="10"/>
            <x v="11"/>
          </reference>
        </references>
      </pivotArea>
    </format>
    <format dxfId="269">
      <pivotArea dataOnly="0" labelOnly="1" outline="0" fieldPosition="0">
        <references count="1">
          <reference field="4294967294" count="3">
            <x v="15"/>
            <x v="16"/>
            <x v="17"/>
          </reference>
        </references>
      </pivotArea>
    </format>
    <format dxfId="268">
      <pivotArea field="4" type="button" dataOnly="0" labelOnly="1" outline="0" axis="axisPage" fieldPosition="2"/>
    </format>
    <format dxfId="267">
      <pivotArea dataOnly="0" labelOnly="1" fieldPosition="0">
        <references count="1">
          <reference field="4" count="1">
            <x v="0"/>
          </reference>
        </references>
      </pivotArea>
    </format>
    <format dxfId="266">
      <pivotArea dataOnly="0" labelOnly="1" outline="0" fieldPosition="0">
        <references count="1">
          <reference field="4294967294" count="1">
            <x v="0"/>
          </reference>
        </references>
      </pivotArea>
    </format>
    <format dxfId="265">
      <pivotArea field="4" type="button" dataOnly="0" labelOnly="1" outline="0" axis="axisPage" fieldPosition="2"/>
    </format>
    <format dxfId="264">
      <pivotArea field="2" type="button" dataOnly="0" labelOnly="1" outline="0" axis="axisRow" fieldPosition="0"/>
    </format>
    <format dxfId="263">
      <pivotArea dataOnly="0" labelOnly="1" fieldPosition="0">
        <references count="1">
          <reference field="2" count="1">
            <x v="0"/>
          </reference>
        </references>
      </pivotArea>
    </format>
    <format dxfId="262">
      <pivotArea dataOnly="0" labelOnly="1" grandRow="1" outline="0" fieldPosition="0"/>
    </format>
    <format dxfId="261">
      <pivotArea outline="0" collapsedLevelsAreSubtotals="1" fieldPosition="0">
        <references count="1">
          <reference field="4294967294" count="1" selected="0">
            <x v="3"/>
          </reference>
        </references>
      </pivotArea>
    </format>
    <format dxfId="260">
      <pivotArea dataOnly="0" labelOnly="1" outline="0" fieldPosition="0">
        <references count="1">
          <reference field="4294967294" count="1">
            <x v="3"/>
          </reference>
        </references>
      </pivotArea>
    </format>
    <format dxfId="259">
      <pivotArea outline="0" collapsedLevelsAreSubtotals="1" fieldPosition="0">
        <references count="1">
          <reference field="4294967294" count="1" selected="0">
            <x v="6"/>
          </reference>
        </references>
      </pivotArea>
    </format>
    <format dxfId="258">
      <pivotArea dataOnly="0" labelOnly="1" outline="0" fieldPosition="0">
        <references count="1">
          <reference field="4294967294" count="1">
            <x v="6"/>
          </reference>
        </references>
      </pivotArea>
    </format>
    <format dxfId="257">
      <pivotArea outline="0" collapsedLevelsAreSubtotals="1" fieldPosition="0">
        <references count="1">
          <reference field="4294967294" count="1" selected="0">
            <x v="9"/>
          </reference>
        </references>
      </pivotArea>
    </format>
    <format dxfId="256">
      <pivotArea dataOnly="0" labelOnly="1" outline="0" fieldPosition="0">
        <references count="1">
          <reference field="4294967294" count="1">
            <x v="9"/>
          </reference>
        </references>
      </pivotArea>
    </format>
    <format dxfId="255">
      <pivotArea outline="0" collapsedLevelsAreSubtotals="1" fieldPosition="0">
        <references count="1">
          <reference field="4294967294" count="1" selected="0">
            <x v="12"/>
          </reference>
        </references>
      </pivotArea>
    </format>
    <format dxfId="254">
      <pivotArea dataOnly="0" labelOnly="1" outline="0" fieldPosition="0">
        <references count="1">
          <reference field="4294967294" count="1">
            <x v="12"/>
          </reference>
        </references>
      </pivotArea>
    </format>
    <format dxfId="253">
      <pivotArea outline="0" collapsedLevelsAreSubtotals="1" fieldPosition="0">
        <references count="1">
          <reference field="4294967294" count="1" selected="0">
            <x v="15"/>
          </reference>
        </references>
      </pivotArea>
    </format>
    <format dxfId="252">
      <pivotArea dataOnly="0" labelOnly="1" outline="0" fieldPosition="0">
        <references count="1">
          <reference field="4294967294" count="1">
            <x v="15"/>
          </reference>
        </references>
      </pivotArea>
    </format>
    <format dxfId="251">
      <pivotArea outline="0" collapsedLevelsAreSubtotals="1" fieldPosition="0">
        <references count="1">
          <reference field="4294967294" count="1" selected="0">
            <x v="17"/>
          </reference>
        </references>
      </pivotArea>
    </format>
    <format dxfId="250">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13">
      <pivotArea dataOnly="0" labelOnly="1" outline="0" fieldPosition="0">
        <references count="1">
          <reference field="4294967294" count="3">
            <x v="3"/>
            <x v="4"/>
            <x v="5"/>
          </reference>
        </references>
      </pivotArea>
    </format>
    <format dxfId="212">
      <pivotArea dataOnly="0" labelOnly="1" outline="0" fieldPosition="0">
        <references count="1">
          <reference field="4294967294" count="3">
            <x v="9"/>
            <x v="10"/>
            <x v="11"/>
          </reference>
        </references>
      </pivotArea>
    </format>
    <format dxfId="211">
      <pivotArea dataOnly="0" labelOnly="1" outline="0" fieldPosition="0">
        <references count="1">
          <reference field="4294967294" count="3">
            <x v="15"/>
            <x v="16"/>
            <x v="17"/>
          </reference>
        </references>
      </pivotArea>
    </format>
    <format dxfId="210">
      <pivotArea field="4" type="button" dataOnly="0" labelOnly="1" outline="0" axis="axisPage" fieldPosition="2"/>
    </format>
    <format dxfId="209">
      <pivotArea dataOnly="0" labelOnly="1" fieldPosition="0">
        <references count="1">
          <reference field="4" count="1">
            <x v="0"/>
          </reference>
        </references>
      </pivotArea>
    </format>
    <format dxfId="208">
      <pivotArea dataOnly="0" labelOnly="1" outline="0" fieldPosition="0">
        <references count="1">
          <reference field="4294967294" count="1">
            <x v="0"/>
          </reference>
        </references>
      </pivotArea>
    </format>
    <format dxfId="207">
      <pivotArea field="4" type="button" dataOnly="0" labelOnly="1" outline="0" axis="axisPage" fieldPosition="2"/>
    </format>
    <format dxfId="206">
      <pivotArea field="2" type="button" dataOnly="0" labelOnly="1" outline="0" axis="axisRow" fieldPosition="0"/>
    </format>
    <format dxfId="205">
      <pivotArea dataOnly="0" labelOnly="1" fieldPosition="0">
        <references count="1">
          <reference field="2" count="1">
            <x v="0"/>
          </reference>
        </references>
      </pivotArea>
    </format>
    <format dxfId="204">
      <pivotArea dataOnly="0" labelOnly="1" grandRow="1" outline="0" fieldPosition="0"/>
    </format>
    <format dxfId="203">
      <pivotArea outline="0" collapsedLevelsAreSubtotals="1" fieldPosition="0">
        <references count="1">
          <reference field="4294967294" count="1" selected="0">
            <x v="3"/>
          </reference>
        </references>
      </pivotArea>
    </format>
    <format dxfId="202">
      <pivotArea dataOnly="0" labelOnly="1" outline="0" fieldPosition="0">
        <references count="1">
          <reference field="4294967294" count="1">
            <x v="3"/>
          </reference>
        </references>
      </pivotArea>
    </format>
    <format dxfId="201">
      <pivotArea outline="0" collapsedLevelsAreSubtotals="1" fieldPosition="0">
        <references count="1">
          <reference field="4294967294" count="1" selected="0">
            <x v="6"/>
          </reference>
        </references>
      </pivotArea>
    </format>
    <format dxfId="200">
      <pivotArea dataOnly="0" labelOnly="1" outline="0" fieldPosition="0">
        <references count="1">
          <reference field="4294967294" count="1">
            <x v="6"/>
          </reference>
        </references>
      </pivotArea>
    </format>
    <format dxfId="199">
      <pivotArea outline="0" collapsedLevelsAreSubtotals="1" fieldPosition="0">
        <references count="1">
          <reference field="4294967294" count="1" selected="0">
            <x v="9"/>
          </reference>
        </references>
      </pivotArea>
    </format>
    <format dxfId="198">
      <pivotArea dataOnly="0" labelOnly="1" outline="0" fieldPosition="0">
        <references count="1">
          <reference field="4294967294" count="1">
            <x v="9"/>
          </reference>
        </references>
      </pivotArea>
    </format>
    <format dxfId="197">
      <pivotArea outline="0" collapsedLevelsAreSubtotals="1" fieldPosition="0">
        <references count="1">
          <reference field="4294967294" count="1" selected="0">
            <x v="12"/>
          </reference>
        </references>
      </pivotArea>
    </format>
    <format dxfId="196">
      <pivotArea dataOnly="0" labelOnly="1" outline="0" fieldPosition="0">
        <references count="1">
          <reference field="4294967294" count="1">
            <x v="12"/>
          </reference>
        </references>
      </pivotArea>
    </format>
    <format dxfId="195">
      <pivotArea outline="0" collapsedLevelsAreSubtotals="1" fieldPosition="0">
        <references count="1">
          <reference field="4294967294" count="1" selected="0">
            <x v="15"/>
          </reference>
        </references>
      </pivotArea>
    </format>
    <format dxfId="194">
      <pivotArea dataOnly="0" labelOnly="1" outline="0" fieldPosition="0">
        <references count="1">
          <reference field="4294967294" count="1">
            <x v="15"/>
          </reference>
        </references>
      </pivotArea>
    </format>
    <format dxfId="193">
      <pivotArea outline="0" collapsedLevelsAreSubtotals="1" fieldPosition="0">
        <references count="1">
          <reference field="4294967294" count="1" selected="0">
            <x v="17"/>
          </reference>
        </references>
      </pivotArea>
    </format>
    <format dxfId="192">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31">
      <pivotArea outline="0" collapsedLevelsAreSubtotals="1" fieldPosition="0">
        <references count="1">
          <reference field="4294967294" count="1" selected="0">
            <x v="3"/>
          </reference>
        </references>
      </pivotArea>
    </format>
    <format dxfId="230">
      <pivotArea dataOnly="0" labelOnly="1" outline="0" fieldPosition="0">
        <references count="1">
          <reference field="4294967294" count="1">
            <x v="3"/>
          </reference>
        </references>
      </pivotArea>
    </format>
    <format dxfId="229">
      <pivotArea outline="0" collapsedLevelsAreSubtotals="1" fieldPosition="0">
        <references count="1">
          <reference field="4294967294" count="1" selected="0">
            <x v="6"/>
          </reference>
        </references>
      </pivotArea>
    </format>
    <format dxfId="228">
      <pivotArea dataOnly="0" labelOnly="1" outline="0" fieldPosition="0">
        <references count="1">
          <reference field="4294967294" count="1">
            <x v="6"/>
          </reference>
        </references>
      </pivotArea>
    </format>
    <format dxfId="227">
      <pivotArea outline="0" collapsedLevelsAreSubtotals="1" fieldPosition="0">
        <references count="1">
          <reference field="4294967294" count="1" selected="0">
            <x v="9"/>
          </reference>
        </references>
      </pivotArea>
    </format>
    <format dxfId="226">
      <pivotArea dataOnly="0" labelOnly="1" outline="0" fieldPosition="0">
        <references count="1">
          <reference field="4294967294" count="1">
            <x v="9"/>
          </reference>
        </references>
      </pivotArea>
    </format>
    <format dxfId="225">
      <pivotArea outline="0" collapsedLevelsAreSubtotals="1" fieldPosition="0">
        <references count="1">
          <reference field="4294967294" count="1" selected="0">
            <x v="12"/>
          </reference>
        </references>
      </pivotArea>
    </format>
    <format dxfId="224">
      <pivotArea dataOnly="0" labelOnly="1" outline="0" fieldPosition="0">
        <references count="1">
          <reference field="4294967294" count="1">
            <x v="12"/>
          </reference>
        </references>
      </pivotArea>
    </format>
    <format dxfId="223">
      <pivotArea outline="0" collapsedLevelsAreSubtotals="1" fieldPosition="0">
        <references count="1">
          <reference field="4294967294" count="1" selected="0">
            <x v="15"/>
          </reference>
        </references>
      </pivotArea>
    </format>
    <format dxfId="222">
      <pivotArea dataOnly="0" labelOnly="1" outline="0" fieldPosition="0">
        <references count="1">
          <reference field="4294967294" count="1">
            <x v="15"/>
          </reference>
        </references>
      </pivotArea>
    </format>
    <format dxfId="221">
      <pivotArea dataOnly="0" labelOnly="1" outline="0" fieldPosition="0">
        <references count="1">
          <reference field="4294967294" count="3">
            <x v="3"/>
            <x v="4"/>
            <x v="5"/>
          </reference>
        </references>
      </pivotArea>
    </format>
    <format dxfId="220">
      <pivotArea dataOnly="0" labelOnly="1" outline="0" fieldPosition="0">
        <references count="1">
          <reference field="4294967294" count="3">
            <x v="9"/>
            <x v="10"/>
            <x v="11"/>
          </reference>
        </references>
      </pivotArea>
    </format>
    <format dxfId="219">
      <pivotArea dataOnly="0" labelOnly="1" outline="0" fieldPosition="0">
        <references count="1">
          <reference field="4294967294" count="3">
            <x v="15"/>
            <x v="16"/>
            <x v="17"/>
          </reference>
        </references>
      </pivotArea>
    </format>
    <format dxfId="218">
      <pivotArea field="4" type="button" dataOnly="0" labelOnly="1" outline="0" axis="axisRow" fieldPosition="0"/>
    </format>
    <format dxfId="217">
      <pivotArea dataOnly="0" labelOnly="1" fieldPosition="0">
        <references count="1">
          <reference field="4" count="1">
            <x v="0"/>
          </reference>
        </references>
      </pivotArea>
    </format>
    <format dxfId="216">
      <pivotArea dataOnly="0" labelOnly="1" grandRow="1" outline="0" fieldPosition="0"/>
    </format>
    <format dxfId="215">
      <pivotArea dataOnly="0" labelOnly="1" outline="0" fieldPosition="0">
        <references count="1">
          <reference field="4294967294" count="1">
            <x v="0"/>
          </reference>
        </references>
      </pivotArea>
    </format>
    <format dxfId="214">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69">
      <pivotArea outline="0" collapsedLevelsAreSubtotals="1" fieldPosition="0">
        <references count="1">
          <reference field="4294967294" count="1" selected="0">
            <x v="3"/>
          </reference>
        </references>
      </pivotArea>
    </format>
    <format dxfId="168">
      <pivotArea dataOnly="0" labelOnly="1" outline="0" fieldPosition="0">
        <references count="1">
          <reference field="4294967294" count="1">
            <x v="3"/>
          </reference>
        </references>
      </pivotArea>
    </format>
    <format dxfId="167">
      <pivotArea outline="0" collapsedLevelsAreSubtotals="1" fieldPosition="0">
        <references count="1">
          <reference field="4294967294" count="1" selected="0">
            <x v="6"/>
          </reference>
        </references>
      </pivotArea>
    </format>
    <format dxfId="166">
      <pivotArea dataOnly="0" labelOnly="1" outline="0" fieldPosition="0">
        <references count="1">
          <reference field="4294967294" count="1">
            <x v="6"/>
          </reference>
        </references>
      </pivotArea>
    </format>
    <format dxfId="165">
      <pivotArea outline="0" collapsedLevelsAreSubtotals="1" fieldPosition="0">
        <references count="1">
          <reference field="4294967294" count="1" selected="0">
            <x v="9"/>
          </reference>
        </references>
      </pivotArea>
    </format>
    <format dxfId="164">
      <pivotArea dataOnly="0" labelOnly="1" outline="0" fieldPosition="0">
        <references count="1">
          <reference field="4294967294" count="1">
            <x v="9"/>
          </reference>
        </references>
      </pivotArea>
    </format>
    <format dxfId="163">
      <pivotArea outline="0" collapsedLevelsAreSubtotals="1" fieldPosition="0">
        <references count="1">
          <reference field="4294967294" count="1" selected="0">
            <x v="12"/>
          </reference>
        </references>
      </pivotArea>
    </format>
    <format dxfId="162">
      <pivotArea dataOnly="0" labelOnly="1" outline="0" fieldPosition="0">
        <references count="1">
          <reference field="4294967294" count="1">
            <x v="12"/>
          </reference>
        </references>
      </pivotArea>
    </format>
    <format dxfId="161">
      <pivotArea outline="0" collapsedLevelsAreSubtotals="1" fieldPosition="0">
        <references count="1">
          <reference field="4294967294" count="1" selected="0">
            <x v="15"/>
          </reference>
        </references>
      </pivotArea>
    </format>
    <format dxfId="160">
      <pivotArea dataOnly="0" labelOnly="1" outline="0" fieldPosition="0">
        <references count="1">
          <reference field="4294967294" count="1">
            <x v="15"/>
          </reference>
        </references>
      </pivotArea>
    </format>
    <format dxfId="159">
      <pivotArea dataOnly="0" labelOnly="1" outline="0" fieldPosition="0">
        <references count="1">
          <reference field="4294967294" count="3">
            <x v="3"/>
            <x v="4"/>
            <x v="5"/>
          </reference>
        </references>
      </pivotArea>
    </format>
    <format dxfId="158">
      <pivotArea dataOnly="0" labelOnly="1" outline="0" fieldPosition="0">
        <references count="1">
          <reference field="4294967294" count="3">
            <x v="9"/>
            <x v="10"/>
            <x v="11"/>
          </reference>
        </references>
      </pivotArea>
    </format>
    <format dxfId="157">
      <pivotArea dataOnly="0" labelOnly="1" outline="0" fieldPosition="0">
        <references count="1">
          <reference field="4294967294" count="3">
            <x v="15"/>
            <x v="16"/>
            <x v="17"/>
          </reference>
        </references>
      </pivotArea>
    </format>
    <format dxfId="156">
      <pivotArea field="4" type="button" dataOnly="0" labelOnly="1" outline="0" axis="axisRow" fieldPosition="0"/>
    </format>
    <format dxfId="155">
      <pivotArea dataOnly="0" labelOnly="1" fieldPosition="0">
        <references count="1">
          <reference field="4" count="1">
            <x v="0"/>
          </reference>
        </references>
      </pivotArea>
    </format>
    <format dxfId="154">
      <pivotArea dataOnly="0" labelOnly="1" grandRow="1" outline="0" fieldPosition="0"/>
    </format>
    <format dxfId="153">
      <pivotArea dataOnly="0" labelOnly="1" outline="0" fieldPosition="0">
        <references count="1">
          <reference field="4294967294" count="1">
            <x v="0"/>
          </reference>
        </references>
      </pivotArea>
    </format>
    <format dxfId="152">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191">
      <pivotArea dataOnly="0" labelOnly="1" outline="0" fieldPosition="0">
        <references count="1">
          <reference field="4294967294" count="3">
            <x v="3"/>
            <x v="4"/>
            <x v="5"/>
          </reference>
        </references>
      </pivotArea>
    </format>
    <format dxfId="190">
      <pivotArea dataOnly="0" labelOnly="1" outline="0" fieldPosition="0">
        <references count="1">
          <reference field="4294967294" count="3">
            <x v="9"/>
            <x v="10"/>
            <x v="11"/>
          </reference>
        </references>
      </pivotArea>
    </format>
    <format dxfId="189">
      <pivotArea dataOnly="0" labelOnly="1" outline="0" fieldPosition="0">
        <references count="1">
          <reference field="4294967294" count="3">
            <x v="15"/>
            <x v="16"/>
            <x v="17"/>
          </reference>
        </references>
      </pivotArea>
    </format>
    <format dxfId="188">
      <pivotArea field="4" type="button" dataOnly="0" labelOnly="1" outline="0" axis="axisPage" fieldPosition="2"/>
    </format>
    <format dxfId="187">
      <pivotArea dataOnly="0" labelOnly="1" fieldPosition="0">
        <references count="1">
          <reference field="4" count="1">
            <x v="0"/>
          </reference>
        </references>
      </pivotArea>
    </format>
    <format dxfId="186">
      <pivotArea dataOnly="0" labelOnly="1" outline="0" fieldPosition="0">
        <references count="1">
          <reference field="4294967294" count="1">
            <x v="0"/>
          </reference>
        </references>
      </pivotArea>
    </format>
    <format dxfId="185">
      <pivotArea field="4" type="button" dataOnly="0" labelOnly="1" outline="0" axis="axisPage" fieldPosition="2"/>
    </format>
    <format dxfId="184">
      <pivotArea field="2" type="button" dataOnly="0" labelOnly="1" outline="0" axis="axisRow" fieldPosition="0"/>
    </format>
    <format dxfId="183">
      <pivotArea dataOnly="0" labelOnly="1" fieldPosition="0">
        <references count="1">
          <reference field="2" count="1">
            <x v="0"/>
          </reference>
        </references>
      </pivotArea>
    </format>
    <format dxfId="182">
      <pivotArea dataOnly="0" labelOnly="1" grandRow="1" outline="0" fieldPosition="0"/>
    </format>
    <format dxfId="181">
      <pivotArea outline="0" collapsedLevelsAreSubtotals="1" fieldPosition="0">
        <references count="1">
          <reference field="4294967294" count="1" selected="0">
            <x v="3"/>
          </reference>
        </references>
      </pivotArea>
    </format>
    <format dxfId="180">
      <pivotArea dataOnly="0" labelOnly="1" outline="0" fieldPosition="0">
        <references count="1">
          <reference field="4294967294" count="1">
            <x v="3"/>
          </reference>
        </references>
      </pivotArea>
    </format>
    <format dxfId="179">
      <pivotArea outline="0" collapsedLevelsAreSubtotals="1" fieldPosition="0">
        <references count="1">
          <reference field="4294967294" count="1" selected="0">
            <x v="6"/>
          </reference>
        </references>
      </pivotArea>
    </format>
    <format dxfId="178">
      <pivotArea dataOnly="0" labelOnly="1" outline="0" fieldPosition="0">
        <references count="1">
          <reference field="4294967294" count="1">
            <x v="6"/>
          </reference>
        </references>
      </pivotArea>
    </format>
    <format dxfId="177">
      <pivotArea outline="0" collapsedLevelsAreSubtotals="1" fieldPosition="0">
        <references count="1">
          <reference field="4294967294" count="1" selected="0">
            <x v="9"/>
          </reference>
        </references>
      </pivotArea>
    </format>
    <format dxfId="176">
      <pivotArea dataOnly="0" labelOnly="1" outline="0" fieldPosition="0">
        <references count="1">
          <reference field="4294967294" count="1">
            <x v="9"/>
          </reference>
        </references>
      </pivotArea>
    </format>
    <format dxfId="175">
      <pivotArea outline="0" collapsedLevelsAreSubtotals="1" fieldPosition="0">
        <references count="1">
          <reference field="4294967294" count="1" selected="0">
            <x v="12"/>
          </reference>
        </references>
      </pivotArea>
    </format>
    <format dxfId="174">
      <pivotArea dataOnly="0" labelOnly="1" outline="0" fieldPosition="0">
        <references count="1">
          <reference field="4294967294" count="1">
            <x v="12"/>
          </reference>
        </references>
      </pivotArea>
    </format>
    <format dxfId="173">
      <pivotArea outline="0" collapsedLevelsAreSubtotals="1" fieldPosition="0">
        <references count="1">
          <reference field="4294967294" count="1" selected="0">
            <x v="15"/>
          </reference>
        </references>
      </pivotArea>
    </format>
    <format dxfId="172">
      <pivotArea dataOnly="0" labelOnly="1" outline="0" fieldPosition="0">
        <references count="1">
          <reference field="4294967294" count="1">
            <x v="15"/>
          </reference>
        </references>
      </pivotArea>
    </format>
    <format dxfId="171">
      <pivotArea outline="0" collapsedLevelsAreSubtotals="1" fieldPosition="0">
        <references count="1">
          <reference field="4294967294" count="1" selected="0">
            <x v="17"/>
          </reference>
        </references>
      </pivotArea>
    </format>
    <format dxfId="170">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Read Latency (m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11">
      <pivotArea outline="0" collapsedLevelsAreSubtotals="1" fieldPosition="0">
        <references count="1">
          <reference field="4294967294" count="1" selected="0">
            <x v="3"/>
          </reference>
        </references>
      </pivotArea>
    </format>
    <format dxfId="110">
      <pivotArea dataOnly="0" labelOnly="1" outline="0" fieldPosition="0">
        <references count="1">
          <reference field="4294967294" count="1">
            <x v="3"/>
          </reference>
        </references>
      </pivotArea>
    </format>
    <format dxfId="109">
      <pivotArea outline="0" collapsedLevelsAreSubtotals="1" fieldPosition="0">
        <references count="1">
          <reference field="4294967294" count="1" selected="0">
            <x v="6"/>
          </reference>
        </references>
      </pivotArea>
    </format>
    <format dxfId="108">
      <pivotArea dataOnly="0" labelOnly="1" outline="0" fieldPosition="0">
        <references count="1">
          <reference field="4294967294" count="1">
            <x v="6"/>
          </reference>
        </references>
      </pivotArea>
    </format>
    <format dxfId="107">
      <pivotArea outline="0" collapsedLevelsAreSubtotals="1" fieldPosition="0">
        <references count="1">
          <reference field="4294967294" count="1" selected="0">
            <x v="9"/>
          </reference>
        </references>
      </pivotArea>
    </format>
    <format dxfId="106">
      <pivotArea dataOnly="0" labelOnly="1" outline="0" fieldPosition="0">
        <references count="1">
          <reference field="4294967294" count="1">
            <x v="9"/>
          </reference>
        </references>
      </pivotArea>
    </format>
    <format dxfId="105">
      <pivotArea outline="0" collapsedLevelsAreSubtotals="1" fieldPosition="0">
        <references count="1">
          <reference field="4294967294" count="1" selected="0">
            <x v="12"/>
          </reference>
        </references>
      </pivotArea>
    </format>
    <format dxfId="104">
      <pivotArea dataOnly="0" labelOnly="1" outline="0" fieldPosition="0">
        <references count="1">
          <reference field="4294967294" count="1">
            <x v="12"/>
          </reference>
        </references>
      </pivotArea>
    </format>
    <format dxfId="103">
      <pivotArea outline="0" collapsedLevelsAreSubtotals="1" fieldPosition="0">
        <references count="1">
          <reference field="4294967294" count="1" selected="0">
            <x v="15"/>
          </reference>
        </references>
      </pivotArea>
    </format>
    <format dxfId="102">
      <pivotArea dataOnly="0" labelOnly="1" outline="0" fieldPosition="0">
        <references count="1">
          <reference field="4294967294" count="1">
            <x v="15"/>
          </reference>
        </references>
      </pivotArea>
    </format>
    <format dxfId="101">
      <pivotArea dataOnly="0" labelOnly="1" outline="0" fieldPosition="0">
        <references count="1">
          <reference field="4294967294" count="3">
            <x v="3"/>
            <x v="4"/>
            <x v="5"/>
          </reference>
        </references>
      </pivotArea>
    </format>
    <format dxfId="100">
      <pivotArea dataOnly="0" labelOnly="1" outline="0" fieldPosition="0">
        <references count="1">
          <reference field="4294967294" count="3">
            <x v="9"/>
            <x v="10"/>
            <x v="11"/>
          </reference>
        </references>
      </pivotArea>
    </format>
    <format dxfId="99">
      <pivotArea dataOnly="0" labelOnly="1" outline="0" fieldPosition="0">
        <references count="1">
          <reference field="4294967294" count="3">
            <x v="15"/>
            <x v="16"/>
            <x v="17"/>
          </reference>
        </references>
      </pivotArea>
    </format>
    <format dxfId="98">
      <pivotArea field="4" type="button" dataOnly="0" labelOnly="1" outline="0" axis="axisRow" fieldPosition="0"/>
    </format>
    <format dxfId="97">
      <pivotArea dataOnly="0" labelOnly="1" fieldPosition="0">
        <references count="1">
          <reference field="4" count="1">
            <x v="0"/>
          </reference>
        </references>
      </pivotArea>
    </format>
    <format dxfId="96">
      <pivotArea dataOnly="0" labelOnly="1" grandRow="1" outline="0" fieldPosition="0"/>
    </format>
    <format dxfId="95">
      <pivotArea dataOnly="0" labelOnly="1" outline="0" fieldPosition="0">
        <references count="1">
          <reference field="4294967294" count="1">
            <x v="0"/>
          </reference>
        </references>
      </pivotArea>
    </format>
    <format dxfId="94">
      <pivotArea field="4" type="button" dataOnly="0" labelOnly="1" outline="0" axis="axisRow" fieldPosition="0"/>
    </format>
    <format dxfId="93">
      <pivotArea outline="0" fieldPosition="0">
        <references count="1">
          <reference field="4294967294" count="1">
            <x v="0"/>
          </reference>
        </references>
      </pivotArea>
    </format>
    <format dxfId="92">
      <pivotArea outline="0" fieldPosition="0">
        <references count="1">
          <reference field="4294967294" count="1">
            <x v="1"/>
          </reference>
        </references>
      </pivotArea>
    </format>
    <format dxfId="91">
      <pivotArea outline="0" fieldPosition="0">
        <references count="1">
          <reference field="4294967294" count="1">
            <x v="2"/>
          </reference>
        </references>
      </pivotArea>
    </format>
    <format dxfId="90">
      <pivotArea outline="0" fieldPosition="0">
        <references count="1">
          <reference field="4294967294" count="1">
            <x v="3"/>
          </reference>
        </references>
      </pivotArea>
    </format>
    <format dxfId="89">
      <pivotArea outline="0" fieldPosition="0">
        <references count="1">
          <reference field="4294967294" count="1">
            <x v="4"/>
          </reference>
        </references>
      </pivotArea>
    </format>
    <format dxfId="88">
      <pivotArea outline="0" fieldPosition="0">
        <references count="1">
          <reference field="4294967294" count="1">
            <x v="5"/>
          </reference>
        </references>
      </pivotArea>
    </format>
    <format dxfId="87">
      <pivotArea outline="0" fieldPosition="0">
        <references count="1">
          <reference field="4294967294" count="1">
            <x v="6"/>
          </reference>
        </references>
      </pivotArea>
    </format>
    <format dxfId="86">
      <pivotArea outline="0" fieldPosition="0">
        <references count="1">
          <reference field="4294967294" count="1">
            <x v="7"/>
          </reference>
        </references>
      </pivotArea>
    </format>
    <format dxfId="85">
      <pivotArea outline="0" fieldPosition="0">
        <references count="1">
          <reference field="4294967294" count="1">
            <x v="8"/>
          </reference>
        </references>
      </pivotArea>
    </format>
    <format dxfId="84">
      <pivotArea outline="0" fieldPosition="0">
        <references count="1">
          <reference field="4294967294" count="1">
            <x v="9"/>
          </reference>
        </references>
      </pivotArea>
    </format>
    <format dxfId="83">
      <pivotArea outline="0" fieldPosition="0">
        <references count="1">
          <reference field="4294967294" count="1">
            <x v="10"/>
          </reference>
        </references>
      </pivotArea>
    </format>
    <format dxfId="82">
      <pivotArea outline="0" fieldPosition="0">
        <references count="1">
          <reference field="4294967294" count="1">
            <x v="11"/>
          </reference>
        </references>
      </pivotArea>
    </format>
    <format dxfId="81">
      <pivotArea outline="0" fieldPosition="0">
        <references count="1">
          <reference field="4294967294" count="1">
            <x v="12"/>
          </reference>
        </references>
      </pivotArea>
    </format>
    <format dxfId="80">
      <pivotArea outline="0" fieldPosition="0">
        <references count="1">
          <reference field="4294967294" count="1">
            <x v="13"/>
          </reference>
        </references>
      </pivotArea>
    </format>
    <format dxfId="79">
      <pivotArea outline="0" fieldPosition="0">
        <references count="1">
          <reference field="4294967294" count="1">
            <x v="14"/>
          </reference>
        </references>
      </pivotArea>
    </format>
    <format dxfId="78">
      <pivotArea outline="0" fieldPosition="0">
        <references count="1">
          <reference field="4294967294" count="1">
            <x v="15"/>
          </reference>
        </references>
      </pivotArea>
    </format>
    <format dxfId="77">
      <pivotArea outline="0" fieldPosition="0">
        <references count="1">
          <reference field="4294967294" count="1">
            <x v="16"/>
          </reference>
        </references>
      </pivotArea>
    </format>
    <format dxfId="7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Read Latency (m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51">
      <pivotArea dataOnly="0" labelOnly="1" outline="0" fieldPosition="0">
        <references count="1">
          <reference field="4294967294" count="3">
            <x v="3"/>
            <x v="4"/>
            <x v="5"/>
          </reference>
        </references>
      </pivotArea>
    </format>
    <format dxfId="150">
      <pivotArea dataOnly="0" labelOnly="1" outline="0" fieldPosition="0">
        <references count="1">
          <reference field="4294967294" count="3">
            <x v="9"/>
            <x v="10"/>
            <x v="11"/>
          </reference>
        </references>
      </pivotArea>
    </format>
    <format dxfId="149">
      <pivotArea dataOnly="0" labelOnly="1" outline="0" fieldPosition="0">
        <references count="1">
          <reference field="4294967294" count="3">
            <x v="15"/>
            <x v="16"/>
            <x v="17"/>
          </reference>
        </references>
      </pivotArea>
    </format>
    <format dxfId="148">
      <pivotArea field="4" type="button" dataOnly="0" labelOnly="1" outline="0" axis="axisPage" fieldPosition="2"/>
    </format>
    <format dxfId="147">
      <pivotArea dataOnly="0" labelOnly="1" fieldPosition="0">
        <references count="1">
          <reference field="4" count="1">
            <x v="0"/>
          </reference>
        </references>
      </pivotArea>
    </format>
    <format dxfId="146">
      <pivotArea dataOnly="0" labelOnly="1" outline="0" fieldPosition="0">
        <references count="1">
          <reference field="4294967294" count="1">
            <x v="0"/>
          </reference>
        </references>
      </pivotArea>
    </format>
    <format dxfId="145">
      <pivotArea field="4" type="button" dataOnly="0" labelOnly="1" outline="0" axis="axisPage" fieldPosition="2"/>
    </format>
    <format dxfId="144">
      <pivotArea field="2" type="button" dataOnly="0" labelOnly="1" outline="0" axis="axisRow" fieldPosition="0"/>
    </format>
    <format dxfId="143">
      <pivotArea dataOnly="0" labelOnly="1" fieldPosition="0">
        <references count="1">
          <reference field="2" count="1">
            <x v="0"/>
          </reference>
        </references>
      </pivotArea>
    </format>
    <format dxfId="142">
      <pivotArea dataOnly="0" labelOnly="1" grandRow="1" outline="0" fieldPosition="0"/>
    </format>
    <format dxfId="141">
      <pivotArea outline="0" collapsedLevelsAreSubtotals="1" fieldPosition="0">
        <references count="1">
          <reference field="4294967294" count="1" selected="0">
            <x v="3"/>
          </reference>
        </references>
      </pivotArea>
    </format>
    <format dxfId="140">
      <pivotArea dataOnly="0" labelOnly="1" outline="0" fieldPosition="0">
        <references count="1">
          <reference field="4294967294" count="1">
            <x v="3"/>
          </reference>
        </references>
      </pivotArea>
    </format>
    <format dxfId="139">
      <pivotArea outline="0" collapsedLevelsAreSubtotals="1" fieldPosition="0">
        <references count="1">
          <reference field="4294967294" count="1" selected="0">
            <x v="6"/>
          </reference>
        </references>
      </pivotArea>
    </format>
    <format dxfId="138">
      <pivotArea dataOnly="0" labelOnly="1" outline="0" fieldPosition="0">
        <references count="1">
          <reference field="4294967294" count="1">
            <x v="6"/>
          </reference>
        </references>
      </pivotArea>
    </format>
    <format dxfId="137">
      <pivotArea outline="0" collapsedLevelsAreSubtotals="1" fieldPosition="0">
        <references count="1">
          <reference field="4294967294" count="1" selected="0">
            <x v="9"/>
          </reference>
        </references>
      </pivotArea>
    </format>
    <format dxfId="136">
      <pivotArea dataOnly="0" labelOnly="1" outline="0" fieldPosition="0">
        <references count="1">
          <reference field="4294967294" count="1">
            <x v="9"/>
          </reference>
        </references>
      </pivotArea>
    </format>
    <format dxfId="135">
      <pivotArea outline="0" collapsedLevelsAreSubtotals="1" fieldPosition="0">
        <references count="1">
          <reference field="4294967294" count="1" selected="0">
            <x v="12"/>
          </reference>
        </references>
      </pivotArea>
    </format>
    <format dxfId="134">
      <pivotArea dataOnly="0" labelOnly="1" outline="0" fieldPosition="0">
        <references count="1">
          <reference field="4294967294" count="1">
            <x v="12"/>
          </reference>
        </references>
      </pivotArea>
    </format>
    <format dxfId="133">
      <pivotArea outline="0" collapsedLevelsAreSubtotals="1" fieldPosition="0">
        <references count="1">
          <reference field="4294967294" count="1" selected="0">
            <x v="15"/>
          </reference>
        </references>
      </pivotArea>
    </format>
    <format dxfId="132">
      <pivotArea dataOnly="0" labelOnly="1" outline="0" fieldPosition="0">
        <references count="1">
          <reference field="4294967294" count="1">
            <x v="15"/>
          </reference>
        </references>
      </pivotArea>
    </format>
    <format dxfId="131">
      <pivotArea outline="0" collapsedLevelsAreSubtotals="1" fieldPosition="0">
        <references count="1">
          <reference field="4294967294" count="1" selected="0">
            <x v="17"/>
          </reference>
        </references>
      </pivotArea>
    </format>
    <format dxfId="130">
      <pivotArea dataOnly="0" labelOnly="1" outline="0" fieldPosition="0">
        <references count="1">
          <reference field="4294967294" count="1">
            <x v="17"/>
          </reference>
        </references>
      </pivotArea>
    </format>
    <format dxfId="129">
      <pivotArea outline="0" fieldPosition="0">
        <references count="1">
          <reference field="4294967294" count="1">
            <x v="0"/>
          </reference>
        </references>
      </pivotArea>
    </format>
    <format dxfId="128">
      <pivotArea outline="0" fieldPosition="0">
        <references count="1">
          <reference field="4294967294" count="1">
            <x v="1"/>
          </reference>
        </references>
      </pivotArea>
    </format>
    <format dxfId="127">
      <pivotArea outline="0" fieldPosition="0">
        <references count="1">
          <reference field="4294967294" count="1">
            <x v="2"/>
          </reference>
        </references>
      </pivotArea>
    </format>
    <format dxfId="126">
      <pivotArea outline="0" fieldPosition="0">
        <references count="1">
          <reference field="4294967294" count="1">
            <x v="3"/>
          </reference>
        </references>
      </pivotArea>
    </format>
    <format dxfId="125">
      <pivotArea outline="0" fieldPosition="0">
        <references count="1">
          <reference field="4294967294" count="1">
            <x v="4"/>
          </reference>
        </references>
      </pivotArea>
    </format>
    <format dxfId="124">
      <pivotArea outline="0" fieldPosition="0">
        <references count="1">
          <reference field="4294967294" count="1">
            <x v="5"/>
          </reference>
        </references>
      </pivotArea>
    </format>
    <format dxfId="123">
      <pivotArea outline="0" fieldPosition="0">
        <references count="1">
          <reference field="4294967294" count="1">
            <x v="6"/>
          </reference>
        </references>
      </pivotArea>
    </format>
    <format dxfId="122">
      <pivotArea outline="0" fieldPosition="0">
        <references count="1">
          <reference field="4294967294" count="1">
            <x v="7"/>
          </reference>
        </references>
      </pivotArea>
    </format>
    <format dxfId="121">
      <pivotArea outline="0" fieldPosition="0">
        <references count="1">
          <reference field="4294967294" count="1">
            <x v="8"/>
          </reference>
        </references>
      </pivotArea>
    </format>
    <format dxfId="120">
      <pivotArea outline="0" fieldPosition="0">
        <references count="1">
          <reference field="4294967294" count="1">
            <x v="9"/>
          </reference>
        </references>
      </pivotArea>
    </format>
    <format dxfId="119">
      <pivotArea outline="0" fieldPosition="0">
        <references count="1">
          <reference field="4294967294" count="1">
            <x v="10"/>
          </reference>
        </references>
      </pivotArea>
    </format>
    <format dxfId="118">
      <pivotArea outline="0" fieldPosition="0">
        <references count="1">
          <reference field="4294967294" count="1">
            <x v="11"/>
          </reference>
        </references>
      </pivotArea>
    </format>
    <format dxfId="117">
      <pivotArea outline="0" fieldPosition="0">
        <references count="1">
          <reference field="4294967294" count="1">
            <x v="12"/>
          </reference>
        </references>
      </pivotArea>
    </format>
    <format dxfId="116">
      <pivotArea outline="0" fieldPosition="0">
        <references count="1">
          <reference field="4294967294" count="1">
            <x v="13"/>
          </reference>
        </references>
      </pivotArea>
    </format>
    <format dxfId="115">
      <pivotArea outline="0" fieldPosition="0">
        <references count="1">
          <reference field="4294967294" count="1">
            <x v="14"/>
          </reference>
        </references>
      </pivotArea>
    </format>
    <format dxfId="114">
      <pivotArea outline="0" fieldPosition="0">
        <references count="1">
          <reference field="4294967294" count="1">
            <x v="15"/>
          </reference>
        </references>
      </pivotArea>
    </format>
    <format dxfId="113">
      <pivotArea outline="0" fieldPosition="0">
        <references count="1">
          <reference field="4294967294" count="1">
            <x v="16"/>
          </reference>
        </references>
      </pivotArea>
    </format>
    <format dxfId="11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Read Latency (m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39">
      <pivotArea dataOnly="0" labelOnly="1" outline="0" fieldPosition="0">
        <references count="1">
          <reference field="4294967294" count="3">
            <x v="3"/>
            <x v="4"/>
            <x v="5"/>
          </reference>
        </references>
      </pivotArea>
    </format>
    <format dxfId="38">
      <pivotArea dataOnly="0" labelOnly="1" outline="0" fieldPosition="0">
        <references count="1">
          <reference field="4294967294" count="3">
            <x v="9"/>
            <x v="10"/>
            <x v="11"/>
          </reference>
        </references>
      </pivotArea>
    </format>
    <format dxfId="37">
      <pivotArea dataOnly="0" labelOnly="1" outline="0" fieldPosition="0">
        <references count="1">
          <reference field="4294967294" count="3">
            <x v="15"/>
            <x v="16"/>
            <x v="17"/>
          </reference>
        </references>
      </pivotArea>
    </format>
    <format dxfId="36">
      <pivotArea field="4" type="button" dataOnly="0" labelOnly="1" outline="0" axis="axisPage" fieldPosition="2"/>
    </format>
    <format dxfId="35">
      <pivotArea dataOnly="0" labelOnly="1" fieldPosition="0">
        <references count="1">
          <reference field="4" count="1">
            <x v="0"/>
          </reference>
        </references>
      </pivotArea>
    </format>
    <format dxfId="34">
      <pivotArea dataOnly="0" labelOnly="1" outline="0" fieldPosition="0">
        <references count="1">
          <reference field="4294967294" count="1">
            <x v="0"/>
          </reference>
        </references>
      </pivotArea>
    </format>
    <format dxfId="33">
      <pivotArea field="4" type="button" dataOnly="0" labelOnly="1" outline="0" axis="axisPage" fieldPosition="2"/>
    </format>
    <format dxfId="32">
      <pivotArea field="2" type="button" dataOnly="0" labelOnly="1" outline="0" axis="axisRow" fieldPosition="0"/>
    </format>
    <format dxfId="31">
      <pivotArea dataOnly="0" labelOnly="1" fieldPosition="0">
        <references count="1">
          <reference field="2" count="1">
            <x v="0"/>
          </reference>
        </references>
      </pivotArea>
    </format>
    <format dxfId="30">
      <pivotArea dataOnly="0" labelOnly="1" grandRow="1" outline="0" fieldPosition="0"/>
    </format>
    <format dxfId="29">
      <pivotArea outline="0" collapsedLevelsAreSubtotals="1" fieldPosition="0">
        <references count="1">
          <reference field="4294967294" count="1" selected="0">
            <x v="3"/>
          </reference>
        </references>
      </pivotArea>
    </format>
    <format dxfId="28">
      <pivotArea dataOnly="0" labelOnly="1" outline="0" fieldPosition="0">
        <references count="1">
          <reference field="4294967294" count="1">
            <x v="3"/>
          </reference>
        </references>
      </pivotArea>
    </format>
    <format dxfId="27">
      <pivotArea outline="0" collapsedLevelsAreSubtotals="1" fieldPosition="0">
        <references count="1">
          <reference field="4294967294" count="1" selected="0">
            <x v="6"/>
          </reference>
        </references>
      </pivotArea>
    </format>
    <format dxfId="26">
      <pivotArea dataOnly="0" labelOnly="1" outline="0" fieldPosition="0">
        <references count="1">
          <reference field="4294967294" count="1">
            <x v="6"/>
          </reference>
        </references>
      </pivotArea>
    </format>
    <format dxfId="25">
      <pivotArea outline="0" collapsedLevelsAreSubtotals="1" fieldPosition="0">
        <references count="1">
          <reference field="4294967294" count="1" selected="0">
            <x v="9"/>
          </reference>
        </references>
      </pivotArea>
    </format>
    <format dxfId="24">
      <pivotArea dataOnly="0" labelOnly="1" outline="0" fieldPosition="0">
        <references count="1">
          <reference field="4294967294" count="1">
            <x v="9"/>
          </reference>
        </references>
      </pivotArea>
    </format>
    <format dxfId="23">
      <pivotArea outline="0" collapsedLevelsAreSubtotals="1" fieldPosition="0">
        <references count="1">
          <reference field="4294967294" count="1" selected="0">
            <x v="12"/>
          </reference>
        </references>
      </pivotArea>
    </format>
    <format dxfId="22">
      <pivotArea dataOnly="0" labelOnly="1" outline="0" fieldPosition="0">
        <references count="1">
          <reference field="4294967294" count="1">
            <x v="12"/>
          </reference>
        </references>
      </pivotArea>
    </format>
    <format dxfId="21">
      <pivotArea outline="0" collapsedLevelsAreSubtotals="1" fieldPosition="0">
        <references count="1">
          <reference field="4294967294" count="1" selected="0">
            <x v="15"/>
          </reference>
        </references>
      </pivotArea>
    </format>
    <format dxfId="20">
      <pivotArea dataOnly="0" labelOnly="1" outline="0" fieldPosition="0">
        <references count="1">
          <reference field="4294967294" count="1">
            <x v="15"/>
          </reference>
        </references>
      </pivotArea>
    </format>
    <format dxfId="19">
      <pivotArea outline="0" collapsedLevelsAreSubtotals="1" fieldPosition="0">
        <references count="1">
          <reference field="4294967294" count="1" selected="0">
            <x v="17"/>
          </reference>
        </references>
      </pivotArea>
    </format>
    <format dxfId="18">
      <pivotArea dataOnly="0" labelOnly="1" outline="0" fieldPosition="0">
        <references count="1">
          <reference field="4294967294" count="1">
            <x v="17"/>
          </reference>
        </references>
      </pivotArea>
    </format>
    <format dxfId="17">
      <pivotArea outline="0" fieldPosition="0">
        <references count="1">
          <reference field="4294967294" count="1">
            <x v="0"/>
          </reference>
        </references>
      </pivotArea>
    </format>
    <format dxfId="16">
      <pivotArea outline="0" fieldPosition="0">
        <references count="1">
          <reference field="4294967294" count="1">
            <x v="1"/>
          </reference>
        </references>
      </pivotArea>
    </format>
    <format dxfId="15">
      <pivotArea outline="0" fieldPosition="0">
        <references count="1">
          <reference field="4294967294" count="1">
            <x v="2"/>
          </reference>
        </references>
      </pivotArea>
    </format>
    <format dxfId="14">
      <pivotArea outline="0" fieldPosition="0">
        <references count="1">
          <reference field="4294967294" count="1">
            <x v="3"/>
          </reference>
        </references>
      </pivotArea>
    </format>
    <format dxfId="13">
      <pivotArea outline="0" fieldPosition="0">
        <references count="1">
          <reference field="4294967294" count="1">
            <x v="4"/>
          </reference>
        </references>
      </pivotArea>
    </format>
    <format dxfId="12">
      <pivotArea outline="0" fieldPosition="0">
        <references count="1">
          <reference field="4294967294" count="1">
            <x v="5"/>
          </reference>
        </references>
      </pivotArea>
    </format>
    <format dxfId="11">
      <pivotArea outline="0" fieldPosition="0">
        <references count="1">
          <reference field="4294967294" count="1">
            <x v="6"/>
          </reference>
        </references>
      </pivotArea>
    </format>
    <format dxfId="10">
      <pivotArea outline="0" fieldPosition="0">
        <references count="1">
          <reference field="4294967294" count="1">
            <x v="7"/>
          </reference>
        </references>
      </pivotArea>
    </format>
    <format dxfId="9">
      <pivotArea outline="0" fieldPosition="0">
        <references count="1">
          <reference field="4294967294" count="1">
            <x v="8"/>
          </reference>
        </references>
      </pivotArea>
    </format>
    <format dxfId="8">
      <pivotArea outline="0" fieldPosition="0">
        <references count="1">
          <reference field="4294967294" count="1">
            <x v="9"/>
          </reference>
        </references>
      </pivotArea>
    </format>
    <format dxfId="7">
      <pivotArea outline="0" fieldPosition="0">
        <references count="1">
          <reference field="4294967294" count="1">
            <x v="10"/>
          </reference>
        </references>
      </pivotArea>
    </format>
    <format dxfId="6">
      <pivotArea outline="0" fieldPosition="0">
        <references count="1">
          <reference field="4294967294" count="1">
            <x v="11"/>
          </reference>
        </references>
      </pivotArea>
    </format>
    <format dxfId="5">
      <pivotArea outline="0" fieldPosition="0">
        <references count="1">
          <reference field="4294967294" count="1">
            <x v="12"/>
          </reference>
        </references>
      </pivotArea>
    </format>
    <format dxfId="4">
      <pivotArea outline="0" fieldPosition="0">
        <references count="1">
          <reference field="4294967294" count="1">
            <x v="13"/>
          </reference>
        </references>
      </pivotArea>
    </format>
    <format dxfId="3">
      <pivotArea outline="0" fieldPosition="0">
        <references count="1">
          <reference field="4294967294" count="1">
            <x v="14"/>
          </reference>
        </references>
      </pivotArea>
    </format>
    <format dxfId="2">
      <pivotArea outline="0" fieldPosition="0">
        <references count="1">
          <reference field="4294967294" count="1">
            <x v="15"/>
          </reference>
        </references>
      </pivotArea>
    </format>
    <format dxfId="1">
      <pivotArea outline="0" fieldPosition="0">
        <references count="1">
          <reference field="4294967294" count="1">
            <x v="16"/>
          </reference>
        </references>
      </pivotArea>
    </format>
    <format dxfId="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Read Latency (m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75">
      <pivotArea outline="0" collapsedLevelsAreSubtotals="1" fieldPosition="0">
        <references count="1">
          <reference field="4294967294" count="1" selected="0">
            <x v="3"/>
          </reference>
        </references>
      </pivotArea>
    </format>
    <format dxfId="74">
      <pivotArea dataOnly="0" labelOnly="1" outline="0" fieldPosition="0">
        <references count="1">
          <reference field="4294967294" count="1">
            <x v="3"/>
          </reference>
        </references>
      </pivotArea>
    </format>
    <format dxfId="73">
      <pivotArea outline="0" collapsedLevelsAreSubtotals="1" fieldPosition="0">
        <references count="1">
          <reference field="4294967294" count="1" selected="0">
            <x v="6"/>
          </reference>
        </references>
      </pivotArea>
    </format>
    <format dxfId="72">
      <pivotArea dataOnly="0" labelOnly="1" outline="0" fieldPosition="0">
        <references count="1">
          <reference field="4294967294" count="1">
            <x v="6"/>
          </reference>
        </references>
      </pivotArea>
    </format>
    <format dxfId="71">
      <pivotArea outline="0" collapsedLevelsAreSubtotals="1" fieldPosition="0">
        <references count="1">
          <reference field="4294967294" count="1" selected="0">
            <x v="9"/>
          </reference>
        </references>
      </pivotArea>
    </format>
    <format dxfId="70">
      <pivotArea dataOnly="0" labelOnly="1" outline="0" fieldPosition="0">
        <references count="1">
          <reference field="4294967294" count="1">
            <x v="9"/>
          </reference>
        </references>
      </pivotArea>
    </format>
    <format dxfId="69">
      <pivotArea outline="0" collapsedLevelsAreSubtotals="1" fieldPosition="0">
        <references count="1">
          <reference field="4294967294" count="1" selected="0">
            <x v="12"/>
          </reference>
        </references>
      </pivotArea>
    </format>
    <format dxfId="68">
      <pivotArea dataOnly="0" labelOnly="1" outline="0" fieldPosition="0">
        <references count="1">
          <reference field="4294967294" count="1">
            <x v="12"/>
          </reference>
        </references>
      </pivotArea>
    </format>
    <format dxfId="67">
      <pivotArea outline="0" collapsedLevelsAreSubtotals="1" fieldPosition="0">
        <references count="1">
          <reference field="4294967294" count="1" selected="0">
            <x v="15"/>
          </reference>
        </references>
      </pivotArea>
    </format>
    <format dxfId="66">
      <pivotArea dataOnly="0" labelOnly="1" outline="0" fieldPosition="0">
        <references count="1">
          <reference field="4294967294" count="1">
            <x v="15"/>
          </reference>
        </references>
      </pivotArea>
    </format>
    <format dxfId="65">
      <pivotArea dataOnly="0" labelOnly="1" outline="0" fieldPosition="0">
        <references count="1">
          <reference field="4294967294" count="3">
            <x v="3"/>
            <x v="4"/>
            <x v="5"/>
          </reference>
        </references>
      </pivotArea>
    </format>
    <format dxfId="64">
      <pivotArea dataOnly="0" labelOnly="1" outline="0" fieldPosition="0">
        <references count="1">
          <reference field="4294967294" count="3">
            <x v="9"/>
            <x v="10"/>
            <x v="11"/>
          </reference>
        </references>
      </pivotArea>
    </format>
    <format dxfId="63">
      <pivotArea dataOnly="0" labelOnly="1" outline="0" fieldPosition="0">
        <references count="1">
          <reference field="4294967294" count="3">
            <x v="15"/>
            <x v="16"/>
            <x v="17"/>
          </reference>
        </references>
      </pivotArea>
    </format>
    <format dxfId="62">
      <pivotArea field="4" type="button" dataOnly="0" labelOnly="1" outline="0" axis="axisRow" fieldPosition="0"/>
    </format>
    <format dxfId="61">
      <pivotArea dataOnly="0" labelOnly="1" fieldPosition="0">
        <references count="1">
          <reference field="4" count="1">
            <x v="0"/>
          </reference>
        </references>
      </pivotArea>
    </format>
    <format dxfId="60">
      <pivotArea dataOnly="0" labelOnly="1" grandRow="1" outline="0" fieldPosition="0"/>
    </format>
    <format dxfId="59">
      <pivotArea dataOnly="0" labelOnly="1" outline="0" fieldPosition="0">
        <references count="1">
          <reference field="4294967294" count="1">
            <x v="0"/>
          </reference>
        </references>
      </pivotArea>
    </format>
    <format dxfId="58">
      <pivotArea field="4" type="button" dataOnly="0" labelOnly="1" outline="0" axis="axisRow" fieldPosition="0"/>
    </format>
    <format dxfId="57">
      <pivotArea outline="0" fieldPosition="0">
        <references count="1">
          <reference field="4294967294" count="1">
            <x v="0"/>
          </reference>
        </references>
      </pivotArea>
    </format>
    <format dxfId="56">
      <pivotArea outline="0" fieldPosition="0">
        <references count="1">
          <reference field="4294967294" count="1">
            <x v="1"/>
          </reference>
        </references>
      </pivotArea>
    </format>
    <format dxfId="55">
      <pivotArea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4"/>
          </reference>
        </references>
      </pivotArea>
    </format>
    <format dxfId="52">
      <pivotArea outline="0" fieldPosition="0">
        <references count="1">
          <reference field="4294967294" count="1">
            <x v="5"/>
          </reference>
        </references>
      </pivotArea>
    </format>
    <format dxfId="51">
      <pivotArea outline="0" fieldPosition="0">
        <references count="1">
          <reference field="4294967294" count="1">
            <x v="6"/>
          </reference>
        </references>
      </pivotArea>
    </format>
    <format dxfId="50">
      <pivotArea outline="0" fieldPosition="0">
        <references count="1">
          <reference field="4294967294" count="1">
            <x v="7"/>
          </reference>
        </references>
      </pivotArea>
    </format>
    <format dxfId="49">
      <pivotArea outline="0" fieldPosition="0">
        <references count="1">
          <reference field="4294967294" count="1">
            <x v="8"/>
          </reference>
        </references>
      </pivotArea>
    </format>
    <format dxfId="48">
      <pivotArea outline="0" fieldPosition="0">
        <references count="1">
          <reference field="4294967294" count="1">
            <x v="9"/>
          </reference>
        </references>
      </pivotArea>
    </format>
    <format dxfId="47">
      <pivotArea outline="0" fieldPosition="0">
        <references count="1">
          <reference field="4294967294" count="1">
            <x v="10"/>
          </reference>
        </references>
      </pivotArea>
    </format>
    <format dxfId="46">
      <pivotArea outline="0" fieldPosition="0">
        <references count="1">
          <reference field="4294967294" count="1">
            <x v="11"/>
          </reference>
        </references>
      </pivotArea>
    </format>
    <format dxfId="45">
      <pivotArea outline="0" fieldPosition="0">
        <references count="1">
          <reference field="4294967294" count="1">
            <x v="12"/>
          </reference>
        </references>
      </pivotArea>
    </format>
    <format dxfId="44">
      <pivotArea outline="0" fieldPosition="0">
        <references count="1">
          <reference field="4294967294" count="1">
            <x v="13"/>
          </reference>
        </references>
      </pivotArea>
    </format>
    <format dxfId="43">
      <pivotArea outline="0" fieldPosition="0">
        <references count="1">
          <reference field="4294967294" count="1">
            <x v="14"/>
          </reference>
        </references>
      </pivotArea>
    </format>
    <format dxfId="42">
      <pivotArea outline="0" fieldPosition="0">
        <references count="1">
          <reference field="4294967294" count="1">
            <x v="15"/>
          </reference>
        </references>
      </pivotArea>
    </format>
    <format dxfId="41">
      <pivotArea outline="0" fieldPosition="0">
        <references count="1">
          <reference field="4294967294" count="1">
            <x v="16"/>
          </reference>
        </references>
      </pivotArea>
    </format>
    <format dxfId="4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21" name="PTLocalReadLatencyMaxbyTable"/>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3"/>
    <pivotTable tabId="29" name="PivotTable4"/>
    <pivotTable tabId="29" name="PivotTable6"/>
    <pivotTable tabId="24" name="PivotTable8"/>
    <pivotTable tabId="24" name="PivotTable9"/>
    <pivotTable tabId="21" name="PivotTable1"/>
    <pivotTable tabId="21" name="PivotTable2"/>
    <pivotTable tabId="21" name="PTLocalReadCountbyTable"/>
    <pivotTable tabId="34" name="PivotTable7"/>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ivotTable3"/>
    <pivotTable tabId="11" name="PTLocalWriteCountbyTable"/>
    <pivotTable tabId="11" name="PTLocalWriteLatencyMaxbyTable"/>
    <pivotTable tabId="35" name="PivotTable3"/>
    <pivotTable tabId="35" name="PTLocalWriteCountbyNode"/>
    <pivotTable tabId="35" name="PTLocalWriteLatencybyNode"/>
  </pivotTables>
  <data>
    <tabular pivotCacheId="1" showMissing="0">
      <items count="4">
        <i x="1" s="1"/>
        <i x="0"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21" name="PTLocalReadLatencyMaxbyTable"/>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3"/>
    <pivotTable tabId="29" name="PivotTable4"/>
    <pivotTable tabId="29" name="PivotTable6"/>
    <pivotTable tabId="24" name="PivotTable8"/>
    <pivotTable tabId="24" name="PivotTable9"/>
    <pivotTable tabId="21" name="PivotTable1"/>
    <pivotTable tabId="21" name="PivotTable2"/>
    <pivotTable tabId="21" name="PTLocalReadCountbyTable"/>
    <pivotTable tabId="34" name="PivotTable7"/>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ivotTable3"/>
    <pivotTable tabId="11" name="PTLocalWriteCountbyTable"/>
    <pivotTable tabId="11" name="PTLocalWriteLatencyMaxbyTable"/>
    <pivotTable tabId="35" name="PivotTable3"/>
    <pivotTable tabId="35" name="PTLocalWriteCountbyNode"/>
    <pivotTable tabId="35" name="PTLocalWriteLatencybyNode"/>
  </pivotTables>
  <data>
    <tabular pivotCacheId="1"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21" name="PTLocalReadLatencyMaxbyTable"/>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3"/>
    <pivotTable tabId="29" name="PivotTable4"/>
    <pivotTable tabId="29" name="PivotTable6"/>
    <pivotTable tabId="24" name="PivotTable8"/>
    <pivotTable tabId="24" name="PivotTable9"/>
    <pivotTable tabId="21" name="PivotTable1"/>
    <pivotTable tabId="21" name="PivotTable2"/>
    <pivotTable tabId="21" name="PTLocalReadCountbyTable"/>
    <pivotTable tabId="34" name="PivotTable7"/>
    <pivotTable tabId="34" name="PTLocalReadCountbyNode"/>
    <pivotTable tabId="34" name="PTLocalReadLatencyMaxbyNode"/>
    <pivotTable tabId="15" name="PivotTable1"/>
    <pivotTable tabId="15" name="PivotTable2"/>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ivotTable3"/>
    <pivotTable tabId="11" name="PTLocalWriteCountbyTable"/>
    <pivotTable tabId="11" name="PTLocalWriteLatencyMaxbyTable"/>
    <pivotTable tabId="35" name="PivotTable3"/>
    <pivotTable tabId="35" name="PTLocalWriteCountbyNode"/>
    <pivotTable tabId="35" name="PTLocalWriteLatencybyNode"/>
  </pivotTables>
  <data>
    <tabular pivotCacheId="1"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21" name="PTLocalReadLatencyMaxbyTable"/>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3"/>
    <pivotTable tabId="29" name="PivotTable4"/>
    <pivotTable tabId="29" name="PivotTable6"/>
    <pivotTable tabId="24" name="PivotTable8"/>
    <pivotTable tabId="24" name="PivotTable9"/>
    <pivotTable tabId="21" name="PivotTable1"/>
    <pivotTable tabId="21" name="PivotTable2"/>
    <pivotTable tabId="21" name="PTLocalReadCountbyTable"/>
    <pivotTable tabId="34" name="PivotTable7"/>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ivotTable3"/>
    <pivotTable tabId="11" name="PTLocalWriteCountbyTable"/>
    <pivotTable tabId="11" name="PTLocalWriteLatencyMaxbyTable"/>
    <pivotTable tabId="35" name="PivotTable3"/>
    <pivotTable tabId="35" name="PTLocalWriteCountbyNode"/>
    <pivotTable tabId="35" name="PTLocalWriteLatencybyNode"/>
  </pivotTables>
  <data>
    <tabular pivotCacheId="1"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21" name="PTLocalReadLatencyMaxbyTable"/>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3"/>
    <pivotTable tabId="29" name="PivotTable4"/>
    <pivotTable tabId="29" name="PivotTable6"/>
    <pivotTable tabId="24" name="PivotTable8"/>
    <pivotTable tabId="24" name="PivotTable9"/>
    <pivotTable tabId="21" name="PivotTable1"/>
    <pivotTable tabId="21" name="PivotTable2"/>
    <pivotTable tabId="21" name="PTLocalReadCountbyTable"/>
    <pivotTable tabId="34" name="PivotTable7"/>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ivotTable3"/>
    <pivotTable tabId="11" name="PTLocalWriteCountbyTable"/>
    <pivotTable tabId="11" name="PTLocalWriteLatencyMaxbyTable"/>
    <pivotTable tabId="35" name="PivotTable3"/>
    <pivotTable tabId="35" name="PTLocalWriteCountbyNode"/>
    <pivotTable tabId="35" name="PTLocalWriteLatencybyNode"/>
  </pivotTables>
  <data>
    <tabular pivotCacheId="1"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4" name="PTSlowQueryOccurrencesbyNode"/>
    <pivotTable tabId="26" name="PivotTable10"/>
    <pivotTable tabId="26" name="PivotTable3"/>
    <pivotTable tabId="23" name="PivotTable21"/>
    <pivotTable tabId="31" name="PivotTable1"/>
    <pivotTable tabId="31" name="PivotTable15"/>
    <pivotTable tabId="31" name="PivotTable2"/>
    <pivotTable tabId="31" name="PivotTable9"/>
    <pivotTable tabId="24" name="PivotTable1"/>
    <pivotTable tabId="24" name="PivotTable2"/>
    <pivotTable tabId="34" name="PTTPReadCntMaxbyNode"/>
    <pivotTable tabId="34" name="PTTPReadNbrbyNode"/>
    <pivotTable tabId="25" name="PTTPReadRepairDigestQryMaxbyNode"/>
    <pivotTable tabId="25" name="PTTPReadRepairMaxbyNode"/>
    <pivotTable tabId="35" name="PTTPWriteCntMaxinNode"/>
    <pivotTable tabId="35" name="PTTPWriteNbrbyNode"/>
  </pivotTables>
  <data>
    <tabular pivotCacheId="2"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4" name="PTSlowQueryOccurrencesbyNode"/>
    <pivotTable tabId="26" name="PivotTable10"/>
    <pivotTable tabId="26" name="PivotTable3"/>
    <pivotTable tabId="23" name="PivotTable21"/>
    <pivotTable tabId="31" name="PivotTable1"/>
    <pivotTable tabId="31" name="PivotTable15"/>
    <pivotTable tabId="31" name="PivotTable2"/>
    <pivotTable tabId="31" name="PivotTable9"/>
    <pivotTable tabId="24" name="PivotTable1"/>
    <pivotTable tabId="24" name="PivotTable2"/>
    <pivotTable tabId="34" name="PTTPReadCntMaxbyNode"/>
    <pivotTable tabId="34" name="PTTPReadNbrbyNode"/>
    <pivotTable tabId="25" name="PTTPReadRepairDigestQryMaxbyNode"/>
    <pivotTable tabId="25" name="PTTPReadRepairMaxbyNode"/>
    <pivotTable tabId="35" name="PTTPWriteCntMaxinNode"/>
    <pivotTable tabId="35" name="PTTPWriteNbrbyNode"/>
  </pivotTables>
  <data>
    <tabular pivotCacheId="2"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4" name="PTSlowQueryOccurrencesbyNode"/>
    <pivotTable tabId="26" name="PivotTable10"/>
    <pivotTable tabId="26" name="PivotTable3"/>
    <pivotTable tabId="23" name="PivotTable21"/>
    <pivotTable tabId="31" name="PivotTable1"/>
    <pivotTable tabId="31" name="PivotTable15"/>
    <pivotTable tabId="31" name="PivotTable2"/>
    <pivotTable tabId="31" name="PivotTable9"/>
    <pivotTable tabId="24" name="PivotTable1"/>
    <pivotTable tabId="24" name="PivotTable2"/>
    <pivotTable tabId="34" name="PTTPReadCntMaxbyNode"/>
    <pivotTable tabId="34" name="PTTPReadNbrbyNode"/>
    <pivotTable tabId="25" name="PTTPReadRepairDigestQryMaxbyNode"/>
    <pivotTable tabId="25" name="PTTPReadRepairMaxbyNode"/>
    <pivotTable tabId="35" name="PTTPWriteCntMaxinNode"/>
    <pivotTable tabId="35" name="PTTPWriteNbrbyNode"/>
  </pivotTables>
  <data>
    <tabular pivotCacheId="2"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rinterSettings" Target="../printerSettings/printerSettings4.bin"/><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4"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rinterSettings" Target="../printerSettings/printerSettings6.bin"/><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20.xml"/><Relationship Id="rId2" Type="http://schemas.openxmlformats.org/officeDocument/2006/relationships/pivotTable" Target="../pivotTables/pivotTable19.xml"/><Relationship Id="rId1" Type="http://schemas.openxmlformats.org/officeDocument/2006/relationships/pivotTable" Target="../pivotTables/pivotTable18.xml"/><Relationship Id="rId5" Type="http://schemas.openxmlformats.org/officeDocument/2006/relationships/printerSettings" Target="../printerSettings/printerSettings7.bin"/><Relationship Id="rId4" Type="http://schemas.openxmlformats.org/officeDocument/2006/relationships/pivotTable" Target="../pivotTables/pivotTable21.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5" Type="http://schemas.openxmlformats.org/officeDocument/2006/relationships/printerSettings" Target="../printerSettings/printerSettings8.bin"/><Relationship Id="rId4" Type="http://schemas.openxmlformats.org/officeDocument/2006/relationships/pivotTable" Target="../pivotTables/pivotTable25.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 Id="rId6" Type="http://schemas.openxmlformats.org/officeDocument/2006/relationships/printerSettings" Target="../printerSettings/printerSettings9.bin"/><Relationship Id="rId5" Type="http://schemas.openxmlformats.org/officeDocument/2006/relationships/pivotTable" Target="../pivotTables/pivotTable30.xml"/><Relationship Id="rId4" Type="http://schemas.openxmlformats.org/officeDocument/2006/relationships/pivotTable" Target="../pivotTables/pivotTable29.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5" Type="http://schemas.openxmlformats.org/officeDocument/2006/relationships/printerSettings" Target="../printerSettings/printerSettings10.bin"/><Relationship Id="rId4" Type="http://schemas.openxmlformats.org/officeDocument/2006/relationships/pivotTable" Target="../pivotTables/pivotTable34.xm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s>
</file>

<file path=xl/worksheets/_rels/sheet16.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4.xml"/><Relationship Id="rId7" Type="http://schemas.openxmlformats.org/officeDocument/2006/relationships/pivotTable" Target="../pivotTables/pivotTable48.xml"/><Relationship Id="rId2" Type="http://schemas.openxmlformats.org/officeDocument/2006/relationships/pivotTable" Target="../pivotTables/pivotTable43.xml"/><Relationship Id="rId1" Type="http://schemas.openxmlformats.org/officeDocument/2006/relationships/pivotTable" Target="../pivotTables/pivotTable42.xml"/><Relationship Id="rId6" Type="http://schemas.openxmlformats.org/officeDocument/2006/relationships/pivotTable" Target="../pivotTables/pivotTable47.xml"/><Relationship Id="rId5" Type="http://schemas.openxmlformats.org/officeDocument/2006/relationships/pivotTable" Target="../pivotTables/pivotTable46.xml"/><Relationship Id="rId4" Type="http://schemas.openxmlformats.org/officeDocument/2006/relationships/pivotTable" Target="../pivotTables/pivotTable45.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51.xml"/><Relationship Id="rId2" Type="http://schemas.openxmlformats.org/officeDocument/2006/relationships/pivotTable" Target="../pivotTables/pivotTable50.xml"/><Relationship Id="rId1" Type="http://schemas.openxmlformats.org/officeDocument/2006/relationships/pivotTable" Target="../pivotTables/pivotTable49.xml"/><Relationship Id="rId4"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54.xml"/><Relationship Id="rId2" Type="http://schemas.openxmlformats.org/officeDocument/2006/relationships/pivotTable" Target="../pivotTables/pivotTable53.xml"/><Relationship Id="rId1" Type="http://schemas.openxmlformats.org/officeDocument/2006/relationships/pivotTable" Target="../pivotTables/pivotTable52.xml"/><Relationship Id="rId5" Type="http://schemas.openxmlformats.org/officeDocument/2006/relationships/printerSettings" Target="../printerSettings/printerSettings14.bin"/><Relationship Id="rId4" Type="http://schemas.openxmlformats.org/officeDocument/2006/relationships/pivotTable" Target="../pivotTables/pivotTable55.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8.xml"/><Relationship Id="rId7" Type="http://schemas.openxmlformats.org/officeDocument/2006/relationships/printerSettings" Target="../printerSettings/printerSettings15.bin"/><Relationship Id="rId2" Type="http://schemas.openxmlformats.org/officeDocument/2006/relationships/pivotTable" Target="../pivotTables/pivotTable57.xml"/><Relationship Id="rId1" Type="http://schemas.openxmlformats.org/officeDocument/2006/relationships/pivotTable" Target="../pivotTables/pivotTable56.xml"/><Relationship Id="rId6" Type="http://schemas.openxmlformats.org/officeDocument/2006/relationships/pivotTable" Target="../pivotTables/pivotTable61.xml"/><Relationship Id="rId5" Type="http://schemas.openxmlformats.org/officeDocument/2006/relationships/pivotTable" Target="../pivotTables/pivotTable60.xml"/><Relationship Id="rId4" Type="http://schemas.openxmlformats.org/officeDocument/2006/relationships/pivotTable" Target="../pivotTables/pivotTable59.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4.xml"/><Relationship Id="rId7" Type="http://schemas.openxmlformats.org/officeDocument/2006/relationships/printerSettings" Target="../printerSettings/printerSettings16.bin"/><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ivotTable" Target="../pivotTables/pivotTable67.xml"/><Relationship Id="rId5" Type="http://schemas.openxmlformats.org/officeDocument/2006/relationships/pivotTable" Target="../pivotTables/pivotTable66.xml"/><Relationship Id="rId4" Type="http://schemas.openxmlformats.org/officeDocument/2006/relationships/pivotTable" Target="../pivotTables/pivotTable65.xml"/></Relationships>
</file>

<file path=xl/worksheets/_rels/sheet21.xml.rels><?xml version="1.0" encoding="UTF-8" standalone="yes"?>
<Relationships xmlns="http://schemas.openxmlformats.org/package/2006/relationships"><Relationship Id="rId8" Type="http://schemas.openxmlformats.org/officeDocument/2006/relationships/pivotTable" Target="../pivotTables/pivotTable75.xml"/><Relationship Id="rId3" Type="http://schemas.openxmlformats.org/officeDocument/2006/relationships/pivotTable" Target="../pivotTables/pivotTable70.xml"/><Relationship Id="rId7" Type="http://schemas.openxmlformats.org/officeDocument/2006/relationships/pivotTable" Target="../pivotTables/pivotTable74.xml"/><Relationship Id="rId2" Type="http://schemas.openxmlformats.org/officeDocument/2006/relationships/pivotTable" Target="../pivotTables/pivotTable69.xml"/><Relationship Id="rId1" Type="http://schemas.openxmlformats.org/officeDocument/2006/relationships/pivotTable" Target="../pivotTables/pivotTable68.xml"/><Relationship Id="rId6" Type="http://schemas.openxmlformats.org/officeDocument/2006/relationships/pivotTable" Target="../pivotTables/pivotTable73.xml"/><Relationship Id="rId11" Type="http://schemas.openxmlformats.org/officeDocument/2006/relationships/printerSettings" Target="../printerSettings/printerSettings17.bin"/><Relationship Id="rId5" Type="http://schemas.openxmlformats.org/officeDocument/2006/relationships/pivotTable" Target="../pivotTables/pivotTable72.xml"/><Relationship Id="rId10" Type="http://schemas.openxmlformats.org/officeDocument/2006/relationships/pivotTable" Target="../pivotTables/pivotTable77.xml"/><Relationship Id="rId4" Type="http://schemas.openxmlformats.org/officeDocument/2006/relationships/pivotTable" Target="../pivotTables/pivotTable71.xml"/><Relationship Id="rId9" Type="http://schemas.openxmlformats.org/officeDocument/2006/relationships/pivotTable" Target="../pivotTables/pivotTable76.xm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ivotTable" Target="../pivotTables/pivotTable79.xml"/><Relationship Id="rId1" Type="http://schemas.openxmlformats.org/officeDocument/2006/relationships/pivotTable" Target="../pivotTables/pivotTable78.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82.xml"/><Relationship Id="rId7" Type="http://schemas.openxmlformats.org/officeDocument/2006/relationships/printerSettings" Target="../printerSettings/printerSettings19.bin"/><Relationship Id="rId2" Type="http://schemas.openxmlformats.org/officeDocument/2006/relationships/pivotTable" Target="../pivotTables/pivotTable81.xml"/><Relationship Id="rId1" Type="http://schemas.openxmlformats.org/officeDocument/2006/relationships/pivotTable" Target="../pivotTables/pivotTable80.xml"/><Relationship Id="rId6" Type="http://schemas.openxmlformats.org/officeDocument/2006/relationships/pivotTable" Target="../pivotTables/pivotTable85.xml"/><Relationship Id="rId5" Type="http://schemas.openxmlformats.org/officeDocument/2006/relationships/pivotTable" Target="../pivotTables/pivotTable84.xml"/><Relationship Id="rId4" Type="http://schemas.openxmlformats.org/officeDocument/2006/relationships/pivotTable" Target="../pivotTables/pivotTable83.xml"/></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ivotTable" Target="../pivotTables/pivotTable87.xml"/><Relationship Id="rId1" Type="http://schemas.openxmlformats.org/officeDocument/2006/relationships/pivotTable" Target="../pivotTables/pivotTable86.x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ivotTable" Target="../pivotTables/pivotTable89.xml"/><Relationship Id="rId1" Type="http://schemas.openxmlformats.org/officeDocument/2006/relationships/pivotTable" Target="../pivotTables/pivotTable88.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pivotTable" Target="../pivotTables/pivotTable91.xml"/><Relationship Id="rId1" Type="http://schemas.openxmlformats.org/officeDocument/2006/relationships/pivotTable" Target="../pivotTables/pivotTable90.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ivotTable" Target="../pivotTables/pivotTable93.xml"/><Relationship Id="rId1" Type="http://schemas.openxmlformats.org/officeDocument/2006/relationships/pivotTable" Target="../pivotTables/pivotTable92.x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95.xml"/><Relationship Id="rId1" Type="http://schemas.openxmlformats.org/officeDocument/2006/relationships/pivotTable" Target="../pivotTables/pivotTable94.xml"/></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98.xml"/><Relationship Id="rId2" Type="http://schemas.openxmlformats.org/officeDocument/2006/relationships/pivotTable" Target="../pivotTables/pivotTable97.xml"/><Relationship Id="rId1" Type="http://schemas.openxmlformats.org/officeDocument/2006/relationships/pivotTable" Target="../pivotTables/pivotTable96.xml"/><Relationship Id="rId4"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5"/>
  <sheetData>
    <row r="5" spans="2:26" ht="18.75">
      <c r="B5" s="109" t="s">
        <v>525</v>
      </c>
      <c r="C5" s="109"/>
      <c r="D5" s="109"/>
      <c r="F5" s="109" t="s">
        <v>526</v>
      </c>
      <c r="G5" s="109"/>
      <c r="H5" s="109"/>
      <c r="J5" s="109" t="s">
        <v>367</v>
      </c>
      <c r="K5" s="109"/>
      <c r="L5" s="109"/>
      <c r="N5" s="109" t="s">
        <v>519</v>
      </c>
      <c r="O5" s="109"/>
      <c r="P5" s="109"/>
      <c r="Q5" s="110"/>
      <c r="R5" s="110"/>
      <c r="S5" s="110"/>
      <c r="T5" s="110"/>
      <c r="U5" s="110"/>
      <c r="V5" s="110"/>
      <c r="W5" s="110"/>
      <c r="X5" s="110"/>
      <c r="Y5" s="110"/>
      <c r="Z5" s="110"/>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15" t="s">
        <v>236</v>
      </c>
      <c r="K1" s="113" t="s">
        <v>236</v>
      </c>
      <c r="L1" s="113" t="s">
        <v>236</v>
      </c>
      <c r="M1" s="114" t="s">
        <v>236</v>
      </c>
      <c r="N1" s="111" t="s">
        <v>237</v>
      </c>
      <c r="O1" s="112" t="s">
        <v>237</v>
      </c>
      <c r="P1" s="112" t="s">
        <v>237</v>
      </c>
      <c r="Q1" s="112" t="s">
        <v>237</v>
      </c>
      <c r="R1" s="112" t="s">
        <v>237</v>
      </c>
      <c r="S1" s="116" t="s">
        <v>237</v>
      </c>
      <c r="T1" s="117" t="s">
        <v>238</v>
      </c>
      <c r="U1" s="118" t="s">
        <v>238</v>
      </c>
      <c r="V1" s="118" t="s">
        <v>238</v>
      </c>
      <c r="W1" s="118" t="s">
        <v>238</v>
      </c>
      <c r="X1" s="119" t="s">
        <v>238</v>
      </c>
      <c r="Y1" s="120" t="s">
        <v>239</v>
      </c>
      <c r="Z1" s="118" t="s">
        <v>239</v>
      </c>
      <c r="AA1" s="113" t="s">
        <v>239</v>
      </c>
      <c r="AB1" s="119" t="s">
        <v>239</v>
      </c>
      <c r="AC1" s="120" t="s">
        <v>240</v>
      </c>
      <c r="AD1" s="113" t="s">
        <v>240</v>
      </c>
      <c r="AE1" s="113" t="s">
        <v>240</v>
      </c>
      <c r="AF1" s="114" t="s">
        <v>240</v>
      </c>
      <c r="AG1" s="117" t="s">
        <v>241</v>
      </c>
      <c r="AH1" s="118" t="s">
        <v>241</v>
      </c>
      <c r="AI1" s="118" t="s">
        <v>241</v>
      </c>
      <c r="AJ1" s="118" t="s">
        <v>241</v>
      </c>
      <c r="AK1" s="121" t="s">
        <v>241</v>
      </c>
      <c r="AL1" s="111" t="s">
        <v>242</v>
      </c>
      <c r="AM1" s="112" t="s">
        <v>242</v>
      </c>
      <c r="AN1" s="112" t="s">
        <v>242</v>
      </c>
      <c r="AO1" s="112" t="s">
        <v>242</v>
      </c>
      <c r="AP1" s="112" t="s">
        <v>242</v>
      </c>
      <c r="AQ1" s="113" t="s">
        <v>242</v>
      </c>
      <c r="AR1" s="113" t="s">
        <v>242</v>
      </c>
      <c r="AS1" s="114"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2"/>
  <sheetViews>
    <sheetView workbookViewId="0">
      <pane ySplit="1" topLeftCell="A2" activePane="bottomLeft" state="frozen"/>
      <selection pane="bottomLeft"/>
    </sheetView>
  </sheetViews>
  <sheetFormatPr defaultRowHeight="15"/>
  <cols>
    <col min="1" max="1" width="17.28515625" customWidth="1"/>
    <col min="2" max="2" width="13.85546875" customWidth="1"/>
    <col min="3" max="3" width="9.85546875" customWidth="1"/>
    <col min="5" max="5" width="15.5703125" customWidth="1"/>
    <col min="6" max="6" width="18" customWidth="1"/>
  </cols>
  <sheetData>
    <row r="1" spans="1:20" s="16" customFormat="1">
      <c r="A1" s="25" t="s">
        <v>88</v>
      </c>
      <c r="B1" s="25" t="s">
        <v>0</v>
      </c>
      <c r="C1" s="25" t="s">
        <v>116</v>
      </c>
      <c r="D1" s="25" t="s">
        <v>117</v>
      </c>
      <c r="E1" s="25" t="s">
        <v>118</v>
      </c>
      <c r="F1" s="25" t="s">
        <v>119</v>
      </c>
      <c r="G1" s="25" t="s">
        <v>120</v>
      </c>
      <c r="H1" s="26" t="s">
        <v>121</v>
      </c>
      <c r="I1" s="14" t="s">
        <v>122</v>
      </c>
      <c r="J1" s="25" t="s">
        <v>123</v>
      </c>
      <c r="K1" s="25" t="s">
        <v>124</v>
      </c>
      <c r="L1" s="12" t="s">
        <v>125</v>
      </c>
      <c r="M1" s="12" t="s">
        <v>126</v>
      </c>
      <c r="N1" s="16" t="s">
        <v>127</v>
      </c>
      <c r="O1" s="16" t="s">
        <v>128</v>
      </c>
      <c r="P1" s="16" t="s">
        <v>129</v>
      </c>
      <c r="Q1" s="16" t="s">
        <v>130</v>
      </c>
      <c r="R1" s="16" t="s">
        <v>131</v>
      </c>
      <c r="S1" s="16" t="s">
        <v>132</v>
      </c>
      <c r="T1" s="16" t="s">
        <v>133</v>
      </c>
    </row>
    <row r="2" spans="1:20" s="10" customFormat="1">
      <c r="A2" s="22" t="s">
        <v>49</v>
      </c>
      <c r="B2" s="10" t="s">
        <v>108</v>
      </c>
      <c r="C2" s="10" t="s">
        <v>134</v>
      </c>
      <c r="D2" s="10" t="s">
        <v>135</v>
      </c>
      <c r="E2" s="10" t="s">
        <v>136</v>
      </c>
      <c r="F2" s="10" t="s">
        <v>137</v>
      </c>
      <c r="G2" s="27">
        <v>1597.44</v>
      </c>
      <c r="H2" s="28">
        <v>0.22289999999999999</v>
      </c>
      <c r="I2" s="19">
        <v>6.5428240740740704E-2</v>
      </c>
      <c r="J2" s="10" t="s">
        <v>138</v>
      </c>
      <c r="K2" s="27">
        <v>1.01</v>
      </c>
      <c r="L2" s="11">
        <v>256</v>
      </c>
      <c r="M2" s="11">
        <v>0</v>
      </c>
      <c r="O2" s="10" t="b">
        <v>1</v>
      </c>
      <c r="P2" s="10" t="b">
        <v>1</v>
      </c>
      <c r="Q2" s="10" t="b">
        <v>1</v>
      </c>
      <c r="R2" s="10" t="s">
        <v>139</v>
      </c>
      <c r="S2" s="10" t="s">
        <v>140</v>
      </c>
      <c r="T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438</v>
      </c>
      <c r="D1" s="16" t="s">
        <v>439</v>
      </c>
      <c r="E1" s="16" t="s">
        <v>4</v>
      </c>
    </row>
  </sheetData>
  <autoFilter ref="A1:E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429</v>
      </c>
      <c r="C1" s="80" t="s">
        <v>0</v>
      </c>
      <c r="D1" s="80" t="s">
        <v>430</v>
      </c>
      <c r="E1" s="80" t="s">
        <v>102</v>
      </c>
    </row>
    <row r="2" spans="1:5">
      <c r="A2" s="22" t="s">
        <v>48</v>
      </c>
      <c r="B2" s="81" t="s">
        <v>431</v>
      </c>
      <c r="C2" s="81" t="s">
        <v>108</v>
      </c>
      <c r="D2" s="81">
        <v>3</v>
      </c>
      <c r="E2" s="81" t="s">
        <v>432</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s>
  <sheetData>
    <row r="1" spans="1:17" s="16" customFormat="1" ht="15" customHeight="1">
      <c r="B1" s="13"/>
      <c r="C1" s="13"/>
      <c r="D1" s="13"/>
      <c r="E1" s="13"/>
      <c r="F1" s="13"/>
      <c r="G1" s="117" t="s">
        <v>89</v>
      </c>
      <c r="H1" s="122" t="s">
        <v>89</v>
      </c>
      <c r="I1" s="122" t="s">
        <v>89</v>
      </c>
      <c r="J1" s="121" t="s">
        <v>89</v>
      </c>
      <c r="K1" s="14"/>
      <c r="L1" s="123" t="s">
        <v>433</v>
      </c>
      <c r="M1" s="124" t="s">
        <v>433</v>
      </c>
      <c r="N1" s="124" t="s">
        <v>433</v>
      </c>
      <c r="O1" s="125" t="s">
        <v>433</v>
      </c>
    </row>
    <row r="2" spans="1:17" s="16" customFormat="1">
      <c r="A2" s="16" t="s">
        <v>52</v>
      </c>
      <c r="B2" s="13" t="s">
        <v>90</v>
      </c>
      <c r="C2" s="13" t="s">
        <v>91</v>
      </c>
      <c r="D2" s="13" t="s">
        <v>92</v>
      </c>
      <c r="E2" s="13" t="s">
        <v>93</v>
      </c>
      <c r="F2" s="13" t="s">
        <v>94</v>
      </c>
      <c r="G2" s="42" t="s">
        <v>434</v>
      </c>
      <c r="H2" s="13" t="s">
        <v>95</v>
      </c>
      <c r="I2" s="13" t="s">
        <v>96</v>
      </c>
      <c r="J2" s="17" t="s">
        <v>97</v>
      </c>
      <c r="K2" s="14" t="s">
        <v>98</v>
      </c>
      <c r="L2" s="83" t="s">
        <v>99</v>
      </c>
      <c r="M2" s="15" t="s">
        <v>100</v>
      </c>
      <c r="N2" s="15" t="s">
        <v>435</v>
      </c>
      <c r="O2" s="84" t="s">
        <v>436</v>
      </c>
      <c r="P2" s="16" t="s">
        <v>101</v>
      </c>
      <c r="Q2" s="16" t="s">
        <v>102</v>
      </c>
    </row>
    <row r="3" spans="1:17" s="10" customFormat="1">
      <c r="A3" s="10" t="b">
        <v>1</v>
      </c>
      <c r="B3" s="22" t="s">
        <v>48</v>
      </c>
      <c r="C3" s="10" t="s">
        <v>50</v>
      </c>
      <c r="D3" s="10" t="s">
        <v>103</v>
      </c>
      <c r="E3" s="10" t="s">
        <v>104</v>
      </c>
      <c r="F3" s="10" t="s">
        <v>105</v>
      </c>
      <c r="G3" s="18"/>
      <c r="H3" s="18">
        <v>0</v>
      </c>
      <c r="I3" s="18">
        <v>0.1</v>
      </c>
      <c r="J3" s="10" t="s">
        <v>106</v>
      </c>
      <c r="K3" s="19">
        <v>10</v>
      </c>
      <c r="L3" s="20">
        <v>0</v>
      </c>
      <c r="O3" s="10">
        <v>2</v>
      </c>
      <c r="Q3" s="22" t="s">
        <v>107</v>
      </c>
    </row>
  </sheetData>
  <mergeCells count="2">
    <mergeCell ref="G1:J1"/>
    <mergeCell ref="L1:O1"/>
  </mergeCell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
  <sheetViews>
    <sheetView workbookViewId="0"/>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8" customWidth="1"/>
    <col min="21" max="21" width="20.42578125" customWidth="1"/>
    <col min="22" max="22" width="27.42578125" customWidth="1"/>
  </cols>
  <sheetData>
    <row r="1" spans="1:22" s="52" customFormat="1">
      <c r="A1" s="30"/>
      <c r="B1" s="31"/>
      <c r="C1" s="126" t="s">
        <v>379</v>
      </c>
      <c r="D1" s="127"/>
      <c r="E1" s="127"/>
      <c r="F1" s="127"/>
      <c r="G1" s="127"/>
      <c r="H1" s="127"/>
      <c r="I1" s="127"/>
      <c r="J1" s="127"/>
      <c r="L1" s="126" t="s">
        <v>367</v>
      </c>
      <c r="M1" s="127"/>
      <c r="N1" s="127"/>
      <c r="O1" s="127"/>
      <c r="P1" s="127"/>
      <c r="Q1" s="127"/>
      <c r="R1" s="127"/>
      <c r="S1" s="61"/>
      <c r="T1" s="61"/>
      <c r="U1" s="61"/>
      <c r="V1" s="61"/>
    </row>
    <row r="2" spans="1:22">
      <c r="A2" s="30"/>
      <c r="B2" s="31"/>
      <c r="C2" s="105" t="s">
        <v>0</v>
      </c>
      <c r="D2" s="106" t="s">
        <v>16</v>
      </c>
      <c r="E2" s="53"/>
      <c r="F2" s="53"/>
      <c r="G2" s="105" t="s">
        <v>0</v>
      </c>
      <c r="H2" s="106" t="s">
        <v>16</v>
      </c>
      <c r="I2" s="53"/>
      <c r="J2" s="61"/>
      <c r="K2" s="61"/>
      <c r="L2" s="105" t="s">
        <v>0</v>
      </c>
      <c r="M2" s="106" t="s">
        <v>16</v>
      </c>
      <c r="N2" s="61"/>
      <c r="O2" s="61"/>
      <c r="P2" s="105" t="s">
        <v>0</v>
      </c>
      <c r="Q2" s="106" t="s">
        <v>16</v>
      </c>
      <c r="R2" s="61"/>
      <c r="S2" s="61"/>
      <c r="T2" s="57"/>
      <c r="U2" s="57"/>
      <c r="V2" s="61"/>
    </row>
    <row r="3" spans="1:22">
      <c r="A3" s="30"/>
      <c r="B3" s="30"/>
      <c r="C3" s="105" t="s">
        <v>1</v>
      </c>
      <c r="D3" s="106" t="s">
        <v>16</v>
      </c>
      <c r="G3" s="105" t="s">
        <v>1</v>
      </c>
      <c r="H3" s="106" t="s">
        <v>16</v>
      </c>
      <c r="L3" s="105" t="s">
        <v>1</v>
      </c>
      <c r="M3" s="106" t="s">
        <v>16</v>
      </c>
      <c r="P3" s="105" t="s">
        <v>1</v>
      </c>
      <c r="Q3" s="106" t="s">
        <v>16</v>
      </c>
      <c r="R3" s="57"/>
      <c r="T3" s="57"/>
      <c r="U3" s="57"/>
      <c r="V3" s="57"/>
    </row>
    <row r="4" spans="1:22">
      <c r="A4" s="30"/>
      <c r="B4" s="30"/>
      <c r="C4" s="105" t="s">
        <v>52</v>
      </c>
      <c r="D4" s="106" t="s">
        <v>16</v>
      </c>
      <c r="G4" s="105" t="s">
        <v>52</v>
      </c>
      <c r="H4" s="106" t="s">
        <v>16</v>
      </c>
      <c r="L4" s="105" t="s">
        <v>52</v>
      </c>
      <c r="M4" s="106" t="s">
        <v>16</v>
      </c>
      <c r="P4" s="105" t="s">
        <v>52</v>
      </c>
      <c r="Q4" s="106" t="s">
        <v>16</v>
      </c>
      <c r="R4" s="57"/>
      <c r="T4" s="57"/>
      <c r="U4" s="57"/>
      <c r="V4" s="57"/>
    </row>
    <row r="5" spans="1:22">
      <c r="A5" s="30"/>
      <c r="B5" s="30"/>
      <c r="C5" s="105" t="s">
        <v>3</v>
      </c>
      <c r="D5" s="106" t="s">
        <v>10</v>
      </c>
      <c r="G5" s="105" t="s">
        <v>3</v>
      </c>
      <c r="H5" s="106" t="s">
        <v>9</v>
      </c>
      <c r="L5" s="105" t="s">
        <v>3</v>
      </c>
      <c r="M5" s="106" t="s">
        <v>443</v>
      </c>
      <c r="P5" s="105" t="s">
        <v>3</v>
      </c>
      <c r="Q5" s="106" t="s">
        <v>369</v>
      </c>
      <c r="R5" s="57"/>
      <c r="T5" s="57"/>
      <c r="U5" s="57"/>
      <c r="V5" s="57"/>
    </row>
    <row r="6" spans="1:22">
      <c r="A6" s="30"/>
      <c r="B6" s="30"/>
      <c r="R6" s="57"/>
      <c r="T6" s="57"/>
      <c r="U6" s="57"/>
      <c r="V6" s="57"/>
    </row>
    <row r="7" spans="1:22">
      <c r="A7" s="24" t="s">
        <v>332</v>
      </c>
      <c r="B7" s="24" t="s">
        <v>94</v>
      </c>
      <c r="C7" s="105" t="s">
        <v>2</v>
      </c>
      <c r="D7" s="106" t="s">
        <v>302</v>
      </c>
      <c r="E7" s="106" t="s">
        <v>417</v>
      </c>
      <c r="G7" s="105" t="s">
        <v>2</v>
      </c>
      <c r="H7" s="106" t="s">
        <v>382</v>
      </c>
      <c r="I7" s="106" t="s">
        <v>378</v>
      </c>
      <c r="J7" s="106" t="s">
        <v>383</v>
      </c>
      <c r="L7" s="105" t="s">
        <v>2</v>
      </c>
      <c r="M7" s="106" t="s">
        <v>377</v>
      </c>
      <c r="N7" s="106" t="s">
        <v>417</v>
      </c>
      <c r="P7" s="105" t="s">
        <v>2</v>
      </c>
      <c r="Q7" s="106" t="s">
        <v>302</v>
      </c>
      <c r="R7" s="106" t="s">
        <v>417</v>
      </c>
      <c r="T7" s="57"/>
      <c r="U7" s="57"/>
      <c r="V7" s="57"/>
    </row>
    <row r="8" spans="1:22">
      <c r="A8" s="23" t="str">
        <f>INDEX('DDL Tables'!$B:$B,MATCH(C8,'DDL Tables'!$C:$C,0))</f>
        <v>TestKS</v>
      </c>
      <c r="B8" s="23" t="str">
        <f>INDEX('DDL Tables'!$F:$F,MATCH(C8,'DDL Tables'!$C:$C,0))</f>
        <v>SizeTieredCompactionStrategy</v>
      </c>
      <c r="C8" s="4" t="s">
        <v>50</v>
      </c>
      <c r="D8" s="9">
        <v>2.5000000000000001E-2</v>
      </c>
      <c r="E8" s="9">
        <v>0</v>
      </c>
      <c r="G8" s="4" t="s">
        <v>50</v>
      </c>
      <c r="H8" s="5">
        <v>23</v>
      </c>
      <c r="I8" s="5">
        <v>23</v>
      </c>
      <c r="J8" s="106">
        <v>23</v>
      </c>
      <c r="K8" s="5"/>
      <c r="L8" s="4" t="s">
        <v>50</v>
      </c>
      <c r="M8" s="5">
        <v>35</v>
      </c>
      <c r="N8" s="5">
        <v>0</v>
      </c>
      <c r="O8" s="5"/>
      <c r="P8" s="4" t="s">
        <v>50</v>
      </c>
      <c r="Q8" s="5">
        <v>10</v>
      </c>
      <c r="R8" s="5">
        <v>0</v>
      </c>
      <c r="S8" s="5"/>
      <c r="T8" s="4"/>
      <c r="U8" s="5"/>
      <c r="V8" s="5"/>
    </row>
    <row r="9" spans="1:22">
      <c r="C9" s="4" t="s">
        <v>18</v>
      </c>
      <c r="D9" s="9">
        <v>2.5000000000000001E-2</v>
      </c>
      <c r="E9" s="9">
        <v>0</v>
      </c>
      <c r="G9" s="4" t="s">
        <v>18</v>
      </c>
      <c r="H9" s="5">
        <v>23</v>
      </c>
      <c r="I9" s="5">
        <v>23</v>
      </c>
      <c r="J9" s="106">
        <v>23</v>
      </c>
      <c r="K9" s="5"/>
      <c r="L9" s="4" t="s">
        <v>18</v>
      </c>
      <c r="M9" s="5">
        <v>35</v>
      </c>
      <c r="N9" s="5">
        <v>0</v>
      </c>
      <c r="O9" s="5"/>
      <c r="P9" s="4" t="s">
        <v>18</v>
      </c>
      <c r="Q9" s="5">
        <v>10</v>
      </c>
      <c r="R9" s="5">
        <v>0</v>
      </c>
      <c r="S9" s="5"/>
      <c r="T9" s="4"/>
      <c r="U9" s="5"/>
      <c r="V9" s="5"/>
    </row>
  </sheetData>
  <mergeCells count="2">
    <mergeCell ref="L1:R1"/>
    <mergeCell ref="C1:J1"/>
  </mergeCell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22"/>
  <sheetViews>
    <sheetView workbookViewId="0">
      <selection activeCell="B12" sqref="B12"/>
    </sheetView>
  </sheetViews>
  <sheetFormatPr defaultRowHeight="15"/>
  <cols>
    <col min="1" max="1" width="9.140625" style="57"/>
    <col min="2" max="2" width="11.42578125" style="57" bestFit="1" customWidth="1"/>
    <col min="3" max="3" width="19.140625" style="57" bestFit="1" customWidth="1"/>
    <col min="4" max="4" width="24.28515625" style="57" customWidth="1"/>
    <col min="5" max="5" width="9.140625" style="57"/>
    <col min="6" max="6" width="11.42578125" style="57" bestFit="1" customWidth="1"/>
    <col min="7" max="7" width="17.7109375" style="57" customWidth="1"/>
    <col min="8" max="8" width="8" style="57" customWidth="1"/>
    <col min="9" max="9" width="11.42578125" style="57" customWidth="1"/>
    <col min="10" max="11" width="24.28515625" style="57" customWidth="1"/>
    <col min="12" max="12" width="9.140625" style="57"/>
    <col min="13" max="13" width="11.42578125" style="57" customWidth="1"/>
    <col min="14" max="14" width="17.85546875" style="57" customWidth="1"/>
    <col min="15" max="15" width="11.5703125" style="57" customWidth="1"/>
    <col min="16" max="16" width="17.5703125" style="57" customWidth="1"/>
    <col min="17" max="17" width="19.5703125" style="57" customWidth="1"/>
    <col min="18" max="18" width="6.8554687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4">
      <c r="A1" s="31"/>
      <c r="B1" s="126" t="s">
        <v>379</v>
      </c>
      <c r="C1" s="127"/>
      <c r="D1" s="127"/>
      <c r="E1" s="127"/>
      <c r="F1" s="127"/>
      <c r="G1" s="127"/>
      <c r="H1" s="61"/>
      <c r="I1" s="126" t="s">
        <v>367</v>
      </c>
      <c r="J1" s="127"/>
      <c r="K1" s="127"/>
      <c r="M1" s="130" t="s">
        <v>490</v>
      </c>
      <c r="N1" s="131"/>
      <c r="O1" s="127"/>
      <c r="P1" s="127"/>
      <c r="Q1" s="127"/>
      <c r="R1" s="127"/>
      <c r="S1" s="127"/>
      <c r="T1" s="127"/>
      <c r="U1" s="127"/>
      <c r="V1" s="127"/>
      <c r="W1" s="127"/>
      <c r="X1" s="127"/>
    </row>
    <row r="2" spans="1:24">
      <c r="A2" s="31"/>
      <c r="B2" s="105" t="s">
        <v>0</v>
      </c>
      <c r="C2" s="106" t="s">
        <v>16</v>
      </c>
      <c r="D2" s="31"/>
      <c r="E2" s="31"/>
      <c r="F2" s="128" t="s">
        <v>0</v>
      </c>
      <c r="G2" s="129" t="s">
        <v>16</v>
      </c>
      <c r="I2" s="105" t="s">
        <v>0</v>
      </c>
      <c r="J2" s="106" t="s">
        <v>16</v>
      </c>
      <c r="K2" s="61"/>
      <c r="M2" s="62"/>
      <c r="N2" s="62"/>
      <c r="O2" s="62"/>
      <c r="P2" s="62"/>
      <c r="Q2" s="62"/>
      <c r="R2" s="62"/>
      <c r="S2" s="62"/>
      <c r="T2" s="62"/>
      <c r="U2" s="62"/>
      <c r="V2" s="62"/>
      <c r="W2" s="62"/>
      <c r="X2" s="62"/>
    </row>
    <row r="3" spans="1:24">
      <c r="A3" s="31"/>
      <c r="B3" s="105" t="s">
        <v>1</v>
      </c>
      <c r="C3" s="106" t="s">
        <v>16</v>
      </c>
      <c r="D3" s="31"/>
      <c r="E3" s="31"/>
      <c r="F3" s="128" t="s">
        <v>1</v>
      </c>
      <c r="G3" s="129" t="s">
        <v>16</v>
      </c>
      <c r="I3" s="105" t="s">
        <v>1</v>
      </c>
      <c r="J3" s="106" t="s">
        <v>16</v>
      </c>
      <c r="K3" s="61"/>
      <c r="M3" s="62"/>
      <c r="N3" s="63"/>
      <c r="O3" s="63"/>
      <c r="P3" s="63"/>
      <c r="Q3" s="63"/>
      <c r="R3" s="63"/>
      <c r="S3" s="63"/>
      <c r="T3" s="63"/>
      <c r="U3" s="63"/>
      <c r="V3" s="63"/>
      <c r="W3" s="63"/>
      <c r="X3" s="63"/>
    </row>
    <row r="4" spans="1:24">
      <c r="A4" s="31"/>
      <c r="B4" s="105" t="s">
        <v>2</v>
      </c>
      <c r="C4" s="106" t="s">
        <v>16</v>
      </c>
      <c r="F4" s="105" t="s">
        <v>2</v>
      </c>
      <c r="G4" s="106" t="s">
        <v>16</v>
      </c>
      <c r="I4" s="105" t="s">
        <v>2</v>
      </c>
      <c r="J4" s="106" t="s">
        <v>16</v>
      </c>
      <c r="M4" s="31"/>
      <c r="N4" s="31"/>
      <c r="S4" s="31"/>
      <c r="T4" s="31"/>
    </row>
    <row r="5" spans="1:24">
      <c r="A5" s="31"/>
      <c r="B5" s="105" t="s">
        <v>52</v>
      </c>
      <c r="C5" s="106" t="s">
        <v>16</v>
      </c>
      <c r="F5" s="105" t="s">
        <v>52</v>
      </c>
      <c r="G5" s="106" t="s">
        <v>16</v>
      </c>
      <c r="I5" s="105" t="s">
        <v>52</v>
      </c>
      <c r="J5" s="106" t="s">
        <v>16</v>
      </c>
      <c r="M5" s="105" t="s">
        <v>0</v>
      </c>
      <c r="N5" s="106" t="s">
        <v>16</v>
      </c>
      <c r="S5" s="105" t="s">
        <v>0</v>
      </c>
      <c r="T5" s="106" t="s">
        <v>16</v>
      </c>
    </row>
    <row r="6" spans="1:24">
      <c r="A6" s="31"/>
      <c r="B6" s="105" t="s">
        <v>3</v>
      </c>
      <c r="C6" s="106" t="s">
        <v>10</v>
      </c>
      <c r="F6" s="105" t="s">
        <v>3</v>
      </c>
      <c r="G6" s="106" t="s">
        <v>9</v>
      </c>
      <c r="I6" s="105" t="s">
        <v>3</v>
      </c>
      <c r="J6" s="106" t="s">
        <v>369</v>
      </c>
      <c r="M6" s="105" t="s">
        <v>3</v>
      </c>
      <c r="N6" s="106" t="s">
        <v>310</v>
      </c>
      <c r="S6" s="105" t="s">
        <v>3</v>
      </c>
      <c r="T6" s="106" t="s">
        <v>310</v>
      </c>
    </row>
    <row r="7" spans="1:24">
      <c r="A7" s="31"/>
    </row>
    <row r="8" spans="1:24">
      <c r="A8" s="24" t="s">
        <v>122</v>
      </c>
      <c r="B8" s="105" t="s">
        <v>296</v>
      </c>
      <c r="C8" s="106" t="s">
        <v>302</v>
      </c>
      <c r="D8" s="106" t="s">
        <v>417</v>
      </c>
      <c r="F8" s="105" t="s">
        <v>296</v>
      </c>
      <c r="G8" t="s">
        <v>384</v>
      </c>
      <c r="I8" s="105" t="s">
        <v>2</v>
      </c>
      <c r="J8" s="106" t="s">
        <v>302</v>
      </c>
      <c r="K8" s="106" t="s">
        <v>417</v>
      </c>
      <c r="M8" s="105" t="s">
        <v>296</v>
      </c>
      <c r="N8" s="106" t="s">
        <v>312</v>
      </c>
      <c r="O8" s="106" t="s">
        <v>410</v>
      </c>
      <c r="P8" s="106" t="s">
        <v>311</v>
      </c>
      <c r="Q8" s="106" t="s">
        <v>418</v>
      </c>
      <c r="S8" s="105" t="s">
        <v>296</v>
      </c>
      <c r="T8" s="106" t="s">
        <v>313</v>
      </c>
      <c r="U8" s="106" t="s">
        <v>314</v>
      </c>
      <c r="V8" s="106" t="s">
        <v>315</v>
      </c>
    </row>
    <row r="9" spans="1:24">
      <c r="A9" s="29">
        <f>INDEX('Node Information'!I:$I,MATCH(B9,'Node Information'!$A:$A,0))</f>
        <v>6.5428240740740704E-2</v>
      </c>
      <c r="B9" s="4" t="s">
        <v>49</v>
      </c>
      <c r="C9" s="9">
        <v>2.5000000000000001E-2</v>
      </c>
      <c r="D9" s="9">
        <v>0</v>
      </c>
      <c r="E9" s="9"/>
      <c r="F9" s="4" t="s">
        <v>49</v>
      </c>
      <c r="G9" s="5">
        <v>23</v>
      </c>
      <c r="H9" s="5"/>
      <c r="I9" s="4" t="s">
        <v>49</v>
      </c>
      <c r="J9" s="5">
        <v>10</v>
      </c>
      <c r="K9" s="5">
        <v>0</v>
      </c>
      <c r="M9" s="4" t="s">
        <v>49</v>
      </c>
      <c r="N9" s="5">
        <v>1</v>
      </c>
      <c r="O9" s="5">
        <v>0.5</v>
      </c>
      <c r="P9" s="5">
        <v>0</v>
      </c>
      <c r="Q9" s="5">
        <v>0</v>
      </c>
      <c r="S9" s="4" t="s">
        <v>49</v>
      </c>
      <c r="T9" s="5">
        <v>20388021892</v>
      </c>
      <c r="U9" s="5">
        <v>0</v>
      </c>
      <c r="V9" s="5">
        <v>0</v>
      </c>
    </row>
    <row r="10" spans="1:24">
      <c r="B10" s="4" t="s">
        <v>18</v>
      </c>
      <c r="C10" s="9">
        <v>2.5000000000000001E-2</v>
      </c>
      <c r="D10" s="9">
        <v>0</v>
      </c>
      <c r="E10" s="9"/>
      <c r="F10" s="4" t="s">
        <v>18</v>
      </c>
      <c r="G10" s="5">
        <v>23</v>
      </c>
      <c r="H10" s="5"/>
      <c r="I10" s="4" t="s">
        <v>18</v>
      </c>
      <c r="J10" s="5">
        <v>10</v>
      </c>
      <c r="K10" s="5">
        <v>0</v>
      </c>
      <c r="M10" s="4" t="s">
        <v>18</v>
      </c>
      <c r="N10" s="5">
        <v>1</v>
      </c>
      <c r="O10" s="5">
        <v>0.5</v>
      </c>
      <c r="P10" s="5">
        <v>0</v>
      </c>
      <c r="Q10" s="5">
        <v>0</v>
      </c>
      <c r="S10" s="4" t="s">
        <v>18</v>
      </c>
      <c r="T10" s="5">
        <v>20388021892</v>
      </c>
      <c r="U10" s="5">
        <v>0</v>
      </c>
      <c r="V10" s="5">
        <v>0</v>
      </c>
    </row>
    <row r="15" spans="1:24">
      <c r="F15" s="61"/>
    </row>
    <row r="21" spans="4:6">
      <c r="D21" s="4"/>
      <c r="E21" s="5"/>
      <c r="F21" s="5"/>
    </row>
    <row r="22" spans="4:6">
      <c r="D22" s="4"/>
      <c r="E22" s="5"/>
      <c r="F22" s="5"/>
    </row>
  </sheetData>
  <mergeCells count="5">
    <mergeCell ref="F2:G2"/>
    <mergeCell ref="M1:X1"/>
    <mergeCell ref="F3:G3"/>
    <mergeCell ref="B1:G1"/>
    <mergeCell ref="I1:K1"/>
  </mergeCells>
  <pageMargins left="0.7" right="0.7" top="0.75" bottom="0.75" header="0.3" footer="0.3"/>
  <pageSetup orientation="portrait"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11" sqref="A11"/>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26" t="s">
        <v>379</v>
      </c>
      <c r="D1" s="127"/>
      <c r="E1" s="127"/>
      <c r="F1" s="127"/>
      <c r="G1" s="127"/>
      <c r="H1" s="127"/>
      <c r="I1" s="127"/>
      <c r="J1" s="127"/>
      <c r="K1" s="61"/>
      <c r="L1" s="126" t="s">
        <v>367</v>
      </c>
      <c r="M1" s="127"/>
      <c r="N1" s="127"/>
      <c r="O1" s="53"/>
      <c r="P1" s="91"/>
      <c r="Q1" s="91"/>
      <c r="R1" s="91"/>
      <c r="S1" s="91"/>
      <c r="T1" s="91"/>
      <c r="U1" s="91"/>
      <c r="V1" s="91"/>
      <c r="W1" s="91"/>
      <c r="X1" s="91"/>
      <c r="Y1" s="91"/>
      <c r="Z1" s="91"/>
      <c r="AA1" s="91"/>
      <c r="AB1" s="91"/>
      <c r="AC1" s="91"/>
      <c r="AD1" s="91"/>
      <c r="AE1" s="91"/>
      <c r="AF1" s="91"/>
      <c r="AG1" s="91"/>
      <c r="AH1" s="91"/>
      <c r="AI1" s="91"/>
      <c r="AJ1" s="91"/>
      <c r="AK1" s="91"/>
      <c r="AL1" s="91"/>
      <c r="AM1" s="91"/>
      <c r="AN1" s="91"/>
    </row>
    <row r="2" spans="1:40" s="31" customFormat="1">
      <c r="B2" s="30"/>
      <c r="C2" s="105" t="s">
        <v>0</v>
      </c>
      <c r="D2" s="106" t="s">
        <v>16</v>
      </c>
      <c r="E2" s="53"/>
      <c r="F2" s="53"/>
      <c r="G2" s="105" t="s">
        <v>0</v>
      </c>
      <c r="H2" s="106" t="s">
        <v>16</v>
      </c>
      <c r="I2" s="53"/>
      <c r="J2" s="61"/>
      <c r="K2" s="61"/>
      <c r="L2" s="105" t="s">
        <v>0</v>
      </c>
      <c r="M2" s="106" t="s">
        <v>16</v>
      </c>
      <c r="N2" s="61"/>
      <c r="O2" s="49"/>
      <c r="P2" s="91"/>
      <c r="Q2" s="91"/>
      <c r="R2" s="91"/>
      <c r="S2" s="91"/>
      <c r="T2" s="91"/>
      <c r="U2" s="91"/>
      <c r="V2" s="91"/>
      <c r="W2" s="91"/>
      <c r="X2" s="91"/>
      <c r="Y2" s="91"/>
      <c r="Z2" s="91"/>
      <c r="AA2" s="91"/>
      <c r="AB2" s="91"/>
      <c r="AC2" s="91"/>
      <c r="AD2" s="91"/>
      <c r="AE2" s="91"/>
      <c r="AF2" s="91"/>
      <c r="AG2" s="91"/>
      <c r="AH2" s="91"/>
      <c r="AI2" s="91"/>
      <c r="AJ2" s="91"/>
      <c r="AK2" s="91"/>
      <c r="AL2" s="91"/>
      <c r="AM2" s="91"/>
      <c r="AN2" s="91"/>
    </row>
    <row r="3" spans="1:40">
      <c r="A3" s="30"/>
      <c r="B3" s="30"/>
      <c r="C3" s="105" t="s">
        <v>1</v>
      </c>
      <c r="D3" s="106" t="s">
        <v>16</v>
      </c>
      <c r="G3" s="105" t="s">
        <v>1</v>
      </c>
      <c r="H3" s="106" t="s">
        <v>16</v>
      </c>
      <c r="L3" s="105" t="s">
        <v>1</v>
      </c>
      <c r="M3" s="106" t="s">
        <v>16</v>
      </c>
    </row>
    <row r="4" spans="1:40">
      <c r="A4" s="30"/>
      <c r="B4" s="30"/>
      <c r="C4" s="105" t="s">
        <v>52</v>
      </c>
      <c r="D4" s="106" t="s">
        <v>16</v>
      </c>
      <c r="G4" s="105" t="s">
        <v>52</v>
      </c>
      <c r="H4" s="106" t="s">
        <v>16</v>
      </c>
      <c r="L4" s="105" t="s">
        <v>52</v>
      </c>
      <c r="M4" s="106" t="s">
        <v>16</v>
      </c>
    </row>
    <row r="5" spans="1:40">
      <c r="A5" s="30"/>
      <c r="B5" s="30"/>
      <c r="C5" s="105" t="s">
        <v>3</v>
      </c>
      <c r="D5" s="106" t="s">
        <v>12</v>
      </c>
      <c r="G5" s="105" t="s">
        <v>3</v>
      </c>
      <c r="H5" s="106" t="s">
        <v>11</v>
      </c>
      <c r="L5" s="105" t="s">
        <v>3</v>
      </c>
      <c r="M5" s="106" t="s">
        <v>368</v>
      </c>
    </row>
    <row r="6" spans="1:40">
      <c r="A6" s="30"/>
      <c r="B6" s="30"/>
    </row>
    <row r="7" spans="1:40">
      <c r="A7" s="24" t="s">
        <v>332</v>
      </c>
      <c r="B7" s="24" t="s">
        <v>94</v>
      </c>
      <c r="C7" s="105" t="s">
        <v>2</v>
      </c>
      <c r="D7" s="106" t="s">
        <v>302</v>
      </c>
      <c r="E7" s="106" t="s">
        <v>417</v>
      </c>
      <c r="G7" s="105" t="s">
        <v>2</v>
      </c>
      <c r="H7" s="106" t="s">
        <v>380</v>
      </c>
      <c r="I7" s="106" t="s">
        <v>381</v>
      </c>
      <c r="J7" s="106" t="s">
        <v>385</v>
      </c>
      <c r="L7" s="105" t="s">
        <v>2</v>
      </c>
      <c r="M7" s="106" t="s">
        <v>302</v>
      </c>
      <c r="N7" s="106" t="s">
        <v>417</v>
      </c>
    </row>
    <row r="8" spans="1:40">
      <c r="A8" s="23" t="str">
        <f>INDEX('DDL Tables'!$B:$B,MATCH(C8,'DDL Tables'!$C:$C,0))</f>
        <v>TestKS</v>
      </c>
      <c r="B8" s="23" t="str">
        <f>INDEX('DDL Tables'!$F:$F,MATCH(Write!C8,'DDL Tables'!$C:$C,0))</f>
        <v>SizeTieredCompactionStrategy</v>
      </c>
      <c r="C8" s="4" t="s">
        <v>50</v>
      </c>
      <c r="D8" s="9">
        <v>0.03</v>
      </c>
      <c r="E8" s="9">
        <v>0</v>
      </c>
      <c r="G8" s="4" t="s">
        <v>50</v>
      </c>
      <c r="H8" s="5">
        <v>2</v>
      </c>
      <c r="I8" s="5">
        <v>2</v>
      </c>
      <c r="J8" s="106">
        <v>2</v>
      </c>
      <c r="K8" s="5"/>
      <c r="L8" s="4" t="s">
        <v>50</v>
      </c>
      <c r="M8" s="5">
        <v>4055.2689999999998</v>
      </c>
      <c r="N8" s="5">
        <v>0</v>
      </c>
      <c r="O8" s="5"/>
    </row>
    <row r="9" spans="1:40">
      <c r="C9" s="4" t="s">
        <v>18</v>
      </c>
      <c r="D9" s="9">
        <v>0.03</v>
      </c>
      <c r="E9" s="9">
        <v>0</v>
      </c>
      <c r="G9" s="4" t="s">
        <v>18</v>
      </c>
      <c r="H9" s="5">
        <v>2</v>
      </c>
      <c r="I9" s="5">
        <v>2</v>
      </c>
      <c r="J9" s="106">
        <v>2</v>
      </c>
      <c r="K9" s="5"/>
      <c r="L9" s="4" t="s">
        <v>18</v>
      </c>
      <c r="M9" s="5">
        <v>4055.2689999999998</v>
      </c>
      <c r="N9" s="5">
        <v>0</v>
      </c>
      <c r="O9" s="5"/>
    </row>
  </sheetData>
  <mergeCells count="2">
    <mergeCell ref="L1:N1"/>
    <mergeCell ref="C1:J1"/>
  </mergeCells>
  <pageMargins left="0.7" right="0.7" top="0.75" bottom="0.75" header="0.3" footer="0.3"/>
  <pageSetup orientation="portrait"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2" sqref="A12"/>
    </sheetView>
  </sheetViews>
  <sheetFormatPr defaultRowHeight="15"/>
  <cols>
    <col min="1" max="1" width="11.140625" style="57" customWidth="1"/>
    <col min="2" max="2" width="11.42578125" style="57" bestFit="1" customWidth="1"/>
    <col min="3" max="3" width="20" style="57" bestFit="1" customWidth="1"/>
    <col min="4" max="4" width="24.28515625" style="57" customWidth="1"/>
    <col min="5" max="5" width="9.140625" style="57"/>
    <col min="6" max="6" width="11.42578125" style="57" bestFit="1" customWidth="1"/>
    <col min="7" max="7" width="18.42578125" style="57" customWidth="1"/>
    <col min="8" max="8" width="7.42578125" style="57" customWidth="1"/>
    <col min="9" max="9" width="11.42578125" style="57" customWidth="1"/>
    <col min="10" max="10" width="24.85546875" style="57" customWidth="1"/>
    <col min="11" max="11" width="24.28515625" style="57" customWidth="1"/>
    <col min="12" max="12" width="9.140625" style="57"/>
    <col min="13" max="13" width="11.42578125" style="57" customWidth="1"/>
    <col min="14" max="15" width="17.85546875" style="57" customWidth="1"/>
    <col min="16" max="16" width="17.5703125" style="57" customWidth="1"/>
    <col min="17" max="17" width="19.5703125" style="57" customWidth="1"/>
    <col min="18" max="18" width="7.4257812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2">
      <c r="A1" s="31"/>
      <c r="B1" s="126" t="s">
        <v>379</v>
      </c>
      <c r="C1" s="127"/>
      <c r="D1" s="127"/>
      <c r="E1" s="127"/>
      <c r="F1" s="127"/>
      <c r="G1" s="127"/>
      <c r="H1" s="61"/>
      <c r="I1" s="126" t="s">
        <v>367</v>
      </c>
      <c r="J1" s="127"/>
      <c r="K1" s="127"/>
      <c r="L1" s="61"/>
      <c r="M1" s="130" t="s">
        <v>491</v>
      </c>
      <c r="N1" s="131"/>
      <c r="O1" s="127"/>
      <c r="P1" s="127"/>
      <c r="Q1" s="127"/>
      <c r="R1" s="127"/>
      <c r="S1" s="127"/>
      <c r="T1" s="127"/>
      <c r="U1" s="127"/>
      <c r="V1" s="127"/>
    </row>
    <row r="2" spans="1:22" s="31" customFormat="1">
      <c r="B2" s="105" t="s">
        <v>0</v>
      </c>
      <c r="C2" s="106" t="s">
        <v>16</v>
      </c>
      <c r="F2" s="128" t="s">
        <v>0</v>
      </c>
      <c r="G2" s="129" t="s">
        <v>16</v>
      </c>
      <c r="H2" s="57"/>
      <c r="I2" s="105" t="s">
        <v>0</v>
      </c>
      <c r="J2" s="106" t="s">
        <v>16</v>
      </c>
      <c r="L2" s="57"/>
      <c r="M2" s="62"/>
      <c r="N2" s="62"/>
      <c r="O2" s="62"/>
      <c r="P2" s="62"/>
      <c r="Q2" s="62"/>
      <c r="R2" s="62"/>
      <c r="S2" s="62"/>
      <c r="T2" s="62"/>
      <c r="U2" s="62"/>
      <c r="V2" s="62"/>
    </row>
    <row r="3" spans="1:22" s="31" customFormat="1">
      <c r="B3" s="105" t="s">
        <v>1</v>
      </c>
      <c r="C3" s="106" t="s">
        <v>16</v>
      </c>
      <c r="F3" s="128" t="s">
        <v>1</v>
      </c>
      <c r="G3" s="129" t="s">
        <v>16</v>
      </c>
      <c r="H3" s="57"/>
      <c r="I3" s="105" t="s">
        <v>1</v>
      </c>
      <c r="J3" s="106" t="s">
        <v>16</v>
      </c>
      <c r="K3" s="61"/>
      <c r="L3" s="57"/>
      <c r="M3" s="62"/>
      <c r="N3" s="63"/>
      <c r="O3" s="63"/>
      <c r="P3" s="63"/>
      <c r="Q3" s="63"/>
      <c r="R3" s="63"/>
      <c r="S3" s="63"/>
      <c r="T3" s="63"/>
      <c r="U3" s="63"/>
      <c r="V3" s="63"/>
    </row>
    <row r="4" spans="1:22">
      <c r="A4" s="31"/>
      <c r="B4" s="105" t="s">
        <v>2</v>
      </c>
      <c r="C4" s="106" t="s">
        <v>16</v>
      </c>
      <c r="F4" s="105" t="s">
        <v>2</v>
      </c>
      <c r="G4" s="106" t="s">
        <v>16</v>
      </c>
      <c r="I4" s="105" t="s">
        <v>2</v>
      </c>
      <c r="J4" s="106" t="s">
        <v>16</v>
      </c>
      <c r="M4" s="31"/>
      <c r="N4" s="31"/>
    </row>
    <row r="5" spans="1:22">
      <c r="A5" s="31"/>
      <c r="B5" s="105" t="s">
        <v>52</v>
      </c>
      <c r="C5" s="106" t="s">
        <v>16</v>
      </c>
      <c r="F5" s="105" t="s">
        <v>52</v>
      </c>
      <c r="G5" s="106" t="s">
        <v>16</v>
      </c>
      <c r="I5" s="105" t="s">
        <v>52</v>
      </c>
      <c r="J5" s="106" t="s">
        <v>16</v>
      </c>
      <c r="M5" s="105" t="s">
        <v>0</v>
      </c>
      <c r="N5" s="106" t="s">
        <v>16</v>
      </c>
      <c r="S5" s="105" t="s">
        <v>0</v>
      </c>
      <c r="T5" s="106" t="s">
        <v>16</v>
      </c>
    </row>
    <row r="6" spans="1:22">
      <c r="A6" s="31"/>
      <c r="B6" s="105" t="s">
        <v>3</v>
      </c>
      <c r="C6" s="106" t="s">
        <v>12</v>
      </c>
      <c r="F6" s="105" t="s">
        <v>3</v>
      </c>
      <c r="G6" s="106" t="s">
        <v>11</v>
      </c>
      <c r="I6" s="105" t="s">
        <v>3</v>
      </c>
      <c r="J6" s="106" t="s">
        <v>368</v>
      </c>
      <c r="M6" s="105" t="s">
        <v>3</v>
      </c>
      <c r="N6" s="106" t="s">
        <v>310</v>
      </c>
      <c r="S6" s="105" t="s">
        <v>3</v>
      </c>
      <c r="T6" s="106" t="s">
        <v>310</v>
      </c>
    </row>
    <row r="7" spans="1:22">
      <c r="A7" s="31"/>
    </row>
    <row r="8" spans="1:22">
      <c r="A8" s="24" t="s">
        <v>122</v>
      </c>
      <c r="B8" s="105" t="s">
        <v>2</v>
      </c>
      <c r="C8" s="106" t="s">
        <v>302</v>
      </c>
      <c r="D8" s="106" t="s">
        <v>417</v>
      </c>
      <c r="F8" s="105" t="s">
        <v>296</v>
      </c>
      <c r="G8" t="s">
        <v>386</v>
      </c>
      <c r="I8" s="105" t="s">
        <v>2</v>
      </c>
      <c r="J8" s="106" t="s">
        <v>302</v>
      </c>
      <c r="K8" s="106" t="s">
        <v>417</v>
      </c>
      <c r="M8" s="105" t="s">
        <v>296</v>
      </c>
      <c r="N8" s="106" t="s">
        <v>312</v>
      </c>
      <c r="O8" s="106" t="s">
        <v>419</v>
      </c>
      <c r="P8" s="106" t="s">
        <v>311</v>
      </c>
      <c r="Q8" s="106" t="s">
        <v>418</v>
      </c>
      <c r="S8" s="105" t="s">
        <v>296</v>
      </c>
      <c r="T8" s="106" t="s">
        <v>313</v>
      </c>
      <c r="U8" s="106" t="s">
        <v>314</v>
      </c>
      <c r="V8" s="106" t="s">
        <v>315</v>
      </c>
    </row>
    <row r="9" spans="1:22">
      <c r="A9" s="29">
        <f>INDEX('Node Information'!I:$I,MATCH(B9,'Node Information'!$A:$A,0))</f>
        <v>6.5428240740740704E-2</v>
      </c>
      <c r="B9" s="4" t="s">
        <v>49</v>
      </c>
      <c r="C9" s="9">
        <v>0.03</v>
      </c>
      <c r="D9" s="9">
        <v>0</v>
      </c>
      <c r="E9" s="9"/>
      <c r="F9" s="4" t="s">
        <v>49</v>
      </c>
      <c r="G9" s="5">
        <v>2</v>
      </c>
      <c r="H9" s="5"/>
      <c r="I9" s="4" t="s">
        <v>49</v>
      </c>
      <c r="J9" s="5">
        <v>4055.2689999999998</v>
      </c>
      <c r="K9" s="5">
        <v>0</v>
      </c>
      <c r="M9" s="4" t="s">
        <v>49</v>
      </c>
      <c r="N9" s="5">
        <v>45</v>
      </c>
      <c r="O9" s="5">
        <v>22.5</v>
      </c>
      <c r="P9" s="5">
        <v>175</v>
      </c>
      <c r="Q9" s="5">
        <v>87.5</v>
      </c>
      <c r="R9" s="5"/>
      <c r="S9" s="4" t="s">
        <v>49</v>
      </c>
      <c r="T9" s="5">
        <v>96947910173</v>
      </c>
      <c r="U9" s="5">
        <v>0</v>
      </c>
      <c r="V9" s="5">
        <v>0</v>
      </c>
    </row>
    <row r="10" spans="1:22">
      <c r="B10" s="4" t="s">
        <v>18</v>
      </c>
      <c r="C10" s="9">
        <v>0.03</v>
      </c>
      <c r="D10" s="9">
        <v>0</v>
      </c>
      <c r="E10" s="9"/>
      <c r="F10" s="4" t="s">
        <v>18</v>
      </c>
      <c r="G10" s="5">
        <v>2</v>
      </c>
      <c r="H10" s="5"/>
      <c r="I10" s="4" t="s">
        <v>18</v>
      </c>
      <c r="J10" s="5">
        <v>4055.2689999999998</v>
      </c>
      <c r="K10" s="5">
        <v>0</v>
      </c>
      <c r="M10" s="4" t="s">
        <v>18</v>
      </c>
      <c r="N10" s="5">
        <v>45</v>
      </c>
      <c r="O10" s="5">
        <v>22.5</v>
      </c>
      <c r="P10" s="5">
        <v>175</v>
      </c>
      <c r="Q10" s="5">
        <v>87.5</v>
      </c>
      <c r="R10" s="5"/>
      <c r="S10" s="4" t="s">
        <v>18</v>
      </c>
      <c r="T10" s="5">
        <v>96947910173</v>
      </c>
      <c r="U10" s="5">
        <v>0</v>
      </c>
      <c r="V10" s="5">
        <v>0</v>
      </c>
    </row>
  </sheetData>
  <mergeCells count="5">
    <mergeCell ref="I1:K1"/>
    <mergeCell ref="F2:G2"/>
    <mergeCell ref="M1:V1"/>
    <mergeCell ref="F3:G3"/>
    <mergeCell ref="B1:G1"/>
  </mergeCells>
  <pageMargins left="0.7" right="0.7" top="0.75" bottom="0.75" header="0.3" footer="0.3"/>
  <pageSetup orientation="portrait"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1" sqref="A11"/>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32" t="s">
        <v>146</v>
      </c>
      <c r="C2" s="133"/>
      <c r="D2" s="133"/>
      <c r="E2" s="133"/>
      <c r="F2" s="133"/>
      <c r="G2" s="133"/>
      <c r="H2" s="133"/>
      <c r="I2" s="133"/>
      <c r="J2" s="133"/>
      <c r="K2" s="133"/>
      <c r="L2" s="126" t="s">
        <v>379</v>
      </c>
      <c r="M2" s="127"/>
      <c r="N2" s="127"/>
      <c r="O2" s="53"/>
    </row>
    <row r="3" spans="1:15">
      <c r="A3" s="30"/>
      <c r="B3" s="54"/>
      <c r="C3" s="55"/>
      <c r="D3" s="55"/>
      <c r="E3" s="55"/>
      <c r="F3" s="55"/>
      <c r="G3" s="55"/>
      <c r="H3" s="55"/>
      <c r="I3" s="55"/>
      <c r="J3" s="55"/>
      <c r="K3" s="55"/>
      <c r="L3" s="105" t="s">
        <v>0</v>
      </c>
      <c r="M3" s="106" t="s">
        <v>16</v>
      </c>
      <c r="N3" s="53"/>
      <c r="O3" s="49"/>
    </row>
    <row r="4" spans="1:15">
      <c r="A4" s="30"/>
      <c r="B4" s="105" t="s">
        <v>0</v>
      </c>
      <c r="C4" s="106" t="s">
        <v>16</v>
      </c>
      <c r="D4" s="33"/>
      <c r="E4" s="33"/>
      <c r="F4" s="105" t="s">
        <v>0</v>
      </c>
      <c r="G4" s="106" t="s">
        <v>16</v>
      </c>
      <c r="I4" s="105" t="s">
        <v>0</v>
      </c>
      <c r="J4" s="106" t="s">
        <v>16</v>
      </c>
      <c r="K4" s="33"/>
      <c r="L4" s="105" t="s">
        <v>1</v>
      </c>
      <c r="M4" s="106" t="s">
        <v>16</v>
      </c>
    </row>
    <row r="5" spans="1:15">
      <c r="A5" s="30"/>
      <c r="B5" s="105" t="s">
        <v>1</v>
      </c>
      <c r="C5" s="106" t="s">
        <v>16</v>
      </c>
      <c r="D5" s="33"/>
      <c r="E5" s="33"/>
      <c r="F5" s="105" t="s">
        <v>1</v>
      </c>
      <c r="G5" s="106" t="s">
        <v>16</v>
      </c>
      <c r="I5" s="105" t="s">
        <v>1</v>
      </c>
      <c r="J5" s="106" t="s">
        <v>16</v>
      </c>
      <c r="K5" s="33"/>
      <c r="L5" s="105" t="s">
        <v>52</v>
      </c>
      <c r="M5" s="106" t="s">
        <v>16</v>
      </c>
    </row>
    <row r="6" spans="1:15">
      <c r="A6" s="30"/>
      <c r="B6" s="105" t="s">
        <v>3</v>
      </c>
      <c r="C6" s="106" t="s">
        <v>113</v>
      </c>
      <c r="D6" s="33"/>
      <c r="E6" s="33"/>
      <c r="F6" s="105" t="s">
        <v>3</v>
      </c>
      <c r="G6" s="106" t="s">
        <v>115</v>
      </c>
      <c r="I6" s="105" t="s">
        <v>3</v>
      </c>
      <c r="J6" s="106" t="s">
        <v>144</v>
      </c>
      <c r="K6" s="33"/>
      <c r="L6" s="105" t="s">
        <v>3</v>
      </c>
      <c r="M6" s="106" t="s">
        <v>15</v>
      </c>
    </row>
    <row r="7" spans="1:15">
      <c r="A7" s="30"/>
    </row>
    <row r="8" spans="1:15">
      <c r="A8" s="24" t="s">
        <v>332</v>
      </c>
      <c r="B8" s="105" t="s">
        <v>2</v>
      </c>
      <c r="C8" s="106" t="s">
        <v>299</v>
      </c>
      <c r="D8" s="106" t="s">
        <v>420</v>
      </c>
      <c r="F8" s="105" t="s">
        <v>2</v>
      </c>
      <c r="G8" t="s">
        <v>298</v>
      </c>
      <c r="I8" s="105" t="s">
        <v>2</v>
      </c>
      <c r="J8" t="s">
        <v>297</v>
      </c>
      <c r="L8" s="105" t="s">
        <v>2</v>
      </c>
      <c r="M8" s="106" t="s">
        <v>300</v>
      </c>
      <c r="N8" s="106" t="s">
        <v>417</v>
      </c>
    </row>
    <row r="9" spans="1:15">
      <c r="A9" s="23" t="str">
        <f>INDEX('DDL Tables'!$B:$B,MATCH(B9,'DDL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2" sqref="A12"/>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pans="1:14" s="52" customFormat="1">
      <c r="A1" s="31"/>
      <c r="B1" s="132" t="s">
        <v>146</v>
      </c>
      <c r="C1" s="133"/>
      <c r="D1" s="133"/>
      <c r="E1" s="133"/>
      <c r="F1" s="133"/>
      <c r="G1" s="133"/>
      <c r="H1" s="133"/>
      <c r="I1" s="133"/>
      <c r="J1" s="133"/>
      <c r="K1" s="133"/>
      <c r="L1" s="126" t="s">
        <v>379</v>
      </c>
      <c r="M1" s="127"/>
      <c r="N1" s="127"/>
    </row>
    <row r="2" spans="1:14">
      <c r="A2" s="31"/>
      <c r="B2" s="54"/>
      <c r="C2" s="55"/>
      <c r="D2" s="55"/>
      <c r="E2" s="55"/>
      <c r="F2" s="55"/>
      <c r="G2" s="55"/>
      <c r="H2" s="55"/>
      <c r="I2" s="55"/>
      <c r="J2" s="55"/>
      <c r="K2" s="55"/>
      <c r="L2" s="105" t="s">
        <v>0</v>
      </c>
      <c r="M2" s="106" t="s">
        <v>16</v>
      </c>
      <c r="N2" s="53"/>
    </row>
    <row r="3" spans="1:14">
      <c r="A3" s="31"/>
      <c r="B3" s="105" t="s">
        <v>0</v>
      </c>
      <c r="C3" s="106" t="s">
        <v>16</v>
      </c>
      <c r="F3" s="105" t="s">
        <v>0</v>
      </c>
      <c r="G3" s="106" t="s">
        <v>16</v>
      </c>
      <c r="I3" s="105" t="s">
        <v>0</v>
      </c>
      <c r="J3" s="106" t="s">
        <v>16</v>
      </c>
      <c r="L3" s="105" t="s">
        <v>1</v>
      </c>
      <c r="M3" s="106" t="s">
        <v>16</v>
      </c>
    </row>
    <row r="4" spans="1:14">
      <c r="A4" s="31"/>
      <c r="B4" s="105" t="s">
        <v>1</v>
      </c>
      <c r="C4" s="106" t="s">
        <v>16</v>
      </c>
      <c r="D4" s="33"/>
      <c r="E4" s="33"/>
      <c r="F4" s="105" t="s">
        <v>1</v>
      </c>
      <c r="G4" s="106" t="s">
        <v>16</v>
      </c>
      <c r="I4" s="105" t="s">
        <v>1</v>
      </c>
      <c r="J4" s="106" t="s">
        <v>16</v>
      </c>
      <c r="K4" s="33"/>
      <c r="L4" s="105" t="s">
        <v>2</v>
      </c>
      <c r="M4" s="106" t="s">
        <v>16</v>
      </c>
    </row>
    <row r="5" spans="1:14">
      <c r="A5" s="31"/>
      <c r="B5" s="105" t="s">
        <v>2</v>
      </c>
      <c r="C5" s="106" t="s">
        <v>16</v>
      </c>
      <c r="D5" s="33"/>
      <c r="E5" s="33"/>
      <c r="F5" s="105" t="s">
        <v>2</v>
      </c>
      <c r="G5" s="106" t="s">
        <v>16</v>
      </c>
      <c r="I5" s="105" t="s">
        <v>2</v>
      </c>
      <c r="J5" s="106" t="s">
        <v>16</v>
      </c>
      <c r="K5" s="33"/>
      <c r="L5" s="105" t="s">
        <v>52</v>
      </c>
      <c r="M5" s="106" t="s">
        <v>16</v>
      </c>
    </row>
    <row r="6" spans="1:14">
      <c r="A6" s="31"/>
      <c r="B6" s="105" t="s">
        <v>3</v>
      </c>
      <c r="C6" s="106" t="s">
        <v>113</v>
      </c>
      <c r="D6" s="33"/>
      <c r="E6" s="33"/>
      <c r="F6" s="105" t="s">
        <v>3</v>
      </c>
      <c r="G6" s="106" t="s">
        <v>115</v>
      </c>
      <c r="I6" s="105" t="s">
        <v>3</v>
      </c>
      <c r="J6" s="106" t="s">
        <v>144</v>
      </c>
      <c r="K6" s="33"/>
      <c r="L6" s="105" t="s">
        <v>3</v>
      </c>
      <c r="M6" s="106" t="s">
        <v>15</v>
      </c>
    </row>
    <row r="7" spans="1:14">
      <c r="A7" s="31"/>
    </row>
    <row r="8" spans="1:14">
      <c r="A8" s="24" t="s">
        <v>122</v>
      </c>
      <c r="B8" s="105" t="s">
        <v>296</v>
      </c>
      <c r="C8" s="106" t="s">
        <v>299</v>
      </c>
      <c r="D8" s="106" t="s">
        <v>417</v>
      </c>
      <c r="F8" s="105" t="s">
        <v>296</v>
      </c>
      <c r="G8" t="s">
        <v>298</v>
      </c>
      <c r="I8" s="105" t="s">
        <v>296</v>
      </c>
      <c r="J8" t="s">
        <v>297</v>
      </c>
      <c r="L8" s="105" t="s">
        <v>296</v>
      </c>
      <c r="M8" s="106" t="s">
        <v>300</v>
      </c>
      <c r="N8" s="106" t="s">
        <v>417</v>
      </c>
    </row>
    <row r="9" spans="1:14">
      <c r="A9" s="29">
        <f>INDEX('Node Information'!$I:I,MATCH(B9,'Node Information'!$A:$A,0))</f>
        <v>6.5428240740740704E-2</v>
      </c>
      <c r="B9" s="4" t="s">
        <v>49</v>
      </c>
      <c r="C9" s="5">
        <v>7475</v>
      </c>
      <c r="D9" s="5">
        <v>0</v>
      </c>
      <c r="E9" s="5"/>
      <c r="F9" s="4" t="s">
        <v>49</v>
      </c>
      <c r="G9" s="5">
        <v>2422</v>
      </c>
      <c r="H9" s="5"/>
      <c r="I9" s="4" t="s">
        <v>49</v>
      </c>
      <c r="J9" s="5">
        <v>17942</v>
      </c>
      <c r="K9" s="5"/>
      <c r="L9" s="4" t="s">
        <v>49</v>
      </c>
      <c r="M9" s="5">
        <v>0</v>
      </c>
      <c r="N9" s="5">
        <v>0</v>
      </c>
    </row>
    <row r="10" spans="1:14">
      <c r="B10" s="4" t="s">
        <v>18</v>
      </c>
      <c r="C10" s="5">
        <v>7475</v>
      </c>
      <c r="D10" s="5">
        <v>0</v>
      </c>
      <c r="E10" s="5"/>
      <c r="F10" s="4" t="s">
        <v>18</v>
      </c>
      <c r="G10" s="5">
        <v>2422</v>
      </c>
      <c r="H10" s="5"/>
      <c r="I10" s="4" t="s">
        <v>18</v>
      </c>
      <c r="J10" s="5">
        <v>17942</v>
      </c>
      <c r="K10" s="5"/>
      <c r="L10" s="4" t="s">
        <v>18</v>
      </c>
      <c r="M10" s="5">
        <v>0</v>
      </c>
      <c r="N10" s="5">
        <v>0</v>
      </c>
    </row>
  </sheetData>
  <mergeCells count="2">
    <mergeCell ref="B1:K1"/>
    <mergeCell ref="L1:N1"/>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10"/>
  <sheetViews>
    <sheetView workbookViewId="0">
      <selection activeCell="C9" sqref="C9"/>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width="11.42578125" bestFit="1" customWidth="1"/>
    <col min="15" max="15" width="32.7109375" customWidth="1"/>
    <col min="17" max="17" width="11.42578125" bestFit="1" customWidth="1"/>
    <col min="18" max="18" width="33.28515625" customWidth="1"/>
    <col min="19" max="19" width="29.28515625" customWidth="1"/>
  </cols>
  <sheetData>
    <row r="1" spans="1:19" s="31" customFormat="1"/>
    <row r="2" spans="1:19" s="31" customFormat="1"/>
    <row r="3" spans="1:19" s="31" customFormat="1">
      <c r="B3" s="130" t="s">
        <v>308</v>
      </c>
      <c r="C3" s="110"/>
      <c r="D3" s="110"/>
      <c r="E3" s="110"/>
      <c r="F3" s="110"/>
      <c r="G3" s="110"/>
      <c r="H3" s="110"/>
      <c r="I3" s="110"/>
      <c r="J3" s="110"/>
      <c r="K3" s="110"/>
      <c r="M3" s="130" t="s">
        <v>477</v>
      </c>
      <c r="N3" s="127"/>
      <c r="O3" s="127"/>
      <c r="P3" s="127"/>
      <c r="Q3" s="127"/>
      <c r="R3" s="127"/>
      <c r="S3" s="127"/>
    </row>
    <row r="4" spans="1:19">
      <c r="A4" s="31"/>
      <c r="B4" s="130"/>
      <c r="C4" s="110"/>
      <c r="D4" s="110"/>
      <c r="E4" s="110"/>
      <c r="F4" s="110"/>
      <c r="G4" s="110"/>
      <c r="H4" s="110"/>
      <c r="I4" s="110"/>
      <c r="J4" s="110"/>
      <c r="K4" s="110"/>
      <c r="M4" s="97"/>
      <c r="N4" s="105" t="s">
        <v>0</v>
      </c>
      <c r="O4" s="106" t="s">
        <v>16</v>
      </c>
      <c r="P4" s="97"/>
      <c r="Q4" s="105" t="s">
        <v>0</v>
      </c>
      <c r="R4" s="106" t="s">
        <v>16</v>
      </c>
      <c r="S4" s="33"/>
    </row>
    <row r="5" spans="1:19">
      <c r="A5" s="31"/>
      <c r="B5" s="105" t="s">
        <v>0</v>
      </c>
      <c r="C5" s="106" t="s">
        <v>16</v>
      </c>
      <c r="E5" s="105" t="s">
        <v>0</v>
      </c>
      <c r="F5" s="106" t="s">
        <v>16</v>
      </c>
      <c r="I5" s="105" t="s">
        <v>0</v>
      </c>
      <c r="J5" s="106" t="s">
        <v>16</v>
      </c>
      <c r="K5" s="52"/>
      <c r="M5" s="97"/>
      <c r="N5" s="105" t="s">
        <v>1</v>
      </c>
      <c r="O5" s="106" t="s">
        <v>16</v>
      </c>
      <c r="P5" s="97"/>
      <c r="Q5" s="105" t="s">
        <v>1</v>
      </c>
      <c r="R5" s="106" t="s">
        <v>16</v>
      </c>
      <c r="S5" s="33"/>
    </row>
    <row r="6" spans="1:19">
      <c r="A6" s="31"/>
      <c r="B6" s="105" t="s">
        <v>3</v>
      </c>
      <c r="C6" s="106" t="s">
        <v>294</v>
      </c>
      <c r="E6" s="105" t="s">
        <v>3</v>
      </c>
      <c r="F6" s="106" t="s">
        <v>336</v>
      </c>
      <c r="I6" s="105" t="s">
        <v>3</v>
      </c>
      <c r="J6" s="106" t="s">
        <v>337</v>
      </c>
      <c r="K6" s="52"/>
      <c r="M6" s="97"/>
      <c r="N6" s="105" t="s">
        <v>3</v>
      </c>
      <c r="O6" s="106" t="s">
        <v>468</v>
      </c>
      <c r="P6" s="97"/>
      <c r="Q6" s="105" t="s">
        <v>3</v>
      </c>
      <c r="R6" s="106" t="s">
        <v>470</v>
      </c>
      <c r="S6" s="33"/>
    </row>
    <row r="7" spans="1:19">
      <c r="A7" s="31"/>
      <c r="E7" s="52"/>
      <c r="F7" s="52"/>
      <c r="I7" s="52"/>
      <c r="J7" s="52"/>
      <c r="K7" s="52"/>
      <c r="M7" s="97"/>
      <c r="N7" s="97"/>
      <c r="O7" s="97"/>
      <c r="P7" s="97"/>
      <c r="Q7" s="97"/>
      <c r="R7" s="97"/>
      <c r="S7" s="97"/>
    </row>
    <row r="8" spans="1:19" ht="30">
      <c r="A8" s="24" t="s">
        <v>122</v>
      </c>
      <c r="B8" s="105" t="s">
        <v>296</v>
      </c>
      <c r="C8" t="s">
        <v>309</v>
      </c>
      <c r="E8" s="105" t="s">
        <v>296</v>
      </c>
      <c r="F8" s="106" t="s">
        <v>348</v>
      </c>
      <c r="G8" s="106" t="s">
        <v>417</v>
      </c>
      <c r="I8" s="105" t="s">
        <v>296</v>
      </c>
      <c r="J8" s="106" t="s">
        <v>349</v>
      </c>
      <c r="K8" s="106" t="s">
        <v>421</v>
      </c>
      <c r="M8" s="24" t="s">
        <v>332</v>
      </c>
      <c r="N8" s="105" t="s">
        <v>2</v>
      </c>
      <c r="O8" t="s">
        <v>474</v>
      </c>
      <c r="P8" s="97"/>
      <c r="Q8" s="105" t="s">
        <v>2</v>
      </c>
      <c r="R8" s="106" t="s">
        <v>475</v>
      </c>
      <c r="S8" s="106" t="s">
        <v>476</v>
      </c>
    </row>
    <row r="9" spans="1:19" ht="20.25" customHeight="1">
      <c r="A9" s="29">
        <f>INDEX('Node Information'!I:$I,MATCH(B9,'Node Information'!$A:$A,0))</f>
        <v>6.5428240740740704E-2</v>
      </c>
      <c r="B9" s="4" t="s">
        <v>49</v>
      </c>
      <c r="C9" s="5">
        <v>368</v>
      </c>
      <c r="E9" s="4" t="s">
        <v>49</v>
      </c>
      <c r="F9" s="5">
        <v>396</v>
      </c>
      <c r="G9" s="106">
        <v>0</v>
      </c>
      <c r="I9" s="4" t="s">
        <v>49</v>
      </c>
      <c r="J9" s="5">
        <v>240</v>
      </c>
      <c r="K9" s="5">
        <v>0</v>
      </c>
      <c r="M9" s="23" t="str">
        <f>INDEX('DDL Tables'!$B:$B,MATCH(N9,'DDL Tables'!$C:$C,0))</f>
        <v>TestKS</v>
      </c>
      <c r="N9" s="4" t="s">
        <v>50</v>
      </c>
      <c r="O9" s="5">
        <v>7</v>
      </c>
      <c r="P9" s="97"/>
      <c r="Q9" s="4" t="s">
        <v>50</v>
      </c>
      <c r="R9" s="5">
        <v>2</v>
      </c>
      <c r="S9" s="5">
        <v>0</v>
      </c>
    </row>
    <row r="10" spans="1:19">
      <c r="B10" s="4" t="s">
        <v>18</v>
      </c>
      <c r="C10" s="5">
        <v>368</v>
      </c>
      <c r="E10" s="4" t="s">
        <v>18</v>
      </c>
      <c r="F10" s="106">
        <v>396</v>
      </c>
      <c r="G10" s="106">
        <v>0</v>
      </c>
      <c r="I10" s="4" t="s">
        <v>18</v>
      </c>
      <c r="J10" s="106">
        <v>240</v>
      </c>
      <c r="K10" s="5">
        <v>0</v>
      </c>
      <c r="M10" s="91"/>
      <c r="N10" s="4" t="s">
        <v>18</v>
      </c>
      <c r="O10" s="5">
        <v>7</v>
      </c>
      <c r="Q10" s="4" t="s">
        <v>18</v>
      </c>
      <c r="R10" s="5">
        <v>2</v>
      </c>
      <c r="S10" s="5">
        <v>0</v>
      </c>
    </row>
  </sheetData>
  <mergeCells count="3">
    <mergeCell ref="B4:K4"/>
    <mergeCell ref="B3:K3"/>
    <mergeCell ref="M3:S3"/>
  </mergeCells>
  <pageMargins left="0.7" right="0.7" top="0.75" bottom="0.75" header="0.3" footer="0.3"/>
  <pageSetup orientation="portrait" r:id="rId6"/>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10"/>
  <sheetViews>
    <sheetView workbookViewId="0">
      <selection activeCell="A11" sqref="A11"/>
    </sheetView>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s>
  <sheetData>
    <row r="1" spans="1:22" s="45" customFormat="1"/>
    <row r="2" spans="1:22" s="45" customFormat="1"/>
    <row r="3" spans="1:22" s="45" customFormat="1"/>
    <row r="4" spans="1:22">
      <c r="A4" s="45"/>
      <c r="B4" s="134" t="s">
        <v>319</v>
      </c>
      <c r="C4" s="135"/>
      <c r="D4" s="135"/>
      <c r="E4" s="135"/>
      <c r="F4" s="135"/>
      <c r="G4" s="135"/>
      <c r="H4" s="135"/>
      <c r="I4" s="135"/>
      <c r="J4" s="135"/>
      <c r="K4" s="135"/>
      <c r="M4" s="134" t="s">
        <v>325</v>
      </c>
      <c r="N4" s="135"/>
      <c r="O4" s="135"/>
      <c r="P4" s="135"/>
      <c r="Q4" s="135"/>
      <c r="R4" s="135"/>
      <c r="S4" s="135"/>
      <c r="T4" s="135"/>
      <c r="U4" s="135"/>
      <c r="V4" s="135"/>
    </row>
    <row r="5" spans="1:22">
      <c r="A5" s="45"/>
      <c r="B5" s="105" t="s">
        <v>0</v>
      </c>
      <c r="C5" s="106" t="s">
        <v>16</v>
      </c>
      <c r="D5" s="33"/>
      <c r="G5" s="33"/>
      <c r="H5" s="90" t="s">
        <v>0</v>
      </c>
      <c r="I5" s="91" t="s">
        <v>16</v>
      </c>
      <c r="M5" s="105" t="s">
        <v>0</v>
      </c>
      <c r="N5" s="106" t="s">
        <v>16</v>
      </c>
      <c r="O5" s="33"/>
      <c r="R5" s="33"/>
      <c r="S5" s="90" t="s">
        <v>0</v>
      </c>
      <c r="T5" s="91" t="s">
        <v>16</v>
      </c>
    </row>
    <row r="6" spans="1:22">
      <c r="A6" s="45"/>
      <c r="B6" s="105" t="s">
        <v>3</v>
      </c>
      <c r="C6" s="106" t="s">
        <v>310</v>
      </c>
      <c r="D6" s="33"/>
      <c r="G6" s="33"/>
      <c r="H6" s="90" t="s">
        <v>3</v>
      </c>
      <c r="I6" s="91" t="s">
        <v>310</v>
      </c>
      <c r="M6" s="105" t="s">
        <v>3</v>
      </c>
      <c r="N6" s="106" t="s">
        <v>310</v>
      </c>
      <c r="O6" s="33"/>
      <c r="R6" s="33"/>
      <c r="S6" s="90" t="s">
        <v>3</v>
      </c>
      <c r="T6" s="91" t="s">
        <v>310</v>
      </c>
    </row>
    <row r="7" spans="1:22">
      <c r="A7" s="45"/>
    </row>
    <row r="8" spans="1:22">
      <c r="A8" s="24" t="s">
        <v>122</v>
      </c>
      <c r="B8" s="105" t="s">
        <v>296</v>
      </c>
      <c r="C8" s="106" t="s">
        <v>312</v>
      </c>
      <c r="D8" s="106" t="s">
        <v>419</v>
      </c>
      <c r="E8" s="106" t="s">
        <v>311</v>
      </c>
      <c r="F8" s="106" t="s">
        <v>418</v>
      </c>
      <c r="H8" s="90" t="s">
        <v>296</v>
      </c>
      <c r="I8" s="91" t="s">
        <v>316</v>
      </c>
      <c r="J8" s="91" t="s">
        <v>317</v>
      </c>
      <c r="K8" s="91" t="s">
        <v>318</v>
      </c>
      <c r="M8" s="105" t="s">
        <v>296</v>
      </c>
      <c r="N8" s="106" t="s">
        <v>312</v>
      </c>
      <c r="O8" s="106" t="s">
        <v>419</v>
      </c>
      <c r="P8" s="106" t="s">
        <v>311</v>
      </c>
      <c r="Q8" s="106" t="s">
        <v>418</v>
      </c>
      <c r="S8" s="90" t="s">
        <v>296</v>
      </c>
      <c r="T8" s="91" t="s">
        <v>316</v>
      </c>
      <c r="U8" s="91" t="s">
        <v>317</v>
      </c>
      <c r="V8" s="91" t="s">
        <v>318</v>
      </c>
    </row>
    <row r="9" spans="1:22">
      <c r="A9" s="29">
        <f>INDEX('Node Information'!I:$I,MATCH(B9,'Node Information'!$A:$A,0))</f>
        <v>6.5428240740740704E-2</v>
      </c>
      <c r="B9" s="4" t="s">
        <v>49</v>
      </c>
      <c r="C9" s="5">
        <v>0</v>
      </c>
      <c r="D9" s="5">
        <v>0</v>
      </c>
      <c r="E9" s="5">
        <v>0</v>
      </c>
      <c r="F9" s="5">
        <v>0</v>
      </c>
      <c r="G9" s="5"/>
      <c r="H9" s="4" t="s">
        <v>49</v>
      </c>
      <c r="I9" s="5">
        <v>1205474744</v>
      </c>
      <c r="J9" s="5">
        <v>0</v>
      </c>
      <c r="K9" s="5">
        <v>0</v>
      </c>
      <c r="M9" s="4" t="s">
        <v>49</v>
      </c>
      <c r="N9" s="5">
        <v>1</v>
      </c>
      <c r="O9" s="5">
        <v>0.5</v>
      </c>
      <c r="P9" s="5">
        <v>0</v>
      </c>
      <c r="Q9" s="5">
        <v>0</v>
      </c>
      <c r="R9" s="5"/>
      <c r="S9" s="4" t="s">
        <v>49</v>
      </c>
      <c r="T9" s="5">
        <v>20378954531</v>
      </c>
      <c r="U9" s="5">
        <v>0</v>
      </c>
      <c r="V9" s="5">
        <v>0</v>
      </c>
    </row>
    <row r="10" spans="1:22">
      <c r="B10" s="4" t="s">
        <v>18</v>
      </c>
      <c r="C10" s="5">
        <v>0</v>
      </c>
      <c r="D10" s="5">
        <v>0</v>
      </c>
      <c r="E10" s="5">
        <v>0</v>
      </c>
      <c r="F10" s="5">
        <v>0</v>
      </c>
      <c r="G10" s="5"/>
      <c r="H10" s="4" t="s">
        <v>18</v>
      </c>
      <c r="I10" s="5">
        <v>1205474744</v>
      </c>
      <c r="J10" s="5">
        <v>0</v>
      </c>
      <c r="K10" s="5">
        <v>0</v>
      </c>
      <c r="M10" s="4" t="s">
        <v>18</v>
      </c>
      <c r="N10" s="5">
        <v>1</v>
      </c>
      <c r="O10" s="5">
        <v>0.5</v>
      </c>
      <c r="P10" s="5">
        <v>0</v>
      </c>
      <c r="Q10" s="5">
        <v>0</v>
      </c>
      <c r="R10" s="5"/>
      <c r="S10" s="4" t="s">
        <v>18</v>
      </c>
      <c r="T10" s="5">
        <v>20378954531</v>
      </c>
      <c r="U10" s="5">
        <v>0</v>
      </c>
      <c r="V10" s="5">
        <v>0</v>
      </c>
    </row>
  </sheetData>
  <mergeCells count="2">
    <mergeCell ref="B4:K4"/>
    <mergeCell ref="M4:V4"/>
  </mergeCells>
  <pageMargins left="0.7" right="0.7" top="0.75" bottom="0.75" header="0.3" footer="0.3"/>
  <pageSetup orientation="portrait"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election activeCell="A11" sqref="A11"/>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36" t="s">
        <v>147</v>
      </c>
      <c r="C2" s="133"/>
      <c r="D2" s="133"/>
      <c r="E2" s="133"/>
      <c r="F2" s="133"/>
      <c r="G2" s="133"/>
      <c r="H2" s="133"/>
      <c r="I2" s="137"/>
      <c r="J2" s="86"/>
      <c r="K2" s="126" t="s">
        <v>367</v>
      </c>
      <c r="L2" s="110"/>
      <c r="M2" s="57"/>
      <c r="N2" s="126" t="s">
        <v>379</v>
      </c>
      <c r="O2" s="110"/>
      <c r="P2" s="110"/>
      <c r="Q2" s="110"/>
      <c r="R2" s="110"/>
      <c r="S2" s="110"/>
      <c r="T2" s="110"/>
      <c r="U2" s="110"/>
      <c r="V2" s="110"/>
      <c r="W2" s="110"/>
      <c r="X2" s="110"/>
      <c r="Y2" s="110"/>
    </row>
    <row r="3" spans="1:26" s="31" customFormat="1">
      <c r="A3" s="30"/>
      <c r="B3" s="105" t="s">
        <v>150</v>
      </c>
      <c r="C3" s="106" t="s">
        <v>16</v>
      </c>
      <c r="D3" s="55"/>
      <c r="E3" s="105" t="s">
        <v>150</v>
      </c>
      <c r="F3" s="106" t="s">
        <v>16</v>
      </c>
      <c r="G3" s="55"/>
      <c r="H3" s="105" t="s">
        <v>150</v>
      </c>
      <c r="I3" s="106" t="s">
        <v>16</v>
      </c>
      <c r="J3" s="86"/>
      <c r="K3" s="105" t="s">
        <v>150</v>
      </c>
      <c r="L3" s="106" t="s">
        <v>16</v>
      </c>
      <c r="M3" s="57"/>
      <c r="N3" s="105" t="s">
        <v>0</v>
      </c>
      <c r="O3" s="106" t="s">
        <v>16</v>
      </c>
      <c r="R3" s="105" t="s">
        <v>0</v>
      </c>
      <c r="S3" s="106" t="s">
        <v>16</v>
      </c>
      <c r="T3" s="34"/>
      <c r="V3" s="105" t="s">
        <v>0</v>
      </c>
      <c r="W3" s="106" t="s">
        <v>16</v>
      </c>
    </row>
    <row r="4" spans="1:26">
      <c r="A4" s="30"/>
      <c r="B4" s="105" t="s">
        <v>0</v>
      </c>
      <c r="C4" s="106" t="s">
        <v>16</v>
      </c>
      <c r="D4" s="33"/>
      <c r="E4" s="105" t="s">
        <v>0</v>
      </c>
      <c r="F4" s="106" t="s">
        <v>16</v>
      </c>
      <c r="G4" s="33"/>
      <c r="H4" s="105" t="s">
        <v>0</v>
      </c>
      <c r="I4" s="106" t="s">
        <v>16</v>
      </c>
      <c r="K4" s="105" t="s">
        <v>0</v>
      </c>
      <c r="L4" s="106" t="s">
        <v>16</v>
      </c>
      <c r="N4" s="105" t="s">
        <v>1</v>
      </c>
      <c r="O4" s="106" t="s">
        <v>16</v>
      </c>
      <c r="Q4" s="8"/>
      <c r="R4" s="105" t="s">
        <v>1</v>
      </c>
      <c r="S4" s="106" t="s">
        <v>16</v>
      </c>
      <c r="T4"/>
      <c r="V4" s="105" t="s">
        <v>1</v>
      </c>
      <c r="W4" s="106" t="s">
        <v>16</v>
      </c>
      <c r="Z4" s="8"/>
    </row>
    <row r="5" spans="1:26">
      <c r="A5" s="30"/>
      <c r="B5" s="105" t="s">
        <v>1</v>
      </c>
      <c r="C5" s="106" t="s">
        <v>16</v>
      </c>
      <c r="D5" s="33"/>
      <c r="E5" s="105" t="s">
        <v>1</v>
      </c>
      <c r="F5" s="106" t="s">
        <v>16</v>
      </c>
      <c r="G5" s="33"/>
      <c r="H5" s="105" t="s">
        <v>1</v>
      </c>
      <c r="I5" s="106" t="s">
        <v>16</v>
      </c>
      <c r="K5" s="105" t="s">
        <v>1</v>
      </c>
      <c r="L5" s="106" t="s">
        <v>16</v>
      </c>
      <c r="N5" s="105" t="s">
        <v>52</v>
      </c>
      <c r="O5" s="106" t="s">
        <v>16</v>
      </c>
      <c r="Q5" s="8"/>
      <c r="R5" s="105" t="s">
        <v>52</v>
      </c>
      <c r="S5" s="106" t="s">
        <v>16</v>
      </c>
      <c r="T5"/>
      <c r="V5" s="105" t="s">
        <v>52</v>
      </c>
      <c r="W5" s="106" t="s">
        <v>16</v>
      </c>
      <c r="Z5" s="8"/>
    </row>
    <row r="6" spans="1:26">
      <c r="A6" s="30"/>
      <c r="B6" s="105" t="s">
        <v>3</v>
      </c>
      <c r="C6" s="106" t="s">
        <v>109</v>
      </c>
      <c r="D6" s="33"/>
      <c r="E6" s="105" t="s">
        <v>3</v>
      </c>
      <c r="F6" s="106" t="s">
        <v>143</v>
      </c>
      <c r="G6" s="33"/>
      <c r="H6" s="105" t="s">
        <v>3</v>
      </c>
      <c r="I6" s="106" t="s">
        <v>112</v>
      </c>
      <c r="K6" s="105" t="s">
        <v>3</v>
      </c>
      <c r="L6" s="106" t="s">
        <v>109</v>
      </c>
      <c r="N6" s="105" t="s">
        <v>3</v>
      </c>
      <c r="O6" s="106" t="s">
        <v>13</v>
      </c>
      <c r="Q6" s="8"/>
      <c r="R6" s="105" t="s">
        <v>3</v>
      </c>
      <c r="S6" s="106" t="s">
        <v>14</v>
      </c>
      <c r="T6"/>
      <c r="V6" s="105" t="s">
        <v>3</v>
      </c>
      <c r="W6" s="106" t="s">
        <v>8</v>
      </c>
      <c r="Z6" s="8"/>
    </row>
    <row r="7" spans="1:26">
      <c r="A7" s="30"/>
      <c r="Q7" s="8"/>
      <c r="T7"/>
      <c r="Z7" s="8"/>
    </row>
    <row r="8" spans="1:26" ht="30">
      <c r="A8" s="24" t="s">
        <v>332</v>
      </c>
      <c r="B8" s="105" t="s">
        <v>2</v>
      </c>
      <c r="C8" t="s">
        <v>441</v>
      </c>
      <c r="E8" s="105" t="s">
        <v>2</v>
      </c>
      <c r="F8" s="32" t="s">
        <v>390</v>
      </c>
      <c r="H8" s="105" t="s">
        <v>2</v>
      </c>
      <c r="I8" s="32" t="s">
        <v>442</v>
      </c>
      <c r="J8" s="32"/>
      <c r="K8" s="105" t="s">
        <v>2</v>
      </c>
      <c r="L8" t="s">
        <v>441</v>
      </c>
      <c r="N8" s="105" t="s">
        <v>2</v>
      </c>
      <c r="O8" s="32" t="s">
        <v>387</v>
      </c>
      <c r="P8" s="32" t="s">
        <v>417</v>
      </c>
      <c r="Q8" s="8"/>
      <c r="R8" s="105" t="s">
        <v>2</v>
      </c>
      <c r="S8" s="32" t="s">
        <v>388</v>
      </c>
      <c r="T8" s="32" t="s">
        <v>421</v>
      </c>
      <c r="V8" s="105" t="s">
        <v>2</v>
      </c>
      <c r="W8" s="106" t="s">
        <v>391</v>
      </c>
      <c r="X8" s="32" t="s">
        <v>392</v>
      </c>
      <c r="Y8" s="32" t="s">
        <v>422</v>
      </c>
      <c r="Z8" s="8"/>
    </row>
    <row r="9" spans="1:26">
      <c r="A9" s="23" t="str">
        <f>INDEX('DDL Tables'!$B:$B,MATCH(B9,'DDL Tables'!$C:$C,0))</f>
        <v>TestKS</v>
      </c>
      <c r="B9" s="4" t="s">
        <v>50</v>
      </c>
      <c r="C9" s="6">
        <v>311.17886066436768</v>
      </c>
      <c r="D9" s="6"/>
      <c r="E9" s="4" t="s">
        <v>50</v>
      </c>
      <c r="F9" s="5">
        <v>531</v>
      </c>
      <c r="G9" s="6"/>
      <c r="H9" s="4" t="s">
        <v>50</v>
      </c>
      <c r="I9" s="6">
        <v>220.30964517593384</v>
      </c>
      <c r="J9" s="6"/>
      <c r="K9" s="4" t="s">
        <v>50</v>
      </c>
      <c r="L9" s="6">
        <v>311.17886066436768</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06">
        <v>311.17886066436768</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2" sqref="A12"/>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36" t="s">
        <v>389</v>
      </c>
      <c r="C1" s="133"/>
      <c r="D1" s="133"/>
      <c r="E1" s="133"/>
      <c r="F1" s="133"/>
      <c r="G1" s="133"/>
      <c r="H1" s="133"/>
      <c r="I1" s="137"/>
      <c r="J1" s="86"/>
      <c r="K1" s="126" t="s">
        <v>367</v>
      </c>
      <c r="L1" s="127"/>
      <c r="M1" s="86"/>
      <c r="N1" s="138" t="s">
        <v>379</v>
      </c>
      <c r="O1" s="127"/>
      <c r="P1" s="127"/>
      <c r="Q1" s="127"/>
      <c r="R1" s="127"/>
      <c r="S1" s="127"/>
      <c r="T1" s="127"/>
      <c r="U1" s="127"/>
      <c r="V1" s="127"/>
      <c r="W1" s="127"/>
      <c r="X1" s="127"/>
      <c r="Y1" s="127"/>
    </row>
    <row r="2" spans="1:36">
      <c r="A2" s="31"/>
      <c r="B2" s="105" t="s">
        <v>150</v>
      </c>
      <c r="C2" s="106" t="s">
        <v>16</v>
      </c>
      <c r="D2" s="55"/>
      <c r="E2" s="105" t="s">
        <v>150</v>
      </c>
      <c r="F2" s="106" t="s">
        <v>16</v>
      </c>
      <c r="G2" s="55"/>
      <c r="H2" s="105" t="s">
        <v>150</v>
      </c>
      <c r="I2" s="106" t="s">
        <v>16</v>
      </c>
      <c r="K2" s="105" t="s">
        <v>150</v>
      </c>
      <c r="L2" s="106" t="s">
        <v>16</v>
      </c>
      <c r="M2" s="86"/>
      <c r="N2" s="105" t="s">
        <v>0</v>
      </c>
      <c r="O2" s="106" t="s">
        <v>16</v>
      </c>
      <c r="P2" s="31"/>
      <c r="Q2" s="31"/>
      <c r="R2" s="105" t="s">
        <v>0</v>
      </c>
      <c r="S2" s="106" t="s">
        <v>16</v>
      </c>
      <c r="T2" s="31"/>
      <c r="U2" s="31"/>
      <c r="V2" s="105" t="s">
        <v>0</v>
      </c>
      <c r="W2" s="106" t="s">
        <v>16</v>
      </c>
      <c r="X2" s="86"/>
      <c r="Y2" s="86"/>
      <c r="Z2" s="86"/>
      <c r="AA2" s="86"/>
      <c r="AB2" s="86"/>
      <c r="AC2" s="86"/>
      <c r="AD2" s="86"/>
      <c r="AE2" s="86"/>
      <c r="AF2" s="86"/>
      <c r="AG2" s="86"/>
      <c r="AH2" s="86"/>
      <c r="AI2" s="86"/>
      <c r="AJ2" s="86"/>
    </row>
    <row r="3" spans="1:36" s="31" customFormat="1">
      <c r="B3" s="105" t="s">
        <v>0</v>
      </c>
      <c r="C3" s="106" t="s">
        <v>16</v>
      </c>
      <c r="E3" s="105" t="s">
        <v>0</v>
      </c>
      <c r="F3" s="106" t="s">
        <v>16</v>
      </c>
      <c r="H3" s="105" t="s">
        <v>0</v>
      </c>
      <c r="I3" s="106" t="s">
        <v>16</v>
      </c>
      <c r="J3" s="86"/>
      <c r="K3" s="105" t="s">
        <v>0</v>
      </c>
      <c r="L3" s="106" t="s">
        <v>16</v>
      </c>
      <c r="M3" s="86"/>
      <c r="N3" s="105" t="s">
        <v>1</v>
      </c>
      <c r="O3" s="106" t="s">
        <v>16</v>
      </c>
      <c r="R3" s="105" t="s">
        <v>1</v>
      </c>
      <c r="S3" s="106" t="s">
        <v>16</v>
      </c>
      <c r="T3" s="34"/>
      <c r="V3" s="105" t="s">
        <v>1</v>
      </c>
      <c r="W3" s="106" t="s">
        <v>16</v>
      </c>
      <c r="X3" s="86"/>
      <c r="Y3" s="86"/>
      <c r="Z3" s="86"/>
      <c r="AA3" s="86"/>
      <c r="AB3" s="86"/>
      <c r="AC3" s="86"/>
      <c r="AD3" s="86"/>
      <c r="AE3" s="86"/>
      <c r="AF3" s="86"/>
      <c r="AG3" s="86"/>
      <c r="AH3" s="86"/>
      <c r="AI3" s="86"/>
      <c r="AJ3" s="86"/>
    </row>
    <row r="4" spans="1:36">
      <c r="A4" s="31"/>
      <c r="B4" s="105" t="s">
        <v>1</v>
      </c>
      <c r="C4" s="106" t="s">
        <v>16</v>
      </c>
      <c r="D4" s="33"/>
      <c r="E4" s="105" t="s">
        <v>1</v>
      </c>
      <c r="F4" s="106" t="s">
        <v>16</v>
      </c>
      <c r="G4" s="33"/>
      <c r="H4" s="105" t="s">
        <v>1</v>
      </c>
      <c r="I4" s="106" t="s">
        <v>16</v>
      </c>
      <c r="K4" s="105" t="s">
        <v>1</v>
      </c>
      <c r="L4" s="106" t="s">
        <v>16</v>
      </c>
      <c r="N4" s="105" t="s">
        <v>2</v>
      </c>
      <c r="O4" s="106" t="s">
        <v>16</v>
      </c>
      <c r="Q4" s="8"/>
      <c r="R4" s="105" t="s">
        <v>2</v>
      </c>
      <c r="S4" s="106" t="s">
        <v>16</v>
      </c>
      <c r="T4"/>
      <c r="V4" s="105" t="s">
        <v>2</v>
      </c>
      <c r="W4" s="106" t="s">
        <v>16</v>
      </c>
      <c r="X4" s="86"/>
      <c r="Z4" s="86"/>
      <c r="AA4" s="86"/>
      <c r="AB4" s="86"/>
      <c r="AC4" s="86"/>
      <c r="AD4" s="86"/>
      <c r="AE4" s="86"/>
      <c r="AF4" s="86"/>
      <c r="AG4" s="86"/>
      <c r="AH4" s="86"/>
      <c r="AI4" s="86"/>
      <c r="AJ4" s="86"/>
    </row>
    <row r="5" spans="1:36">
      <c r="A5" s="31"/>
      <c r="B5" s="105" t="s">
        <v>2</v>
      </c>
      <c r="C5" s="106" t="s">
        <v>16</v>
      </c>
      <c r="D5" s="33"/>
      <c r="E5" s="105" t="s">
        <v>2</v>
      </c>
      <c r="F5" s="106" t="s">
        <v>16</v>
      </c>
      <c r="G5" s="33"/>
      <c r="H5" s="105" t="s">
        <v>2</v>
      </c>
      <c r="I5" s="106" t="s">
        <v>16</v>
      </c>
      <c r="K5" s="105" t="s">
        <v>2</v>
      </c>
      <c r="L5" s="106" t="s">
        <v>16</v>
      </c>
      <c r="N5" s="105" t="s">
        <v>52</v>
      </c>
      <c r="O5" s="106" t="s">
        <v>16</v>
      </c>
      <c r="Q5" s="8"/>
      <c r="R5" s="105" t="s">
        <v>52</v>
      </c>
      <c r="S5" s="106" t="s">
        <v>16</v>
      </c>
      <c r="T5"/>
      <c r="V5" s="105" t="s">
        <v>52</v>
      </c>
      <c r="W5" s="106" t="s">
        <v>16</v>
      </c>
      <c r="Z5" s="8"/>
    </row>
    <row r="6" spans="1:36">
      <c r="A6" s="31"/>
      <c r="B6" s="105" t="s">
        <v>3</v>
      </c>
      <c r="C6" s="106" t="s">
        <v>109</v>
      </c>
      <c r="D6" s="33"/>
      <c r="E6" s="105" t="s">
        <v>3</v>
      </c>
      <c r="F6" s="106" t="s">
        <v>143</v>
      </c>
      <c r="G6" s="33"/>
      <c r="H6" s="105" t="s">
        <v>3</v>
      </c>
      <c r="I6" s="106" t="s">
        <v>112</v>
      </c>
      <c r="K6" s="105" t="s">
        <v>3</v>
      </c>
      <c r="L6" s="106" t="s">
        <v>109</v>
      </c>
      <c r="N6" s="105" t="s">
        <v>3</v>
      </c>
      <c r="O6" s="106" t="s">
        <v>13</v>
      </c>
      <c r="Q6" s="8"/>
      <c r="R6" s="105" t="s">
        <v>3</v>
      </c>
      <c r="S6" s="106" t="s">
        <v>14</v>
      </c>
      <c r="T6"/>
      <c r="V6" s="105" t="s">
        <v>3</v>
      </c>
      <c r="W6" s="106" t="s">
        <v>8</v>
      </c>
      <c r="Z6" s="8"/>
    </row>
    <row r="7" spans="1:36">
      <c r="A7" s="31"/>
      <c r="Q7" s="8"/>
      <c r="T7"/>
      <c r="Z7" s="8"/>
    </row>
    <row r="8" spans="1:36" ht="30">
      <c r="A8" s="24" t="s">
        <v>122</v>
      </c>
      <c r="B8" s="105" t="s">
        <v>2</v>
      </c>
      <c r="C8" t="s">
        <v>387</v>
      </c>
      <c r="E8" s="105" t="s">
        <v>2</v>
      </c>
      <c r="F8" s="32" t="s">
        <v>390</v>
      </c>
      <c r="H8" s="105" t="s">
        <v>2</v>
      </c>
      <c r="I8" s="32" t="s">
        <v>388</v>
      </c>
      <c r="J8" s="32"/>
      <c r="K8" s="105" t="s">
        <v>2</v>
      </c>
      <c r="L8" t="s">
        <v>387</v>
      </c>
      <c r="N8" s="105" t="s">
        <v>2</v>
      </c>
      <c r="O8" s="32" t="s">
        <v>387</v>
      </c>
      <c r="P8" s="32" t="s">
        <v>388</v>
      </c>
      <c r="Q8" s="8"/>
      <c r="R8" s="105" t="s">
        <v>2</v>
      </c>
      <c r="S8" s="32" t="s">
        <v>388</v>
      </c>
      <c r="T8" s="32" t="s">
        <v>421</v>
      </c>
      <c r="V8" s="105" t="s">
        <v>2</v>
      </c>
      <c r="W8" s="106" t="s">
        <v>391</v>
      </c>
      <c r="X8" s="32" t="s">
        <v>392</v>
      </c>
      <c r="Y8" s="32" t="s">
        <v>422</v>
      </c>
      <c r="Z8" s="8"/>
    </row>
    <row r="9" spans="1:36">
      <c r="A9" s="29">
        <f>INDEX('Node Information'!$I:I,MATCH(B9,'Node Information'!$A:$A,0))</f>
        <v>6.5428240740740704E-2</v>
      </c>
      <c r="B9" s="4" t="s">
        <v>49</v>
      </c>
      <c r="C9" s="6">
        <v>311.17886066436768</v>
      </c>
      <c r="D9" s="6"/>
      <c r="E9" s="4" t="s">
        <v>49</v>
      </c>
      <c r="F9" s="5">
        <v>531</v>
      </c>
      <c r="G9" s="6"/>
      <c r="H9" s="4" t="s">
        <v>49</v>
      </c>
      <c r="I9" s="6">
        <v>220.30964517593384</v>
      </c>
      <c r="J9" s="6"/>
      <c r="K9" s="4" t="s">
        <v>49</v>
      </c>
      <c r="L9" s="6">
        <v>311.17886066436768</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6">
        <v>311.17886066436768</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
  <sheetViews>
    <sheetView workbookViewId="0">
      <selection activeCell="B4" sqref="B4:I4"/>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s>
  <sheetData>
    <row r="1" spans="1:28" s="45" customFormat="1"/>
    <row r="2" spans="1:28" s="45" customFormat="1"/>
    <row r="3" spans="1:28" s="45" customFormat="1"/>
    <row r="4" spans="1:28">
      <c r="A4" s="45"/>
      <c r="B4" s="132" t="s">
        <v>492</v>
      </c>
      <c r="C4" s="127"/>
      <c r="D4" s="127"/>
      <c r="E4" s="127"/>
      <c r="F4" s="127"/>
      <c r="G4" s="127"/>
      <c r="H4" s="127"/>
      <c r="I4" s="127"/>
      <c r="J4" s="37"/>
      <c r="K4" s="37"/>
      <c r="L4" s="37"/>
      <c r="M4" s="37"/>
      <c r="N4" s="37"/>
      <c r="O4" s="37"/>
      <c r="P4" s="37"/>
      <c r="Q4" s="37"/>
      <c r="R4" s="37"/>
      <c r="S4" s="37"/>
      <c r="T4" s="37"/>
      <c r="U4" s="37"/>
      <c r="V4" s="37"/>
      <c r="W4" s="37"/>
      <c r="X4" s="37"/>
      <c r="Y4" s="37"/>
      <c r="Z4" s="37"/>
      <c r="AA4" s="37"/>
      <c r="AB4" s="37"/>
    </row>
    <row r="5" spans="1:28">
      <c r="A5" s="45"/>
      <c r="B5" s="90" t="s">
        <v>0</v>
      </c>
      <c r="C5" s="91" t="s">
        <v>16</v>
      </c>
      <c r="D5" s="33"/>
      <c r="E5" s="105" t="s">
        <v>0</v>
      </c>
      <c r="F5" s="106" t="s">
        <v>16</v>
      </c>
      <c r="G5" s="33"/>
      <c r="H5" s="90" t="s">
        <v>0</v>
      </c>
      <c r="I5" s="91" t="s">
        <v>16</v>
      </c>
    </row>
    <row r="6" spans="1:28">
      <c r="A6" s="45"/>
      <c r="B6" s="90" t="s">
        <v>3</v>
      </c>
      <c r="C6" s="91" t="s">
        <v>413</v>
      </c>
      <c r="D6" s="33"/>
      <c r="E6" s="105" t="s">
        <v>3</v>
      </c>
      <c r="F6" s="106" t="s">
        <v>145</v>
      </c>
      <c r="G6" s="33"/>
      <c r="H6" s="90" t="s">
        <v>3</v>
      </c>
      <c r="I6" s="91" t="s">
        <v>414</v>
      </c>
    </row>
    <row r="7" spans="1:28">
      <c r="A7" s="45"/>
    </row>
    <row r="8" spans="1:28">
      <c r="A8" s="46" t="s">
        <v>304</v>
      </c>
      <c r="B8" s="90" t="s">
        <v>296</v>
      </c>
      <c r="C8" t="s">
        <v>340</v>
      </c>
      <c r="E8" s="105" t="s">
        <v>296</v>
      </c>
      <c r="F8" t="s">
        <v>347</v>
      </c>
      <c r="H8" s="90" t="s">
        <v>296</v>
      </c>
      <c r="I8" t="s">
        <v>303</v>
      </c>
    </row>
    <row r="9" spans="1:28">
      <c r="A9" s="47" t="str">
        <f>INDEX('OS-Machine Info'!$X:X,MATCH(B9,'OS-Machine Info'!$A:$A,0))</f>
        <v>GC-CMS</v>
      </c>
      <c r="B9" s="4" t="s">
        <v>49</v>
      </c>
      <c r="C9" s="5">
        <v>396</v>
      </c>
      <c r="D9" s="5"/>
      <c r="E9" s="4" t="s">
        <v>49</v>
      </c>
      <c r="F9" s="106">
        <v>368</v>
      </c>
      <c r="H9" s="4" t="s">
        <v>49</v>
      </c>
      <c r="I9" s="5">
        <v>240</v>
      </c>
    </row>
    <row r="10" spans="1:28">
      <c r="B10" s="4" t="s">
        <v>18</v>
      </c>
      <c r="C10" s="5">
        <v>396</v>
      </c>
      <c r="D10" s="5"/>
      <c r="E10" s="4" t="s">
        <v>18</v>
      </c>
      <c r="F10" s="106">
        <v>368</v>
      </c>
      <c r="H10" s="4" t="s">
        <v>18</v>
      </c>
      <c r="I10" s="5">
        <v>240</v>
      </c>
    </row>
  </sheetData>
  <mergeCells count="1">
    <mergeCell ref="B4:I4"/>
  </mergeCells>
  <pageMargins left="0.7" right="0.7" top="0.75" bottom="0.75" header="0.3" footer="0.3"/>
  <pageSetup orientation="portrait"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1"/>
  <sheetViews>
    <sheetView workbookViewId="0">
      <selection activeCell="A12" sqref="A12"/>
    </sheetView>
  </sheetViews>
  <sheetFormatPr defaultColWidth="9.140625" defaultRowHeight="15"/>
  <cols>
    <col min="1" max="1" width="15.85546875" style="51" customWidth="1"/>
    <col min="2" max="2" width="11.42578125" style="51" customWidth="1"/>
    <col min="3" max="3" width="26.140625" style="51" customWidth="1"/>
    <col min="4" max="4" width="9.140625" style="51"/>
    <col min="5" max="5" width="11.42578125" style="51" customWidth="1"/>
    <col min="6" max="6" width="32.140625" style="51" customWidth="1"/>
    <col min="7" max="7" width="9.140625" style="51"/>
    <col min="8" max="8" width="11.42578125" style="51" customWidth="1"/>
    <col min="9" max="9" width="55.7109375" style="51" customWidth="1"/>
    <col min="10" max="10" width="9.140625" style="51"/>
    <col min="11" max="11" width="11.42578125" style="51" customWidth="1"/>
    <col min="12" max="12" width="35.85546875" style="51" customWidth="1"/>
    <col min="13" max="16384" width="9.140625" style="51"/>
  </cols>
  <sheetData>
    <row r="1" spans="1:12" s="45" customFormat="1"/>
    <row r="2" spans="1:12" s="45" customFormat="1"/>
    <row r="3" spans="1:12" s="45" customFormat="1"/>
    <row r="4" spans="1:12" s="45" customFormat="1">
      <c r="B4" s="132" t="s">
        <v>301</v>
      </c>
      <c r="C4" s="127"/>
      <c r="D4" s="127"/>
      <c r="E4" s="127"/>
      <c r="F4" s="127"/>
      <c r="G4" s="127"/>
      <c r="H4" s="127"/>
      <c r="I4" s="127"/>
      <c r="J4" s="127"/>
      <c r="K4" s="127"/>
      <c r="L4" s="127"/>
    </row>
    <row r="5" spans="1:12">
      <c r="A5" s="45"/>
      <c r="B5" s="105" t="s">
        <v>0</v>
      </c>
      <c r="C5" s="106" t="s">
        <v>16</v>
      </c>
      <c r="D5" s="33"/>
      <c r="E5" s="105" t="s">
        <v>0</v>
      </c>
      <c r="F5" s="106" t="s">
        <v>16</v>
      </c>
      <c r="G5" s="33"/>
      <c r="H5" s="105" t="s">
        <v>0</v>
      </c>
      <c r="I5" s="106" t="s">
        <v>16</v>
      </c>
      <c r="K5" s="105" t="s">
        <v>0</v>
      </c>
      <c r="L5" s="106" t="s">
        <v>16</v>
      </c>
    </row>
    <row r="6" spans="1:12">
      <c r="A6" s="45"/>
      <c r="B6" s="105" t="s">
        <v>3</v>
      </c>
      <c r="C6" s="106" t="s">
        <v>353</v>
      </c>
      <c r="D6" s="33"/>
      <c r="E6" s="105" t="s">
        <v>3</v>
      </c>
      <c r="F6" s="106" t="s">
        <v>437</v>
      </c>
      <c r="G6" s="33"/>
      <c r="H6" s="105" t="s">
        <v>3</v>
      </c>
      <c r="I6" s="106" t="s">
        <v>466</v>
      </c>
      <c r="K6" s="105" t="s">
        <v>3</v>
      </c>
      <c r="L6" s="106" t="s">
        <v>440</v>
      </c>
    </row>
    <row r="7" spans="1:12">
      <c r="A7" s="45"/>
      <c r="B7" s="57"/>
      <c r="C7" s="57"/>
      <c r="E7" s="82"/>
      <c r="F7" s="82"/>
      <c r="H7" s="85"/>
      <c r="I7" s="85"/>
      <c r="K7" s="91"/>
      <c r="L7" s="91"/>
    </row>
    <row r="8" spans="1:12">
      <c r="A8" s="46" t="s">
        <v>304</v>
      </c>
      <c r="B8" s="105" t="s">
        <v>296</v>
      </c>
      <c r="C8" t="s">
        <v>483</v>
      </c>
      <c r="E8" s="105" t="s">
        <v>296</v>
      </c>
      <c r="F8" t="s">
        <v>484</v>
      </c>
      <c r="H8" s="105" t="s">
        <v>296</v>
      </c>
      <c r="I8" t="s">
        <v>486</v>
      </c>
      <c r="K8" s="105" t="s">
        <v>296</v>
      </c>
      <c r="L8" t="s">
        <v>485</v>
      </c>
    </row>
    <row r="9" spans="1:12">
      <c r="A9" s="47" t="str">
        <f>INDEX('OS-Machine Info'!$X:X,MATCH(B9,'OS-Machine Info'!$A:$A,0))</f>
        <v>GC-CMS</v>
      </c>
      <c r="B9" s="4" t="s">
        <v>49</v>
      </c>
      <c r="C9" s="106">
        <v>2</v>
      </c>
      <c r="D9" s="5"/>
      <c r="E9" s="4" t="s">
        <v>49</v>
      </c>
      <c r="F9" s="106">
        <v>1</v>
      </c>
      <c r="G9" s="5"/>
      <c r="H9" s="4" t="s">
        <v>49</v>
      </c>
      <c r="I9" s="106">
        <v>3</v>
      </c>
      <c r="K9" s="4" t="s">
        <v>49</v>
      </c>
      <c r="L9" s="106">
        <v>1</v>
      </c>
    </row>
    <row r="10" spans="1:12">
      <c r="B10" s="4" t="s">
        <v>18</v>
      </c>
      <c r="C10" s="106">
        <v>2</v>
      </c>
      <c r="D10" s="5"/>
      <c r="E10" s="4" t="s">
        <v>18</v>
      </c>
      <c r="F10" s="106">
        <v>1</v>
      </c>
      <c r="G10" s="5"/>
      <c r="H10" s="4" t="s">
        <v>18</v>
      </c>
      <c r="I10" s="106">
        <v>3</v>
      </c>
      <c r="K10" s="4" t="s">
        <v>18</v>
      </c>
      <c r="L10" s="106">
        <v>1</v>
      </c>
    </row>
    <row r="11" spans="1:12">
      <c r="E11"/>
      <c r="F11"/>
    </row>
  </sheetData>
  <mergeCells count="1">
    <mergeCell ref="B4:L4"/>
  </mergeCells>
  <pageMargins left="0.7" right="0.7" top="0.75" bottom="0.75" header="0.3" footer="0.3"/>
  <pageSetup orientation="portrait" r:id="rId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sqref="A1:XFD1"/>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32" t="s">
        <v>301</v>
      </c>
      <c r="D2" s="127"/>
      <c r="E2" s="127"/>
      <c r="F2" s="127"/>
      <c r="G2" s="127"/>
      <c r="H2" s="127"/>
      <c r="I2" s="127"/>
      <c r="J2" s="127"/>
      <c r="K2" s="127"/>
      <c r="L2" s="127"/>
      <c r="M2" s="127"/>
      <c r="N2" s="127"/>
      <c r="O2" s="127"/>
      <c r="P2" s="127"/>
      <c r="Q2" s="127"/>
      <c r="R2" s="127"/>
      <c r="S2" s="127"/>
      <c r="T2" s="127"/>
      <c r="U2" s="127"/>
    </row>
    <row r="3" spans="1:21">
      <c r="A3" s="30"/>
      <c r="B3" s="30"/>
      <c r="C3" s="105" t="s">
        <v>0</v>
      </c>
      <c r="D3" s="106" t="s">
        <v>16</v>
      </c>
      <c r="F3" s="105" t="s">
        <v>0</v>
      </c>
      <c r="G3" s="106" t="s">
        <v>16</v>
      </c>
      <c r="I3" s="105" t="s">
        <v>0</v>
      </c>
      <c r="J3" s="106" t="s">
        <v>16</v>
      </c>
      <c r="L3" s="105" t="s">
        <v>0</v>
      </c>
      <c r="M3" s="106" t="s">
        <v>16</v>
      </c>
      <c r="O3" s="105" t="s">
        <v>0</v>
      </c>
      <c r="P3" s="106" t="s">
        <v>16</v>
      </c>
      <c r="Q3" s="33"/>
      <c r="R3" s="33"/>
      <c r="S3" s="105" t="s">
        <v>0</v>
      </c>
      <c r="T3" s="106" t="s">
        <v>16</v>
      </c>
      <c r="U3" s="33"/>
    </row>
    <row r="4" spans="1:21">
      <c r="A4" s="30"/>
      <c r="B4" s="30"/>
      <c r="C4" s="105" t="s">
        <v>1</v>
      </c>
      <c r="D4" s="106" t="s">
        <v>16</v>
      </c>
      <c r="F4" s="105" t="s">
        <v>1</v>
      </c>
      <c r="G4" s="106" t="s">
        <v>16</v>
      </c>
      <c r="I4" s="105" t="s">
        <v>1</v>
      </c>
      <c r="J4" s="106" t="s">
        <v>16</v>
      </c>
      <c r="L4" s="105" t="s">
        <v>1</v>
      </c>
      <c r="M4" s="106" t="s">
        <v>16</v>
      </c>
      <c r="O4" s="105" t="s">
        <v>1</v>
      </c>
      <c r="P4" s="106" t="s">
        <v>16</v>
      </c>
      <c r="Q4" s="33"/>
      <c r="R4" s="33"/>
      <c r="S4" s="105" t="s">
        <v>1</v>
      </c>
      <c r="T4" s="106" t="s">
        <v>16</v>
      </c>
      <c r="U4" s="33"/>
    </row>
    <row r="5" spans="1:21">
      <c r="A5" s="30"/>
      <c r="B5" s="30"/>
      <c r="C5" s="105" t="s">
        <v>3</v>
      </c>
      <c r="D5" s="106" t="s">
        <v>142</v>
      </c>
      <c r="F5" s="105" t="s">
        <v>3</v>
      </c>
      <c r="G5" s="106" t="s">
        <v>151</v>
      </c>
      <c r="I5" s="105" t="s">
        <v>3</v>
      </c>
      <c r="J5" s="106" t="s">
        <v>153</v>
      </c>
      <c r="L5" s="105" t="s">
        <v>3</v>
      </c>
      <c r="M5" s="106" t="s">
        <v>154</v>
      </c>
      <c r="O5" s="105" t="s">
        <v>3</v>
      </c>
      <c r="P5" s="106" t="s">
        <v>415</v>
      </c>
      <c r="S5" s="105" t="s">
        <v>3</v>
      </c>
      <c r="T5" s="106" t="s">
        <v>416</v>
      </c>
    </row>
    <row r="6" spans="1:21">
      <c r="A6" s="30"/>
      <c r="B6" s="30"/>
    </row>
    <row r="7" spans="1:21">
      <c r="A7" s="24" t="s">
        <v>332</v>
      </c>
      <c r="B7" s="24" t="s">
        <v>94</v>
      </c>
      <c r="C7" s="105" t="s">
        <v>2</v>
      </c>
      <c r="D7" t="s">
        <v>295</v>
      </c>
      <c r="F7" s="105" t="s">
        <v>2</v>
      </c>
      <c r="G7" t="s">
        <v>305</v>
      </c>
      <c r="I7" s="105" t="s">
        <v>2</v>
      </c>
      <c r="J7" t="s">
        <v>306</v>
      </c>
      <c r="L7" s="105" t="s">
        <v>2</v>
      </c>
      <c r="M7" t="s">
        <v>307</v>
      </c>
      <c r="O7" s="105" t="s">
        <v>2</v>
      </c>
      <c r="P7" s="106" t="s">
        <v>343</v>
      </c>
      <c r="Q7" s="106" t="s">
        <v>417</v>
      </c>
      <c r="S7" s="105" t="s">
        <v>17</v>
      </c>
      <c r="T7" t="s">
        <v>303</v>
      </c>
    </row>
    <row r="8" spans="1:21">
      <c r="A8" s="23" t="str">
        <f>INDEX('DDL Tables'!$B:$B,MATCH(C8,'DDL Tables'!$C:$C,0))</f>
        <v>TestKS</v>
      </c>
      <c r="B8" s="23" t="str">
        <f>INDEX('DDL Tables'!$F:$F,MATCH(C8,'DDL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10"/>
  <sheetViews>
    <sheetView workbookViewId="0">
      <selection activeCell="A9" sqref="A9"/>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pans="1:20" s="31" customFormat="1"/>
    <row r="2" spans="1:20">
      <c r="A2" s="31"/>
      <c r="B2" s="132" t="s">
        <v>301</v>
      </c>
      <c r="C2" s="127"/>
      <c r="D2" s="127"/>
      <c r="E2" s="127"/>
      <c r="F2" s="127"/>
      <c r="G2" s="127"/>
      <c r="H2" s="127"/>
      <c r="I2" s="127"/>
      <c r="J2" s="127"/>
      <c r="K2" s="127"/>
      <c r="L2" s="127"/>
      <c r="M2" s="127"/>
      <c r="N2" s="127"/>
      <c r="O2" s="127"/>
      <c r="P2" s="127"/>
      <c r="Q2" s="127"/>
      <c r="R2" s="127"/>
      <c r="S2" s="127"/>
      <c r="T2" s="127"/>
    </row>
    <row r="3" spans="1:20" s="31" customFormat="1">
      <c r="B3" s="105" t="s">
        <v>0</v>
      </c>
      <c r="C3" s="106" t="s">
        <v>16</v>
      </c>
      <c r="E3" s="105" t="s">
        <v>0</v>
      </c>
      <c r="F3" s="106" t="s">
        <v>16</v>
      </c>
      <c r="H3" s="105" t="s">
        <v>0</v>
      </c>
      <c r="I3" s="106" t="s">
        <v>16</v>
      </c>
      <c r="K3" s="105" t="s">
        <v>0</v>
      </c>
      <c r="L3" s="106" t="s">
        <v>16</v>
      </c>
      <c r="N3" s="105" t="s">
        <v>0</v>
      </c>
      <c r="O3" s="106" t="s">
        <v>16</v>
      </c>
      <c r="R3" s="105" t="s">
        <v>0</v>
      </c>
      <c r="S3" s="106" t="s">
        <v>16</v>
      </c>
    </row>
    <row r="4" spans="1:20">
      <c r="A4" s="30"/>
      <c r="B4" s="105" t="s">
        <v>1</v>
      </c>
      <c r="C4" s="106" t="s">
        <v>16</v>
      </c>
      <c r="E4" s="105" t="s">
        <v>1</v>
      </c>
      <c r="F4" s="106" t="s">
        <v>16</v>
      </c>
      <c r="H4" s="105" t="s">
        <v>1</v>
      </c>
      <c r="I4" s="106" t="s">
        <v>16</v>
      </c>
      <c r="K4" s="105" t="s">
        <v>1</v>
      </c>
      <c r="L4" s="106" t="s">
        <v>16</v>
      </c>
      <c r="N4" s="105" t="s">
        <v>1</v>
      </c>
      <c r="O4" s="106" t="s">
        <v>16</v>
      </c>
      <c r="P4" s="33"/>
      <c r="Q4" s="33"/>
      <c r="R4" s="105" t="s">
        <v>1</v>
      </c>
      <c r="S4" s="106" t="s">
        <v>16</v>
      </c>
      <c r="T4" s="33"/>
    </row>
    <row r="5" spans="1:20">
      <c r="A5" s="30"/>
      <c r="B5" s="105" t="s">
        <v>2</v>
      </c>
      <c r="C5" s="106" t="s">
        <v>16</v>
      </c>
      <c r="E5" s="105" t="s">
        <v>2</v>
      </c>
      <c r="F5" s="106" t="s">
        <v>16</v>
      </c>
      <c r="H5" s="105" t="s">
        <v>2</v>
      </c>
      <c r="I5" s="106" t="s">
        <v>16</v>
      </c>
      <c r="K5" s="105" t="s">
        <v>2</v>
      </c>
      <c r="L5" s="106" t="s">
        <v>16</v>
      </c>
      <c r="N5" s="105" t="s">
        <v>2</v>
      </c>
      <c r="O5" s="106" t="s">
        <v>16</v>
      </c>
      <c r="P5" s="33"/>
      <c r="Q5" s="33"/>
      <c r="R5" s="105" t="s">
        <v>2</v>
      </c>
      <c r="S5" s="106" t="s">
        <v>16</v>
      </c>
      <c r="T5" s="33"/>
    </row>
    <row r="6" spans="1:20">
      <c r="A6" s="30"/>
      <c r="B6" s="105" t="s">
        <v>3</v>
      </c>
      <c r="C6" s="106" t="s">
        <v>142</v>
      </c>
      <c r="E6" s="105" t="s">
        <v>3</v>
      </c>
      <c r="F6" s="106" t="s">
        <v>151</v>
      </c>
      <c r="H6" s="105" t="s">
        <v>3</v>
      </c>
      <c r="I6" s="106" t="s">
        <v>153</v>
      </c>
      <c r="K6" s="105" t="s">
        <v>3</v>
      </c>
      <c r="L6" s="106" t="s">
        <v>154</v>
      </c>
      <c r="N6" s="105" t="s">
        <v>3</v>
      </c>
      <c r="O6" s="106" t="s">
        <v>415</v>
      </c>
      <c r="R6" s="105" t="s">
        <v>3</v>
      </c>
      <c r="S6" s="106" t="s">
        <v>416</v>
      </c>
    </row>
    <row r="7" spans="1:20">
      <c r="A7" s="30"/>
    </row>
    <row r="8" spans="1:20">
      <c r="A8" s="24" t="s">
        <v>122</v>
      </c>
      <c r="B8" s="105" t="s">
        <v>2</v>
      </c>
      <c r="C8" t="s">
        <v>295</v>
      </c>
      <c r="E8" s="105" t="s">
        <v>2</v>
      </c>
      <c r="F8" t="s">
        <v>305</v>
      </c>
      <c r="H8" s="105" t="s">
        <v>2</v>
      </c>
      <c r="I8" t="s">
        <v>306</v>
      </c>
      <c r="K8" s="105" t="s">
        <v>2</v>
      </c>
      <c r="L8" t="s">
        <v>307</v>
      </c>
      <c r="N8" s="105" t="s">
        <v>2</v>
      </c>
      <c r="O8" s="106" t="s">
        <v>343</v>
      </c>
      <c r="P8" s="106" t="s">
        <v>423</v>
      </c>
      <c r="R8" s="105" t="s">
        <v>17</v>
      </c>
      <c r="S8" t="s">
        <v>303</v>
      </c>
    </row>
    <row r="9" spans="1:20">
      <c r="A9" s="50">
        <f>INDEX('Node Information'!I:$I,MATCH(B9,'Node Information'!$A:$A,0))</f>
        <v>6.5428240740740704E-2</v>
      </c>
      <c r="B9" s="4" t="s">
        <v>49</v>
      </c>
      <c r="C9" s="5">
        <v>107</v>
      </c>
      <c r="E9" s="4" t="s">
        <v>49</v>
      </c>
      <c r="F9" s="6">
        <v>4.5546290000000003</v>
      </c>
      <c r="H9" s="4" t="s">
        <v>49</v>
      </c>
      <c r="I9" s="6">
        <v>0.191833</v>
      </c>
      <c r="K9" s="4" t="s">
        <v>49</v>
      </c>
      <c r="L9" s="6">
        <v>2.0372103500000001</v>
      </c>
      <c r="N9" s="4" t="s">
        <v>49</v>
      </c>
      <c r="O9" s="5">
        <v>21671</v>
      </c>
      <c r="P9" s="5">
        <v>0</v>
      </c>
      <c r="R9" s="4" t="s">
        <v>49</v>
      </c>
      <c r="S9" s="5">
        <v>14414</v>
      </c>
    </row>
    <row r="10" spans="1:20">
      <c r="B10" s="4" t="s">
        <v>18</v>
      </c>
      <c r="C10" s="5">
        <v>107</v>
      </c>
      <c r="E10" s="4" t="s">
        <v>18</v>
      </c>
      <c r="F10" s="6">
        <v>4.5546290000000003</v>
      </c>
      <c r="H10" s="4" t="s">
        <v>18</v>
      </c>
      <c r="I10" s="6">
        <v>0.191833</v>
      </c>
      <c r="K10" s="4" t="s">
        <v>18</v>
      </c>
      <c r="L10" s="6">
        <v>2.0372103500000001</v>
      </c>
      <c r="N10" s="4" t="s">
        <v>18</v>
      </c>
      <c r="O10" s="5">
        <v>21671</v>
      </c>
      <c r="P10" s="5">
        <v>0</v>
      </c>
      <c r="R10" s="4" t="s">
        <v>18</v>
      </c>
      <c r="S10" s="5">
        <v>14414</v>
      </c>
    </row>
  </sheetData>
  <mergeCells count="1">
    <mergeCell ref="B2:T2"/>
  </mergeCells>
  <pageMargins left="0.7" right="0.7" top="0.75" bottom="0.75" header="0.3" footer="0.3"/>
  <pageSetup orientation="portrait"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13"/>
  <sheetViews>
    <sheetView workbookViewId="0">
      <selection activeCell="A11" sqref="A11"/>
    </sheetView>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width="11.42578125" bestFit="1"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width="31.140625" bestFit="1" customWidth="1"/>
    <col min="31" max="31" width="16.140625" bestFit="1" customWidth="1"/>
    <col min="32" max="32" width="10.28515625" bestFit="1" customWidth="1"/>
    <col min="33" max="33" width="19.42578125" bestFit="1" customWidth="1"/>
    <col min="34" max="34" width="22.140625" bestFit="1" customWidth="1"/>
    <col min="35" max="35" width="8.28515625" customWidth="1"/>
    <col min="36" max="36" width="18.140625" bestFit="1" customWidth="1"/>
    <col min="37" max="37" width="7.28515625" customWidth="1"/>
    <col min="38" max="38" width="14.7109375" bestFit="1" customWidth="1"/>
    <col min="39" max="39" width="31.28515625" bestFit="1" customWidth="1"/>
    <col min="40" max="40" width="31" bestFit="1" customWidth="1"/>
    <col min="41" max="41" width="27.28515625" bestFit="1" customWidth="1"/>
    <col min="42" max="42" width="26.7109375" bestFit="1" customWidth="1"/>
    <col min="43" max="43" width="33" bestFit="1" customWidth="1"/>
    <col min="44" max="44" width="19.85546875" bestFit="1" customWidth="1"/>
    <col min="45" max="45" width="19.5703125" bestFit="1" customWidth="1"/>
    <col min="46" max="46" width="15.85546875" bestFit="1" customWidth="1"/>
    <col min="47" max="47" width="15.28515625" bestFit="1" customWidth="1"/>
    <col min="48" max="48" width="21.7109375" bestFit="1" customWidth="1"/>
    <col min="49" max="49" width="31.7109375" bestFit="1" customWidth="1"/>
    <col min="50" max="50" width="31.42578125" bestFit="1" customWidth="1"/>
    <col min="51" max="51" width="27.7109375" bestFit="1" customWidth="1"/>
    <col min="52" max="52" width="27.140625" bestFit="1" customWidth="1"/>
    <col min="53" max="53" width="33.42578125" bestFit="1" customWidth="1"/>
    <col min="54" max="54" width="25.85546875" bestFit="1" customWidth="1"/>
    <col min="55" max="55" width="25.5703125" bestFit="1" customWidth="1"/>
    <col min="56" max="56" width="21.85546875" bestFit="1" customWidth="1"/>
    <col min="57" max="57" width="21.140625" bestFit="1" customWidth="1"/>
    <col min="58" max="58" width="27.5703125" bestFit="1" customWidth="1"/>
    <col min="59" max="59" width="23.85546875" bestFit="1" customWidth="1"/>
    <col min="60" max="60" width="23.5703125" bestFit="1" customWidth="1"/>
    <col min="61" max="61" width="19.85546875" bestFit="1" customWidth="1"/>
    <col min="62" max="62" width="19.28515625" bestFit="1" customWidth="1"/>
    <col min="63" max="63" width="25.7109375" bestFit="1" customWidth="1"/>
    <col min="64" max="64" width="21.5703125" bestFit="1" customWidth="1"/>
    <col min="65" max="65" width="21.140625" bestFit="1" customWidth="1"/>
    <col min="66" max="66" width="17.5703125" bestFit="1" customWidth="1"/>
    <col min="67" max="67" width="16.85546875" bestFit="1" customWidth="1"/>
    <col min="68" max="68" width="23.28515625" bestFit="1" customWidth="1"/>
    <col min="69" max="69" width="24.28515625" bestFit="1" customWidth="1"/>
    <col min="70" max="70" width="24" bestFit="1" customWidth="1"/>
    <col min="71" max="71" width="20.28515625" bestFit="1" customWidth="1"/>
    <col min="72" max="72" width="19.7109375" bestFit="1" customWidth="1"/>
    <col min="73" max="73" width="26.140625" bestFit="1" customWidth="1"/>
    <col min="74" max="74" width="30.85546875" bestFit="1" customWidth="1"/>
    <col min="75" max="75" width="30.5703125" bestFit="1" customWidth="1"/>
    <col min="76" max="76" width="26.85546875" bestFit="1" customWidth="1"/>
    <col min="77" max="77" width="26.28515625" bestFit="1" customWidth="1"/>
    <col min="78" max="79" width="32.5703125" bestFit="1" customWidth="1"/>
    <col min="80" max="80" width="32.28515625" bestFit="1" customWidth="1"/>
    <col min="81" max="81" width="28.5703125" bestFit="1" customWidth="1"/>
    <col min="82" max="82" width="28" bestFit="1" customWidth="1"/>
    <col min="83" max="83" width="34.42578125" bestFit="1" customWidth="1"/>
    <col min="84" max="84" width="35" bestFit="1" customWidth="1"/>
    <col min="85" max="85" width="34.7109375" bestFit="1" customWidth="1"/>
    <col min="86" max="86" width="31" bestFit="1" customWidth="1"/>
    <col min="87" max="87" width="30.42578125" bestFit="1" customWidth="1"/>
    <col min="88" max="88" width="36.7109375" bestFit="1" customWidth="1"/>
    <col min="89" max="89" width="28.7109375" bestFit="1" customWidth="1"/>
    <col min="90" max="90" width="28.42578125" bestFit="1" customWidth="1"/>
    <col min="91" max="91" width="24.7109375" bestFit="1" customWidth="1"/>
    <col min="92" max="92" width="24.140625" bestFit="1" customWidth="1"/>
    <col min="93" max="93" width="30.5703125" bestFit="1" customWidth="1"/>
    <col min="94" max="94" width="29.140625" bestFit="1" customWidth="1"/>
    <col min="95" max="95" width="28.85546875" bestFit="1" customWidth="1"/>
    <col min="96" max="96" width="25.140625" bestFit="1" customWidth="1"/>
    <col min="97" max="97" width="24.5703125" bestFit="1" customWidth="1"/>
    <col min="98" max="98" width="31" bestFit="1" customWidth="1"/>
    <col min="99" max="99" width="31.42578125" bestFit="1" customWidth="1"/>
    <col min="100" max="100" width="31.140625" bestFit="1" customWidth="1"/>
    <col min="101" max="101" width="27.42578125" bestFit="1" customWidth="1"/>
    <col min="102" max="102" width="26.85546875" bestFit="1" customWidth="1"/>
    <col min="103" max="103" width="33.140625" bestFit="1" customWidth="1"/>
    <col min="104" max="104" width="23.85546875" bestFit="1" customWidth="1"/>
    <col min="105" max="105" width="23.5703125" bestFit="1" customWidth="1"/>
    <col min="106" max="106" width="19.85546875" bestFit="1" customWidth="1"/>
    <col min="107" max="107" width="19.28515625" bestFit="1" customWidth="1"/>
    <col min="108" max="108" width="25.7109375" bestFit="1" customWidth="1"/>
    <col min="109" max="109" width="28.28515625" bestFit="1" customWidth="1"/>
    <col min="110" max="110" width="28.5703125" bestFit="1" customWidth="1"/>
    <col min="111" max="111" width="24.5703125" bestFit="1" customWidth="1"/>
    <col min="112" max="112" width="22.5703125" bestFit="1" customWidth="1"/>
    <col min="113" max="113" width="26.28515625" bestFit="1" customWidth="1"/>
    <col min="114" max="114" width="26" bestFit="1" customWidth="1"/>
    <col min="115" max="115" width="22.28515625" bestFit="1" customWidth="1"/>
    <col min="116" max="116" width="21.7109375" bestFit="1" customWidth="1"/>
    <col min="117" max="117" width="28" bestFit="1" customWidth="1"/>
    <col min="118" max="118" width="11.28515625" bestFit="1" customWidth="1"/>
  </cols>
  <sheetData>
    <row r="1" spans="1:30" s="45" customFormat="1"/>
    <row r="2" spans="1:30" s="45" customFormat="1"/>
    <row r="3" spans="1:30" s="45" customFormat="1"/>
    <row r="4" spans="1:30" s="97" customFormat="1">
      <c r="A4" s="45"/>
      <c r="B4" s="126" t="s">
        <v>451</v>
      </c>
      <c r="C4" s="126"/>
      <c r="D4" s="126"/>
      <c r="E4" s="126"/>
      <c r="F4" s="126"/>
      <c r="G4" s="126"/>
      <c r="H4" s="126"/>
      <c r="I4" s="126"/>
      <c r="J4" s="126"/>
      <c r="K4" s="126"/>
      <c r="L4" s="126"/>
      <c r="M4" s="126"/>
      <c r="N4" s="126"/>
      <c r="O4" s="126"/>
      <c r="P4" s="126"/>
      <c r="Q4" s="126"/>
      <c r="R4" s="126"/>
      <c r="T4" s="132" t="s">
        <v>453</v>
      </c>
      <c r="U4" s="136"/>
      <c r="V4" s="136"/>
      <c r="W4" s="136"/>
      <c r="X4" s="136"/>
      <c r="Y4" s="136"/>
      <c r="Z4" s="136"/>
      <c r="AA4" s="136"/>
      <c r="AB4" s="136"/>
      <c r="AC4" s="136"/>
      <c r="AD4" s="136"/>
    </row>
    <row r="5" spans="1:30">
      <c r="A5" s="45"/>
      <c r="B5" s="90" t="s">
        <v>0</v>
      </c>
      <c r="C5" s="91" t="s">
        <v>16</v>
      </c>
      <c r="E5" s="90" t="s">
        <v>0</v>
      </c>
      <c r="F5" s="91" t="s">
        <v>16</v>
      </c>
      <c r="H5" s="90" t="s">
        <v>0</v>
      </c>
      <c r="I5" s="91" t="s">
        <v>16</v>
      </c>
      <c r="K5" s="90" t="s">
        <v>0</v>
      </c>
      <c r="L5" s="91" t="s">
        <v>16</v>
      </c>
      <c r="N5" s="90" t="s">
        <v>0</v>
      </c>
      <c r="O5" s="91" t="s">
        <v>16</v>
      </c>
      <c r="Q5" s="90" t="s">
        <v>0</v>
      </c>
      <c r="R5" s="91" t="s">
        <v>16</v>
      </c>
      <c r="T5" s="90" t="s">
        <v>0</v>
      </c>
      <c r="U5" s="91" t="s">
        <v>16</v>
      </c>
      <c r="W5" s="105" t="s">
        <v>0</v>
      </c>
      <c r="X5" s="106" t="s">
        <v>16</v>
      </c>
      <c r="Z5" s="90" t="s">
        <v>0</v>
      </c>
      <c r="AA5" s="91" t="s">
        <v>16</v>
      </c>
      <c r="AB5" s="91"/>
      <c r="AC5" s="105" t="s">
        <v>0</v>
      </c>
      <c r="AD5" s="106" t="s">
        <v>16</v>
      </c>
    </row>
    <row r="6" spans="1:30">
      <c r="A6" s="45"/>
      <c r="B6" s="90" t="s">
        <v>3</v>
      </c>
      <c r="C6" s="91" t="s">
        <v>310</v>
      </c>
      <c r="E6" s="90" t="s">
        <v>3</v>
      </c>
      <c r="F6" s="91" t="s">
        <v>87</v>
      </c>
      <c r="H6" s="90" t="s">
        <v>3</v>
      </c>
      <c r="I6" s="91" t="s">
        <v>79</v>
      </c>
      <c r="K6" s="90" t="s">
        <v>3</v>
      </c>
      <c r="L6" s="91" t="s">
        <v>80</v>
      </c>
      <c r="N6" s="90" t="s">
        <v>3</v>
      </c>
      <c r="O6" s="91" t="s">
        <v>86</v>
      </c>
      <c r="Q6" s="90" t="s">
        <v>3</v>
      </c>
      <c r="R6" s="91" t="s">
        <v>85</v>
      </c>
      <c r="T6" s="90" t="s">
        <v>3</v>
      </c>
      <c r="U6" s="91" t="s">
        <v>446</v>
      </c>
      <c r="W6" s="105" t="s">
        <v>3</v>
      </c>
      <c r="X6" s="106" t="s">
        <v>450</v>
      </c>
      <c r="Z6" s="90" t="s">
        <v>3</v>
      </c>
      <c r="AA6" s="91" t="s">
        <v>478</v>
      </c>
      <c r="AB6" s="91"/>
      <c r="AC6" s="105" t="s">
        <v>3</v>
      </c>
      <c r="AD6" s="106" t="s">
        <v>482</v>
      </c>
    </row>
    <row r="7" spans="1:30">
      <c r="A7" s="45"/>
      <c r="T7" s="91"/>
      <c r="U7" s="91"/>
      <c r="W7" s="91"/>
      <c r="X7" s="91"/>
      <c r="Z7" s="91"/>
      <c r="AA7" s="91"/>
      <c r="AB7" s="91"/>
      <c r="AC7" s="91"/>
      <c r="AD7" s="91"/>
    </row>
    <row r="8" spans="1:30">
      <c r="A8" s="24" t="s">
        <v>122</v>
      </c>
      <c r="B8" s="90" t="s">
        <v>296</v>
      </c>
      <c r="C8" t="s">
        <v>326</v>
      </c>
      <c r="E8" s="90" t="s">
        <v>296</v>
      </c>
      <c r="F8" t="s">
        <v>327</v>
      </c>
      <c r="H8" s="90" t="s">
        <v>296</v>
      </c>
      <c r="I8" t="s">
        <v>328</v>
      </c>
      <c r="K8" s="90" t="s">
        <v>296</v>
      </c>
      <c r="L8" t="s">
        <v>329</v>
      </c>
      <c r="N8" s="90" t="s">
        <v>296</v>
      </c>
      <c r="O8" t="s">
        <v>331</v>
      </c>
      <c r="Q8" s="90" t="s">
        <v>296</v>
      </c>
      <c r="R8" t="s">
        <v>330</v>
      </c>
      <c r="T8" s="90" t="s">
        <v>296</v>
      </c>
      <c r="U8" t="s">
        <v>452</v>
      </c>
      <c r="W8" s="105" t="s">
        <v>296</v>
      </c>
      <c r="X8" t="s">
        <v>454</v>
      </c>
      <c r="Z8" s="90" t="s">
        <v>296</v>
      </c>
      <c r="AA8" t="s">
        <v>452</v>
      </c>
      <c r="AB8" s="91"/>
      <c r="AC8" s="105" t="s">
        <v>296</v>
      </c>
      <c r="AD8" t="s">
        <v>454</v>
      </c>
    </row>
    <row r="9" spans="1:30">
      <c r="A9" s="29">
        <f>INDEX('Node Information'!I:$I,MATCH(B9,'Node Information'!$A:$A,0))</f>
        <v>6.5428240740740704E-2</v>
      </c>
      <c r="B9" s="4" t="s">
        <v>49</v>
      </c>
      <c r="C9" s="5">
        <v>4670</v>
      </c>
      <c r="D9" s="5"/>
      <c r="E9" s="4" t="s">
        <v>49</v>
      </c>
      <c r="F9" s="5">
        <v>0</v>
      </c>
      <c r="H9" s="4" t="s">
        <v>49</v>
      </c>
      <c r="I9" s="5">
        <v>0</v>
      </c>
      <c r="K9" s="4" t="s">
        <v>49</v>
      </c>
      <c r="L9" s="5">
        <v>0</v>
      </c>
      <c r="N9" s="4" t="s">
        <v>49</v>
      </c>
      <c r="O9" s="5">
        <v>0</v>
      </c>
      <c r="Q9" s="4" t="s">
        <v>49</v>
      </c>
      <c r="R9" s="5">
        <v>0</v>
      </c>
      <c r="T9" s="4" t="s">
        <v>49</v>
      </c>
      <c r="U9" s="5">
        <v>12</v>
      </c>
      <c r="W9" s="4" t="s">
        <v>49</v>
      </c>
      <c r="X9" s="5">
        <v>3</v>
      </c>
      <c r="Z9" s="4" t="s">
        <v>49</v>
      </c>
      <c r="AA9" s="5">
        <v>12</v>
      </c>
      <c r="AB9" s="91"/>
      <c r="AC9" s="4" t="s">
        <v>49</v>
      </c>
      <c r="AD9" s="5">
        <v>3</v>
      </c>
    </row>
    <row r="10" spans="1:30">
      <c r="B10" s="4" t="s">
        <v>18</v>
      </c>
      <c r="C10" s="5">
        <v>4670</v>
      </c>
      <c r="D10" s="5"/>
      <c r="E10" s="4" t="s">
        <v>18</v>
      </c>
      <c r="F10" s="5">
        <v>0</v>
      </c>
      <c r="H10" s="4" t="s">
        <v>18</v>
      </c>
      <c r="I10" s="5">
        <v>0</v>
      </c>
      <c r="K10" s="4" t="s">
        <v>18</v>
      </c>
      <c r="L10" s="5">
        <v>0</v>
      </c>
      <c r="N10" s="4" t="s">
        <v>18</v>
      </c>
      <c r="O10" s="5">
        <v>0</v>
      </c>
      <c r="Q10" s="4" t="s">
        <v>18</v>
      </c>
      <c r="R10" s="5">
        <v>0</v>
      </c>
      <c r="T10" s="4" t="s">
        <v>18</v>
      </c>
      <c r="U10" s="5">
        <v>12</v>
      </c>
      <c r="W10" s="4" t="s">
        <v>18</v>
      </c>
      <c r="X10" s="5">
        <v>3</v>
      </c>
      <c r="Z10" s="4" t="s">
        <v>18</v>
      </c>
      <c r="AA10" s="5">
        <v>12</v>
      </c>
      <c r="AB10" s="91"/>
      <c r="AC10" s="4" t="s">
        <v>18</v>
      </c>
      <c r="AD10" s="5">
        <v>3</v>
      </c>
    </row>
    <row r="13" spans="1:30">
      <c r="X13" s="91"/>
      <c r="Y13" s="89"/>
      <c r="Z13" s="89"/>
    </row>
  </sheetData>
  <mergeCells count="2">
    <mergeCell ref="B4:R4"/>
    <mergeCell ref="T4:AD4"/>
  </mergeCells>
  <pageMargins left="0.7" right="0.7" top="0.75" bottom="0.75" header="0.3" footer="0.3"/>
  <pageSetup orientation="portrait" r:id="rId1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12" sqref="A12"/>
    </sheetView>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7" width="11.28515625" style="6" customWidth="1"/>
    <col min="9" max="9" width="13.140625" bestFit="1" customWidth="1"/>
    <col min="10" max="10" width="19.28515625" bestFit="1" customWidth="1"/>
    <col min="11" max="11" width="14.85546875" bestFit="1" customWidth="1"/>
    <col min="12" max="12" width="12.42578125" style="6" customWidth="1"/>
    <col min="13" max="13" width="11.28515625" style="6" customWidth="1"/>
  </cols>
  <sheetData>
    <row r="1" spans="1:13" s="45" customFormat="1"/>
    <row r="2" spans="1:13" s="45" customFormat="1"/>
    <row r="3" spans="1:13">
      <c r="A3" s="45"/>
      <c r="B3" s="105" t="s">
        <v>0</v>
      </c>
      <c r="C3" s="106" t="s">
        <v>16</v>
      </c>
      <c r="D3" s="52"/>
      <c r="E3" s="35"/>
      <c r="F3" s="35"/>
      <c r="G3" s="35"/>
      <c r="I3" s="105" t="s">
        <v>0</v>
      </c>
      <c r="J3" s="106" t="s">
        <v>16</v>
      </c>
      <c r="L3" s="35"/>
      <c r="M3" s="35"/>
    </row>
    <row r="4" spans="1:13">
      <c r="A4" s="45"/>
      <c r="B4" s="105" t="s">
        <v>52</v>
      </c>
      <c r="C4" s="106" t="s">
        <v>16</v>
      </c>
      <c r="E4" s="35"/>
      <c r="F4" s="35"/>
      <c r="G4" s="35"/>
      <c r="I4" s="105" t="s">
        <v>1</v>
      </c>
      <c r="J4" s="106" t="s">
        <v>16</v>
      </c>
      <c r="L4" s="35"/>
      <c r="M4" s="35"/>
    </row>
    <row r="5" spans="1:13">
      <c r="A5" s="45"/>
      <c r="B5" s="105" t="s">
        <v>1</v>
      </c>
      <c r="C5" s="106" t="s">
        <v>16</v>
      </c>
      <c r="E5" s="35"/>
      <c r="F5" s="35"/>
      <c r="G5" s="35"/>
      <c r="I5" s="105" t="s">
        <v>3</v>
      </c>
      <c r="J5" s="106" t="s">
        <v>7</v>
      </c>
      <c r="L5" s="35"/>
      <c r="M5" s="35"/>
    </row>
    <row r="6" spans="1:13">
      <c r="A6" s="45"/>
      <c r="B6" s="105" t="s">
        <v>3</v>
      </c>
      <c r="C6" s="106" t="s">
        <v>7</v>
      </c>
      <c r="E6" s="35"/>
      <c r="F6" s="35"/>
      <c r="G6" s="35"/>
      <c r="I6" s="105" t="s">
        <v>2</v>
      </c>
      <c r="J6" s="106" t="s">
        <v>16</v>
      </c>
      <c r="L6" s="35"/>
      <c r="M6" s="35"/>
    </row>
    <row r="7" spans="1:13">
      <c r="E7" s="35"/>
      <c r="F7" s="35"/>
      <c r="G7" s="35"/>
      <c r="L7" s="35"/>
      <c r="M7" s="35"/>
    </row>
    <row r="8" spans="1:13" ht="60">
      <c r="A8" s="24" t="s">
        <v>332</v>
      </c>
      <c r="B8" s="105" t="s">
        <v>17</v>
      </c>
      <c r="C8" s="32" t="s">
        <v>21</v>
      </c>
      <c r="D8" s="32" t="s">
        <v>19</v>
      </c>
      <c r="F8" s="36" t="s">
        <v>148</v>
      </c>
      <c r="G8" s="36" t="s">
        <v>149</v>
      </c>
      <c r="I8" s="105" t="s">
        <v>17</v>
      </c>
      <c r="J8" s="32" t="s">
        <v>21</v>
      </c>
      <c r="K8" s="32" t="s">
        <v>19</v>
      </c>
      <c r="L8" s="36" t="s">
        <v>148</v>
      </c>
      <c r="M8" s="36" t="s">
        <v>149</v>
      </c>
    </row>
    <row r="9" spans="1:13">
      <c r="A9" s="29" t="str">
        <f>INDEX('DDL Tables'!$B:$B,MATCH(B9,'DDL Tables'!$C:$C,0))</f>
        <v>TestKS</v>
      </c>
      <c r="B9" s="4" t="s">
        <v>50</v>
      </c>
      <c r="C9" s="6">
        <v>0</v>
      </c>
      <c r="D9" s="6">
        <v>0</v>
      </c>
      <c r="E9" s="8">
        <f>D9/IF(C9=0,1,C9)</f>
        <v>0</v>
      </c>
      <c r="F9" s="6">
        <f>C9 / 1024</f>
        <v>0</v>
      </c>
      <c r="G9" s="6">
        <f>F9/1024</f>
        <v>0</v>
      </c>
      <c r="I9" s="4" t="s">
        <v>49</v>
      </c>
      <c r="J9" s="6">
        <v>0</v>
      </c>
      <c r="K9" s="6">
        <v>0</v>
      </c>
      <c r="L9" s="6">
        <f>J9 / 1024</f>
        <v>0</v>
      </c>
      <c r="M9" s="6">
        <f>L9/1024</f>
        <v>0</v>
      </c>
    </row>
    <row r="10" spans="1:13">
      <c r="B10" s="4" t="s">
        <v>18</v>
      </c>
      <c r="C10" s="6">
        <v>0</v>
      </c>
      <c r="D10" s="6">
        <v>0</v>
      </c>
      <c r="I10" s="4" t="s">
        <v>18</v>
      </c>
      <c r="J10" s="6">
        <v>0</v>
      </c>
      <c r="K10" s="6">
        <v>0</v>
      </c>
    </row>
  </sheetData>
  <pageMargins left="0.7" right="0.7" top="0.75" bottom="0.75" header="0.3" footer="0.3"/>
  <pageSetup orientation="portrait"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B2" sqref="B2:I2"/>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36" t="s">
        <v>460</v>
      </c>
      <c r="C2" s="133"/>
      <c r="D2" s="133"/>
      <c r="E2" s="133"/>
      <c r="F2" s="133"/>
      <c r="G2" s="133"/>
      <c r="H2" s="133"/>
      <c r="I2" s="137"/>
      <c r="K2" s="136" t="s">
        <v>461</v>
      </c>
      <c r="L2" s="133"/>
      <c r="M2" s="133"/>
      <c r="N2" s="133"/>
      <c r="O2" s="133"/>
      <c r="P2" s="133"/>
      <c r="Q2" s="133"/>
      <c r="R2" s="137"/>
    </row>
    <row r="3" spans="1:18">
      <c r="A3" s="30"/>
      <c r="B3" s="59"/>
      <c r="C3" s="58"/>
      <c r="D3" s="58"/>
      <c r="E3" s="58"/>
      <c r="F3" s="58"/>
      <c r="G3" s="58"/>
      <c r="H3" s="58"/>
      <c r="I3" s="60"/>
      <c r="K3" s="93"/>
      <c r="L3" s="92"/>
      <c r="M3" s="92"/>
      <c r="N3" s="92"/>
      <c r="O3" s="92"/>
      <c r="P3" s="92"/>
      <c r="Q3" s="92"/>
      <c r="R3" s="94"/>
    </row>
    <row r="4" spans="1:18">
      <c r="A4" s="30"/>
      <c r="B4" s="105" t="s">
        <v>0</v>
      </c>
      <c r="C4" s="106" t="s">
        <v>16</v>
      </c>
      <c r="D4" s="33"/>
      <c r="E4" s="105" t="s">
        <v>0</v>
      </c>
      <c r="F4" s="106" t="s">
        <v>16</v>
      </c>
      <c r="G4" s="33"/>
      <c r="H4" s="105" t="s">
        <v>0</v>
      </c>
      <c r="I4" s="106" t="s">
        <v>16</v>
      </c>
      <c r="K4" s="105" t="s">
        <v>0</v>
      </c>
      <c r="L4" s="106" t="s">
        <v>16</v>
      </c>
      <c r="M4" s="33"/>
      <c r="N4" s="105" t="s">
        <v>0</v>
      </c>
      <c r="O4" s="106" t="s">
        <v>16</v>
      </c>
      <c r="P4" s="33"/>
      <c r="Q4" s="105" t="s">
        <v>0</v>
      </c>
      <c r="R4" s="106" t="s">
        <v>16</v>
      </c>
    </row>
    <row r="5" spans="1:18">
      <c r="A5" s="30"/>
      <c r="B5" s="105" t="s">
        <v>1</v>
      </c>
      <c r="C5" s="106" t="s">
        <v>16</v>
      </c>
      <c r="D5" s="33"/>
      <c r="E5" s="105" t="s">
        <v>1</v>
      </c>
      <c r="F5" s="106" t="s">
        <v>16</v>
      </c>
      <c r="G5" s="33"/>
      <c r="H5" s="105" t="s">
        <v>1</v>
      </c>
      <c r="I5" s="106" t="s">
        <v>16</v>
      </c>
      <c r="K5" s="105" t="s">
        <v>1</v>
      </c>
      <c r="L5" s="106" t="s">
        <v>16</v>
      </c>
      <c r="M5" s="33"/>
      <c r="N5" s="105" t="s">
        <v>1</v>
      </c>
      <c r="O5" s="106" t="s">
        <v>16</v>
      </c>
      <c r="P5" s="33"/>
      <c r="Q5" s="105" t="s">
        <v>1</v>
      </c>
      <c r="R5" s="106" t="s">
        <v>16</v>
      </c>
    </row>
    <row r="6" spans="1:18">
      <c r="A6" s="30"/>
      <c r="B6" s="105" t="s">
        <v>3</v>
      </c>
      <c r="C6" s="106" t="s">
        <v>374</v>
      </c>
      <c r="D6" s="33"/>
      <c r="E6" s="105" t="s">
        <v>3</v>
      </c>
      <c r="F6" s="106" t="s">
        <v>371</v>
      </c>
      <c r="G6" s="33"/>
      <c r="H6" s="105" t="s">
        <v>3</v>
      </c>
      <c r="I6" s="106" t="s">
        <v>373</v>
      </c>
      <c r="K6" s="105" t="s">
        <v>3</v>
      </c>
      <c r="L6" s="106" t="s">
        <v>459</v>
      </c>
      <c r="M6" s="33"/>
      <c r="N6" s="105" t="s">
        <v>3</v>
      </c>
      <c r="O6" s="106" t="s">
        <v>455</v>
      </c>
      <c r="P6" s="33"/>
      <c r="Q6" s="105" t="s">
        <v>3</v>
      </c>
      <c r="R6" s="106" t="s">
        <v>457</v>
      </c>
    </row>
    <row r="7" spans="1:18">
      <c r="A7" s="30"/>
      <c r="B7" s="57"/>
      <c r="C7" s="57"/>
      <c r="D7" s="57"/>
      <c r="E7" s="57"/>
      <c r="F7" s="57"/>
      <c r="G7" s="57"/>
      <c r="H7" s="57"/>
      <c r="I7" s="57"/>
      <c r="K7" s="91"/>
      <c r="L7" s="91"/>
      <c r="M7" s="91"/>
      <c r="N7" s="91"/>
      <c r="O7" s="91"/>
      <c r="P7" s="91"/>
      <c r="Q7" s="91"/>
      <c r="R7" s="91"/>
    </row>
    <row r="8" spans="1:18" ht="30">
      <c r="A8" s="24" t="s">
        <v>332</v>
      </c>
      <c r="B8" s="105" t="s">
        <v>2</v>
      </c>
      <c r="C8" t="s">
        <v>295</v>
      </c>
      <c r="D8" s="57"/>
      <c r="E8" s="105" t="s">
        <v>2</v>
      </c>
      <c r="F8" s="32" t="s">
        <v>375</v>
      </c>
      <c r="G8" s="57"/>
      <c r="H8" s="105" t="s">
        <v>2</v>
      </c>
      <c r="I8" s="32" t="s">
        <v>376</v>
      </c>
      <c r="K8" s="105" t="s">
        <v>2</v>
      </c>
      <c r="L8" t="s">
        <v>487</v>
      </c>
      <c r="M8" s="91"/>
      <c r="N8" s="105" t="s">
        <v>2</v>
      </c>
      <c r="O8" s="32" t="s">
        <v>488</v>
      </c>
      <c r="P8" s="91"/>
      <c r="Q8" s="105" t="s">
        <v>2</v>
      </c>
      <c r="R8" s="32" t="s">
        <v>489</v>
      </c>
    </row>
    <row r="9" spans="1:18">
      <c r="A9" s="23" t="str">
        <f>INDEX('DDL Tables'!$B:$B,MATCH(B9,'DDL Tables'!$C:$C,0))</f>
        <v>TestKS</v>
      </c>
      <c r="B9" s="4" t="s">
        <v>50</v>
      </c>
      <c r="C9" s="106">
        <v>4</v>
      </c>
      <c r="D9" s="6"/>
      <c r="E9" s="4" t="s">
        <v>50</v>
      </c>
      <c r="F9" s="5">
        <v>2100</v>
      </c>
      <c r="G9" s="6"/>
      <c r="H9" s="4" t="s">
        <v>50</v>
      </c>
      <c r="I9" s="5">
        <v>1200</v>
      </c>
      <c r="K9" s="4" t="s">
        <v>50</v>
      </c>
      <c r="L9" s="106">
        <v>3</v>
      </c>
      <c r="M9" s="6"/>
      <c r="N9" s="4" t="s">
        <v>49</v>
      </c>
      <c r="O9" s="5">
        <v>12</v>
      </c>
      <c r="P9" s="6"/>
      <c r="Q9" s="4" t="s">
        <v>49</v>
      </c>
      <c r="R9" s="5">
        <v>4</v>
      </c>
    </row>
    <row r="10" spans="1:18">
      <c r="A10" s="57"/>
      <c r="B10" s="4" t="s">
        <v>18</v>
      </c>
      <c r="C10" s="106">
        <v>4</v>
      </c>
      <c r="D10" s="6"/>
      <c r="E10" s="4" t="s">
        <v>18</v>
      </c>
      <c r="F10" s="5">
        <v>2100</v>
      </c>
      <c r="G10" s="6"/>
      <c r="H10" s="4" t="s">
        <v>18</v>
      </c>
      <c r="I10" s="5">
        <v>1200</v>
      </c>
      <c r="K10" s="4" t="s">
        <v>18</v>
      </c>
      <c r="L10" s="106">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C8" sqref="C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39" t="s">
        <v>411</v>
      </c>
      <c r="D1" s="127"/>
      <c r="E1" s="127"/>
      <c r="F1" s="127"/>
      <c r="G1" s="127"/>
      <c r="H1" s="127"/>
      <c r="I1" s="127"/>
      <c r="J1" s="127"/>
      <c r="K1" s="127"/>
      <c r="L1" s="127"/>
      <c r="M1" s="127"/>
      <c r="N1" s="127"/>
      <c r="O1" s="127"/>
      <c r="P1" s="127"/>
      <c r="Q1" s="127"/>
      <c r="R1" s="127"/>
      <c r="S1" s="127"/>
      <c r="T1" s="127"/>
      <c r="U1" s="127"/>
      <c r="V1" s="30"/>
      <c r="W1" s="139" t="s">
        <v>412</v>
      </c>
      <c r="X1" s="127"/>
      <c r="Y1" s="127"/>
      <c r="Z1" s="127"/>
      <c r="AA1" s="127"/>
      <c r="AB1" s="127"/>
      <c r="AC1" s="127"/>
      <c r="AD1" s="127"/>
      <c r="AE1" s="127"/>
      <c r="AF1" s="127"/>
      <c r="AG1" s="127"/>
      <c r="AH1" s="127"/>
      <c r="AI1" s="127"/>
      <c r="AJ1" s="127"/>
      <c r="AK1" s="127"/>
      <c r="AL1" s="127"/>
      <c r="AM1" s="127"/>
      <c r="AN1" s="127"/>
      <c r="AO1" s="127"/>
    </row>
    <row r="2" spans="1:41" s="57" customFormat="1">
      <c r="A2" s="30"/>
      <c r="B2" s="68"/>
      <c r="C2" s="139"/>
      <c r="D2" s="127"/>
      <c r="E2" s="127"/>
      <c r="F2" s="127"/>
      <c r="G2" s="127"/>
      <c r="H2" s="127"/>
      <c r="I2" s="127"/>
      <c r="J2" s="127"/>
      <c r="K2" s="127"/>
      <c r="L2" s="127"/>
      <c r="M2" s="127"/>
      <c r="N2" s="127"/>
      <c r="O2" s="127"/>
      <c r="P2" s="127"/>
      <c r="Q2" s="127"/>
      <c r="R2" s="127"/>
      <c r="S2" s="127"/>
      <c r="T2" s="127"/>
      <c r="U2" s="127"/>
      <c r="V2" s="30"/>
      <c r="W2" s="105" t="s">
        <v>0</v>
      </c>
      <c r="X2" s="106" t="s">
        <v>16</v>
      </c>
      <c r="Y2" s="30"/>
      <c r="Z2" s="30"/>
      <c r="AA2" s="30"/>
      <c r="AB2" s="30"/>
      <c r="AC2" s="30"/>
      <c r="AD2" s="30"/>
      <c r="AE2" s="30"/>
      <c r="AF2" s="30"/>
      <c r="AG2" s="30"/>
      <c r="AH2" s="30"/>
      <c r="AI2" s="30"/>
      <c r="AJ2" s="30"/>
      <c r="AK2" s="30"/>
      <c r="AL2" s="30"/>
      <c r="AM2" s="30"/>
      <c r="AN2" s="30"/>
      <c r="AO2" s="30"/>
    </row>
    <row r="3" spans="1:41">
      <c r="A3" s="30"/>
      <c r="B3" s="68"/>
      <c r="C3" s="105" t="s">
        <v>0</v>
      </c>
      <c r="D3" s="106" t="s">
        <v>16</v>
      </c>
      <c r="E3" s="30"/>
      <c r="F3" s="30"/>
      <c r="G3" s="30"/>
      <c r="H3" s="30"/>
      <c r="I3" s="30"/>
      <c r="J3" s="30"/>
      <c r="K3" s="30"/>
      <c r="L3" s="30"/>
      <c r="M3" s="30"/>
      <c r="N3" s="30"/>
      <c r="O3" s="30"/>
      <c r="P3" s="30"/>
      <c r="Q3" s="30"/>
      <c r="R3" s="30"/>
      <c r="S3" s="30"/>
      <c r="T3" s="30"/>
      <c r="U3" s="30"/>
      <c r="W3" s="105" t="s">
        <v>1</v>
      </c>
      <c r="X3" s="106" t="s">
        <v>16</v>
      </c>
      <c r="Y3" s="30"/>
      <c r="Z3" s="30"/>
      <c r="AA3" s="30"/>
      <c r="AB3" s="30"/>
      <c r="AC3" s="30"/>
      <c r="AD3" s="30"/>
      <c r="AE3" s="30"/>
      <c r="AF3" s="30"/>
      <c r="AG3" s="30"/>
      <c r="AH3" s="30"/>
      <c r="AI3" s="30"/>
      <c r="AJ3" s="30"/>
      <c r="AK3" s="30"/>
      <c r="AL3" s="30"/>
      <c r="AM3" s="30"/>
      <c r="AN3" s="30"/>
      <c r="AO3" s="30"/>
    </row>
    <row r="4" spans="1:41">
      <c r="A4" s="30"/>
      <c r="B4" s="69"/>
      <c r="C4" s="105" t="s">
        <v>1</v>
      </c>
      <c r="D4" s="106" t="s">
        <v>16</v>
      </c>
      <c r="E4" s="30"/>
      <c r="F4" s="30"/>
      <c r="G4" s="30"/>
      <c r="H4" s="30"/>
      <c r="I4" s="30"/>
      <c r="J4" s="30"/>
      <c r="K4" s="30"/>
      <c r="L4" s="30"/>
      <c r="M4" s="30"/>
      <c r="N4" s="30"/>
      <c r="O4" s="30"/>
      <c r="P4" s="30"/>
      <c r="Q4" s="30"/>
      <c r="R4" s="30"/>
      <c r="S4" s="30"/>
      <c r="T4" s="30"/>
      <c r="U4" s="30"/>
      <c r="W4" s="76" t="s">
        <v>2</v>
      </c>
      <c r="X4" s="106" t="s">
        <v>16</v>
      </c>
      <c r="Y4" s="30"/>
      <c r="Z4" s="30"/>
      <c r="AA4" s="30"/>
      <c r="AB4" s="30"/>
      <c r="AC4" s="30"/>
      <c r="AD4" s="30"/>
      <c r="AE4" s="30"/>
      <c r="AF4" s="30"/>
      <c r="AG4" s="30"/>
      <c r="AH4" s="30"/>
      <c r="AI4" s="30"/>
      <c r="AJ4" s="30"/>
      <c r="AK4" s="30"/>
      <c r="AL4" s="30"/>
      <c r="AM4" s="30"/>
      <c r="AN4" s="30"/>
      <c r="AO4" s="30"/>
    </row>
    <row r="5" spans="1:41">
      <c r="A5" s="30"/>
      <c r="B5" s="69"/>
      <c r="C5" s="105" t="s">
        <v>3</v>
      </c>
      <c r="D5" s="106" t="s">
        <v>364</v>
      </c>
      <c r="E5" s="30"/>
      <c r="F5" s="30"/>
      <c r="G5" s="30"/>
      <c r="H5" s="30"/>
      <c r="I5" s="30"/>
      <c r="J5" s="30"/>
      <c r="K5" s="30"/>
      <c r="L5" s="30"/>
      <c r="M5" s="30"/>
      <c r="N5" s="30"/>
      <c r="O5" s="30"/>
      <c r="P5" s="30"/>
      <c r="Q5" s="30"/>
      <c r="R5" s="30"/>
      <c r="S5" s="30"/>
      <c r="T5" s="30"/>
      <c r="U5" s="30"/>
      <c r="W5" s="105" t="s">
        <v>3</v>
      </c>
      <c r="X5" s="106"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332</v>
      </c>
      <c r="B7" s="70" t="s">
        <v>94</v>
      </c>
      <c r="C7" s="76" t="s">
        <v>17</v>
      </c>
      <c r="D7" s="32" t="s">
        <v>393</v>
      </c>
      <c r="E7" s="106" t="s">
        <v>395</v>
      </c>
      <c r="F7" s="106" t="s">
        <v>396</v>
      </c>
      <c r="G7" s="66" t="s">
        <v>394</v>
      </c>
      <c r="H7" s="67" t="s">
        <v>397</v>
      </c>
      <c r="I7" s="67" t="s">
        <v>398</v>
      </c>
      <c r="J7" s="64" t="s">
        <v>399</v>
      </c>
      <c r="K7" s="106" t="s">
        <v>400</v>
      </c>
      <c r="L7" s="106" t="s">
        <v>401</v>
      </c>
      <c r="M7" s="66" t="s">
        <v>402</v>
      </c>
      <c r="N7" s="67" t="s">
        <v>403</v>
      </c>
      <c r="O7" s="67" t="s">
        <v>404</v>
      </c>
      <c r="P7" s="64" t="s">
        <v>405</v>
      </c>
      <c r="Q7" s="106" t="s">
        <v>406</v>
      </c>
      <c r="R7" s="106" t="s">
        <v>407</v>
      </c>
      <c r="S7" s="66" t="s">
        <v>408</v>
      </c>
      <c r="T7" s="67" t="s">
        <v>409</v>
      </c>
      <c r="U7" s="67" t="s">
        <v>410</v>
      </c>
      <c r="W7" s="74" t="s">
        <v>17</v>
      </c>
      <c r="X7" s="32" t="s">
        <v>393</v>
      </c>
      <c r="Y7" s="106" t="s">
        <v>395</v>
      </c>
      <c r="Z7" s="106" t="s">
        <v>396</v>
      </c>
      <c r="AA7" s="66" t="s">
        <v>394</v>
      </c>
      <c r="AB7" s="67" t="s">
        <v>397</v>
      </c>
      <c r="AC7" s="67" t="s">
        <v>398</v>
      </c>
      <c r="AD7" s="64" t="s">
        <v>399</v>
      </c>
      <c r="AE7" s="106" t="s">
        <v>400</v>
      </c>
      <c r="AF7" s="106" t="s">
        <v>401</v>
      </c>
      <c r="AG7" s="66" t="s">
        <v>402</v>
      </c>
      <c r="AH7" s="67" t="s">
        <v>403</v>
      </c>
      <c r="AI7" s="67" t="s">
        <v>404</v>
      </c>
      <c r="AJ7" s="64" t="s">
        <v>405</v>
      </c>
      <c r="AK7" s="106" t="s">
        <v>406</v>
      </c>
      <c r="AL7" s="106" t="s">
        <v>407</v>
      </c>
      <c r="AM7" s="66" t="s">
        <v>408</v>
      </c>
      <c r="AN7" s="67" t="s">
        <v>409</v>
      </c>
      <c r="AO7" s="76" t="s">
        <v>410</v>
      </c>
    </row>
    <row r="8" spans="1:41">
      <c r="A8" s="23" t="str">
        <f>INDEX('DDL Tables'!$B:$B,MATCH(C8,'DDL Tables'!$C:$C,0))</f>
        <v>TestKS</v>
      </c>
      <c r="B8" s="71" t="str">
        <f>INDEX('DDL Tables'!$F:$F,MATCH(C8,'DDL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F8" sqref="F8"/>
    </sheetView>
  </sheetViews>
  <sheetFormatPr defaultRowHeight="15"/>
  <cols>
    <col min="1" max="1" width="14" style="86" customWidth="1"/>
    <col min="2" max="2" width="32.140625" style="72" customWidth="1"/>
    <col min="3" max="3" width="13.140625" style="73" customWidth="1"/>
    <col min="4" max="4" width="25.8554687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5.8554687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39" t="s">
        <v>411</v>
      </c>
      <c r="D1" s="127"/>
      <c r="E1" s="127"/>
      <c r="F1" s="127"/>
      <c r="G1" s="127"/>
      <c r="H1" s="127"/>
      <c r="I1" s="127"/>
      <c r="J1" s="127"/>
      <c r="K1" s="127"/>
      <c r="L1" s="127"/>
      <c r="M1" s="127"/>
      <c r="N1" s="127"/>
      <c r="O1" s="127"/>
      <c r="P1" s="127"/>
      <c r="Q1" s="127"/>
      <c r="R1" s="127"/>
      <c r="S1" s="127"/>
      <c r="T1" s="127"/>
      <c r="U1" s="127"/>
      <c r="W1" s="139" t="s">
        <v>412</v>
      </c>
      <c r="X1" s="127"/>
      <c r="Y1" s="127"/>
      <c r="Z1" s="127"/>
      <c r="AA1" s="127"/>
      <c r="AB1" s="127"/>
      <c r="AC1" s="127"/>
      <c r="AD1" s="127"/>
      <c r="AE1" s="127"/>
      <c r="AF1" s="127"/>
      <c r="AG1" s="127"/>
      <c r="AH1" s="127"/>
      <c r="AI1" s="127"/>
      <c r="AJ1" s="127"/>
      <c r="AK1" s="127"/>
      <c r="AL1" s="127"/>
      <c r="AM1" s="127"/>
      <c r="AN1" s="127"/>
      <c r="AO1" s="127"/>
    </row>
    <row r="2" spans="1:41">
      <c r="A2" s="30"/>
      <c r="B2" s="68"/>
      <c r="C2" s="139"/>
      <c r="D2" s="127"/>
      <c r="E2" s="127"/>
      <c r="F2" s="127"/>
      <c r="G2" s="127"/>
      <c r="H2" s="127"/>
      <c r="I2" s="127"/>
      <c r="J2" s="127"/>
      <c r="K2" s="127"/>
      <c r="L2" s="127"/>
      <c r="M2" s="127"/>
      <c r="N2" s="127"/>
      <c r="O2" s="127"/>
      <c r="P2" s="127"/>
      <c r="Q2" s="127"/>
      <c r="R2" s="127"/>
      <c r="S2" s="127"/>
      <c r="T2" s="127"/>
      <c r="U2" s="127"/>
      <c r="W2" s="105" t="s">
        <v>0</v>
      </c>
      <c r="X2" s="106" t="s">
        <v>16</v>
      </c>
      <c r="Y2" s="30"/>
      <c r="Z2" s="30"/>
      <c r="AA2" s="30"/>
      <c r="AB2" s="30"/>
      <c r="AC2" s="30"/>
      <c r="AD2" s="30"/>
      <c r="AE2" s="30"/>
      <c r="AF2" s="30"/>
      <c r="AG2" s="30"/>
      <c r="AH2" s="30"/>
      <c r="AI2" s="30"/>
      <c r="AJ2" s="30"/>
      <c r="AK2" s="30"/>
      <c r="AL2" s="30"/>
      <c r="AM2" s="30"/>
      <c r="AN2" s="30"/>
      <c r="AO2" s="30"/>
    </row>
    <row r="3" spans="1:41">
      <c r="A3" s="30"/>
      <c r="B3" s="68"/>
      <c r="C3" s="105" t="s">
        <v>0</v>
      </c>
      <c r="D3" s="106" t="s">
        <v>16</v>
      </c>
      <c r="E3" s="30"/>
      <c r="F3" s="30"/>
      <c r="G3" s="30"/>
      <c r="H3" s="30"/>
      <c r="I3" s="30"/>
      <c r="J3" s="30"/>
      <c r="K3" s="30"/>
      <c r="L3" s="30"/>
      <c r="M3" s="30"/>
      <c r="N3" s="30"/>
      <c r="O3" s="30"/>
      <c r="P3" s="30"/>
      <c r="Q3" s="30"/>
      <c r="R3" s="30"/>
      <c r="S3" s="30"/>
      <c r="T3" s="30"/>
      <c r="U3" s="30"/>
      <c r="W3" s="105" t="s">
        <v>1</v>
      </c>
      <c r="X3" s="106" t="s">
        <v>16</v>
      </c>
      <c r="Y3" s="30"/>
      <c r="Z3" s="30"/>
      <c r="AA3" s="30"/>
      <c r="AB3" s="30"/>
      <c r="AC3" s="30"/>
      <c r="AD3" s="30"/>
      <c r="AE3" s="30"/>
      <c r="AF3" s="30"/>
      <c r="AG3" s="30"/>
      <c r="AH3" s="30"/>
      <c r="AI3" s="30"/>
      <c r="AJ3" s="30"/>
      <c r="AK3" s="30"/>
      <c r="AL3" s="30"/>
      <c r="AM3" s="30"/>
      <c r="AN3" s="30"/>
      <c r="AO3" s="30"/>
    </row>
    <row r="4" spans="1:41">
      <c r="A4" s="30"/>
      <c r="B4" s="69"/>
      <c r="C4" s="105" t="s">
        <v>1</v>
      </c>
      <c r="D4" s="106" t="s">
        <v>16</v>
      </c>
      <c r="E4" s="30"/>
      <c r="F4" s="30"/>
      <c r="G4" s="30"/>
      <c r="H4" s="30"/>
      <c r="I4" s="30"/>
      <c r="J4" s="30"/>
      <c r="K4" s="30"/>
      <c r="L4" s="30"/>
      <c r="M4" s="30"/>
      <c r="N4" s="30"/>
      <c r="O4" s="30"/>
      <c r="P4" s="30"/>
      <c r="Q4" s="30"/>
      <c r="R4" s="30"/>
      <c r="S4" s="30"/>
      <c r="T4" s="30"/>
      <c r="U4" s="30"/>
      <c r="W4" s="76" t="s">
        <v>2</v>
      </c>
      <c r="X4" s="106" t="s">
        <v>16</v>
      </c>
      <c r="Y4" s="30"/>
      <c r="Z4" s="30"/>
      <c r="AA4" s="30"/>
      <c r="AB4" s="30"/>
      <c r="AC4" s="30"/>
      <c r="AD4" s="30"/>
      <c r="AE4" s="30"/>
      <c r="AF4" s="30"/>
      <c r="AG4" s="30"/>
      <c r="AH4" s="30"/>
      <c r="AI4" s="30"/>
      <c r="AJ4" s="30"/>
      <c r="AK4" s="30"/>
      <c r="AL4" s="30"/>
      <c r="AM4" s="30"/>
      <c r="AN4" s="30"/>
      <c r="AO4" s="30"/>
    </row>
    <row r="5" spans="1:41">
      <c r="A5" s="30"/>
      <c r="B5" s="69"/>
      <c r="C5" s="105" t="s">
        <v>3</v>
      </c>
      <c r="D5" s="106" t="s">
        <v>362</v>
      </c>
      <c r="E5" s="30"/>
      <c r="F5" s="30"/>
      <c r="G5" s="30"/>
      <c r="H5" s="30"/>
      <c r="I5" s="30"/>
      <c r="J5" s="30"/>
      <c r="K5" s="30"/>
      <c r="L5" s="30"/>
      <c r="M5" s="30"/>
      <c r="N5" s="30"/>
      <c r="O5" s="30"/>
      <c r="P5" s="30"/>
      <c r="Q5" s="30"/>
      <c r="R5" s="30"/>
      <c r="S5" s="30"/>
      <c r="T5" s="30"/>
      <c r="U5" s="30"/>
      <c r="W5" s="105" t="s">
        <v>3</v>
      </c>
      <c r="X5" s="106"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332</v>
      </c>
      <c r="B7" s="70" t="s">
        <v>94</v>
      </c>
      <c r="C7" s="76" t="s">
        <v>17</v>
      </c>
      <c r="D7" s="32" t="s">
        <v>393</v>
      </c>
      <c r="E7" s="106" t="s">
        <v>395</v>
      </c>
      <c r="F7" s="106" t="s">
        <v>396</v>
      </c>
      <c r="G7" s="66" t="s">
        <v>394</v>
      </c>
      <c r="H7" s="67" t="s">
        <v>397</v>
      </c>
      <c r="I7" s="67" t="s">
        <v>398</v>
      </c>
      <c r="J7" s="64" t="s">
        <v>399</v>
      </c>
      <c r="K7" s="106" t="s">
        <v>400</v>
      </c>
      <c r="L7" s="106" t="s">
        <v>401</v>
      </c>
      <c r="M7" s="66" t="s">
        <v>402</v>
      </c>
      <c r="N7" s="67" t="s">
        <v>403</v>
      </c>
      <c r="O7" s="67" t="s">
        <v>404</v>
      </c>
      <c r="P7" s="64" t="s">
        <v>405</v>
      </c>
      <c r="Q7" s="106" t="s">
        <v>406</v>
      </c>
      <c r="R7" s="106" t="s">
        <v>407</v>
      </c>
      <c r="S7" s="66" t="s">
        <v>408</v>
      </c>
      <c r="T7" s="67" t="s">
        <v>409</v>
      </c>
      <c r="U7" s="67" t="s">
        <v>410</v>
      </c>
      <c r="W7" s="74" t="s">
        <v>17</v>
      </c>
      <c r="X7" s="32" t="s">
        <v>393</v>
      </c>
      <c r="Y7" s="106" t="s">
        <v>395</v>
      </c>
      <c r="Z7" s="106" t="s">
        <v>396</v>
      </c>
      <c r="AA7" s="66" t="s">
        <v>394</v>
      </c>
      <c r="AB7" s="67" t="s">
        <v>397</v>
      </c>
      <c r="AC7" s="67" t="s">
        <v>398</v>
      </c>
      <c r="AD7" s="64" t="s">
        <v>399</v>
      </c>
      <c r="AE7" s="106" t="s">
        <v>400</v>
      </c>
      <c r="AF7" s="106" t="s">
        <v>401</v>
      </c>
      <c r="AG7" s="66" t="s">
        <v>402</v>
      </c>
      <c r="AH7" s="67" t="s">
        <v>403</v>
      </c>
      <c r="AI7" s="67" t="s">
        <v>404</v>
      </c>
      <c r="AJ7" s="64" t="s">
        <v>405</v>
      </c>
      <c r="AK7" s="106" t="s">
        <v>406</v>
      </c>
      <c r="AL7" s="106" t="s">
        <v>407</v>
      </c>
      <c r="AM7" s="66" t="s">
        <v>408</v>
      </c>
      <c r="AN7" s="67" t="s">
        <v>409</v>
      </c>
      <c r="AO7" s="76" t="s">
        <v>410</v>
      </c>
    </row>
    <row r="8" spans="1:41">
      <c r="A8" s="23" t="str">
        <f>INDEX('DDL Tables'!$B:$B,MATCH(C8,'DDL Tables'!$C:$C,0))</f>
        <v>TestKS</v>
      </c>
      <c r="B8" s="71" t="str">
        <f>INDEX('DDL Tables'!$F:$F,MATCH(C8,'DDL Tables'!$C:$C,0))</f>
        <v>SizeTieredCompactionStrategy</v>
      </c>
      <c r="C8" s="75" t="s">
        <v>50</v>
      </c>
      <c r="D8" s="9">
        <v>1</v>
      </c>
      <c r="E8" s="9">
        <v>1</v>
      </c>
      <c r="F8" s="9">
        <v>0</v>
      </c>
      <c r="G8" s="65">
        <v>3</v>
      </c>
      <c r="H8" s="9">
        <v>3</v>
      </c>
      <c r="I8" s="9">
        <v>0</v>
      </c>
      <c r="J8" s="65">
        <v>10</v>
      </c>
      <c r="K8" s="9">
        <v>10</v>
      </c>
      <c r="L8" s="9">
        <v>0</v>
      </c>
      <c r="M8" s="65">
        <v>20</v>
      </c>
      <c r="N8" s="9">
        <v>20</v>
      </c>
      <c r="O8" s="9">
        <v>0</v>
      </c>
      <c r="P8" s="65">
        <v>29</v>
      </c>
      <c r="Q8" s="9">
        <v>29</v>
      </c>
      <c r="R8" s="9">
        <v>0</v>
      </c>
      <c r="S8" s="65">
        <v>35</v>
      </c>
      <c r="T8" s="9">
        <v>35</v>
      </c>
      <c r="U8" s="9">
        <v>0</v>
      </c>
      <c r="W8" s="4" t="s">
        <v>49</v>
      </c>
      <c r="X8" s="9">
        <v>1</v>
      </c>
      <c r="Y8" s="9">
        <v>1</v>
      </c>
      <c r="Z8" s="9">
        <v>0</v>
      </c>
      <c r="AA8" s="65">
        <v>3</v>
      </c>
      <c r="AB8" s="9">
        <v>3</v>
      </c>
      <c r="AC8" s="9">
        <v>0</v>
      </c>
      <c r="AD8" s="65">
        <v>10</v>
      </c>
      <c r="AE8" s="9">
        <v>10</v>
      </c>
      <c r="AF8" s="9">
        <v>0</v>
      </c>
      <c r="AG8" s="65">
        <v>20</v>
      </c>
      <c r="AH8" s="9">
        <v>20</v>
      </c>
      <c r="AI8" s="9">
        <v>0</v>
      </c>
      <c r="AJ8" s="65">
        <v>29</v>
      </c>
      <c r="AK8" s="9">
        <v>29</v>
      </c>
      <c r="AL8" s="9">
        <v>0</v>
      </c>
      <c r="AM8" s="65">
        <v>35</v>
      </c>
      <c r="AN8" s="9">
        <v>35</v>
      </c>
      <c r="AO8" s="77">
        <v>0</v>
      </c>
    </row>
    <row r="9" spans="1:41">
      <c r="C9" s="75" t="s">
        <v>18</v>
      </c>
      <c r="D9" s="9">
        <v>1</v>
      </c>
      <c r="E9" s="9">
        <v>1</v>
      </c>
      <c r="F9" s="9">
        <v>0</v>
      </c>
      <c r="G9" s="65">
        <v>3</v>
      </c>
      <c r="H9" s="9">
        <v>3</v>
      </c>
      <c r="I9" s="9">
        <v>0</v>
      </c>
      <c r="J9" s="65">
        <v>10</v>
      </c>
      <c r="K9" s="9">
        <v>10</v>
      </c>
      <c r="L9" s="9">
        <v>0</v>
      </c>
      <c r="M9" s="65">
        <v>20</v>
      </c>
      <c r="N9" s="9">
        <v>20</v>
      </c>
      <c r="O9" s="9">
        <v>0</v>
      </c>
      <c r="P9" s="65">
        <v>29</v>
      </c>
      <c r="Q9" s="9">
        <v>29</v>
      </c>
      <c r="R9" s="9">
        <v>0</v>
      </c>
      <c r="S9" s="65">
        <v>35</v>
      </c>
      <c r="T9" s="9">
        <v>35</v>
      </c>
      <c r="U9" s="9">
        <v>0</v>
      </c>
      <c r="W9" s="75" t="s">
        <v>18</v>
      </c>
      <c r="X9" s="9">
        <v>1</v>
      </c>
      <c r="Y9" s="9">
        <v>1</v>
      </c>
      <c r="Z9" s="9">
        <v>0</v>
      </c>
      <c r="AA9" s="65">
        <v>3</v>
      </c>
      <c r="AB9" s="9">
        <v>3</v>
      </c>
      <c r="AC9" s="9">
        <v>0</v>
      </c>
      <c r="AD9" s="65">
        <v>10</v>
      </c>
      <c r="AE9" s="9">
        <v>10</v>
      </c>
      <c r="AF9" s="9">
        <v>0</v>
      </c>
      <c r="AG9" s="65">
        <v>20</v>
      </c>
      <c r="AH9" s="9">
        <v>20</v>
      </c>
      <c r="AI9" s="9">
        <v>0</v>
      </c>
      <c r="AJ9" s="65">
        <v>29</v>
      </c>
      <c r="AK9" s="9">
        <v>29</v>
      </c>
      <c r="AL9" s="9">
        <v>0</v>
      </c>
      <c r="AM9" s="65">
        <v>35</v>
      </c>
      <c r="AN9" s="9">
        <v>35</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A9" sqref="A9"/>
    </sheetView>
  </sheetViews>
  <sheetFormatPr defaultRowHeight="15"/>
  <cols>
    <col min="1" max="1" width="14" style="57" customWidth="1"/>
    <col min="2" max="2" width="32.140625" style="72" customWidth="1"/>
    <col min="3" max="3" width="13.140625" style="73" customWidth="1"/>
    <col min="4" max="4" width="25.8554687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5.8554687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39" t="s">
        <v>411</v>
      </c>
      <c r="D1" s="127"/>
      <c r="E1" s="127"/>
      <c r="F1" s="127"/>
      <c r="G1" s="127"/>
      <c r="H1" s="127"/>
      <c r="I1" s="127"/>
      <c r="J1" s="127"/>
      <c r="K1" s="127"/>
      <c r="L1" s="127"/>
      <c r="M1" s="127"/>
      <c r="N1" s="127"/>
      <c r="O1" s="127"/>
      <c r="P1" s="127"/>
      <c r="Q1" s="127"/>
      <c r="R1" s="127"/>
      <c r="S1" s="127"/>
      <c r="T1" s="127"/>
      <c r="U1" s="127"/>
      <c r="W1" s="139" t="s">
        <v>412</v>
      </c>
      <c r="X1" s="127"/>
      <c r="Y1" s="127"/>
      <c r="Z1" s="127"/>
      <c r="AA1" s="127"/>
      <c r="AB1" s="127"/>
      <c r="AC1" s="127"/>
      <c r="AD1" s="127"/>
      <c r="AE1" s="127"/>
      <c r="AF1" s="127"/>
      <c r="AG1" s="127"/>
      <c r="AH1" s="127"/>
      <c r="AI1" s="127"/>
      <c r="AJ1" s="127"/>
      <c r="AK1" s="127"/>
      <c r="AL1" s="127"/>
      <c r="AM1" s="127"/>
      <c r="AN1" s="127"/>
      <c r="AO1" s="127"/>
    </row>
    <row r="2" spans="1:41">
      <c r="A2" s="30"/>
      <c r="B2" s="68"/>
      <c r="C2" s="139"/>
      <c r="D2" s="127"/>
      <c r="E2" s="127"/>
      <c r="F2" s="127"/>
      <c r="G2" s="127"/>
      <c r="H2" s="127"/>
      <c r="I2" s="127"/>
      <c r="J2" s="127"/>
      <c r="K2" s="127"/>
      <c r="L2" s="127"/>
      <c r="M2" s="127"/>
      <c r="N2" s="127"/>
      <c r="O2" s="127"/>
      <c r="P2" s="127"/>
      <c r="Q2" s="127"/>
      <c r="R2" s="127"/>
      <c r="S2" s="127"/>
      <c r="T2" s="127"/>
      <c r="U2" s="127"/>
      <c r="W2" s="105" t="s">
        <v>0</v>
      </c>
      <c r="X2" s="106" t="s">
        <v>16</v>
      </c>
      <c r="Y2" s="30"/>
      <c r="Z2" s="30"/>
      <c r="AA2" s="30"/>
      <c r="AB2" s="30"/>
      <c r="AC2" s="30"/>
      <c r="AD2" s="30"/>
      <c r="AE2" s="30"/>
      <c r="AF2" s="30"/>
      <c r="AG2" s="30"/>
      <c r="AH2" s="30"/>
      <c r="AI2" s="30"/>
      <c r="AJ2" s="30"/>
      <c r="AK2" s="30"/>
      <c r="AL2" s="30"/>
      <c r="AM2" s="30"/>
      <c r="AN2" s="30"/>
      <c r="AO2" s="30"/>
    </row>
    <row r="3" spans="1:41">
      <c r="A3" s="30"/>
      <c r="B3" s="68"/>
      <c r="C3" s="105" t="s">
        <v>0</v>
      </c>
      <c r="D3" s="106" t="s">
        <v>16</v>
      </c>
      <c r="E3" s="30"/>
      <c r="F3" s="30"/>
      <c r="G3" s="30"/>
      <c r="H3" s="30"/>
      <c r="I3" s="30"/>
      <c r="J3" s="30"/>
      <c r="K3" s="30"/>
      <c r="L3" s="30"/>
      <c r="M3" s="30"/>
      <c r="N3" s="30"/>
      <c r="O3" s="30"/>
      <c r="P3" s="30"/>
      <c r="Q3" s="30"/>
      <c r="R3" s="30"/>
      <c r="S3" s="30"/>
      <c r="T3" s="30"/>
      <c r="U3" s="30"/>
      <c r="W3" s="105" t="s">
        <v>1</v>
      </c>
      <c r="X3" s="106" t="s">
        <v>16</v>
      </c>
      <c r="Y3" s="30"/>
      <c r="Z3" s="30"/>
      <c r="AA3" s="30"/>
      <c r="AB3" s="30"/>
      <c r="AC3" s="30"/>
      <c r="AD3" s="30"/>
      <c r="AE3" s="30"/>
      <c r="AF3" s="30"/>
      <c r="AG3" s="30"/>
      <c r="AH3" s="30"/>
      <c r="AI3" s="30"/>
      <c r="AJ3" s="30"/>
      <c r="AK3" s="30"/>
      <c r="AL3" s="30"/>
      <c r="AM3" s="30"/>
      <c r="AN3" s="30"/>
      <c r="AO3" s="30"/>
    </row>
    <row r="4" spans="1:41">
      <c r="A4" s="30"/>
      <c r="B4" s="69"/>
      <c r="C4" s="105" t="s">
        <v>1</v>
      </c>
      <c r="D4" s="106" t="s">
        <v>16</v>
      </c>
      <c r="E4" s="30"/>
      <c r="F4" s="30"/>
      <c r="G4" s="30"/>
      <c r="H4" s="30"/>
      <c r="I4" s="30"/>
      <c r="J4" s="30"/>
      <c r="K4" s="30"/>
      <c r="L4" s="30"/>
      <c r="M4" s="30"/>
      <c r="N4" s="30"/>
      <c r="O4" s="30"/>
      <c r="P4" s="30"/>
      <c r="Q4" s="30"/>
      <c r="R4" s="30"/>
      <c r="S4" s="30"/>
      <c r="T4" s="30"/>
      <c r="U4" s="30"/>
      <c r="W4" s="76" t="s">
        <v>2</v>
      </c>
      <c r="X4" s="106" t="s">
        <v>16</v>
      </c>
      <c r="Y4" s="30"/>
      <c r="Z4" s="30"/>
      <c r="AA4" s="30"/>
      <c r="AB4" s="30"/>
      <c r="AC4" s="30"/>
      <c r="AD4" s="30"/>
      <c r="AE4" s="30"/>
      <c r="AF4" s="30"/>
      <c r="AG4" s="30"/>
      <c r="AH4" s="30"/>
      <c r="AI4" s="30"/>
      <c r="AJ4" s="30"/>
      <c r="AK4" s="30"/>
      <c r="AL4" s="30"/>
      <c r="AM4" s="30"/>
      <c r="AN4" s="30"/>
      <c r="AO4" s="30"/>
    </row>
    <row r="5" spans="1:41">
      <c r="A5" s="30"/>
      <c r="B5" s="69"/>
      <c r="C5" s="105" t="s">
        <v>3</v>
      </c>
      <c r="D5" s="106" t="s">
        <v>363</v>
      </c>
      <c r="E5" s="30"/>
      <c r="F5" s="30"/>
      <c r="G5" s="30"/>
      <c r="H5" s="30"/>
      <c r="I5" s="30"/>
      <c r="J5" s="30"/>
      <c r="K5" s="30"/>
      <c r="L5" s="30"/>
      <c r="M5" s="30"/>
      <c r="N5" s="30"/>
      <c r="O5" s="30"/>
      <c r="P5" s="30"/>
      <c r="Q5" s="30"/>
      <c r="R5" s="30"/>
      <c r="S5" s="30"/>
      <c r="T5" s="30"/>
      <c r="U5" s="30"/>
      <c r="W5" s="105" t="s">
        <v>3</v>
      </c>
      <c r="X5" s="106"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332</v>
      </c>
      <c r="B7" s="70" t="s">
        <v>94</v>
      </c>
      <c r="C7" s="76" t="s">
        <v>17</v>
      </c>
      <c r="D7" s="32" t="s">
        <v>393</v>
      </c>
      <c r="E7" s="106" t="s">
        <v>395</v>
      </c>
      <c r="F7" s="106" t="s">
        <v>396</v>
      </c>
      <c r="G7" s="66" t="s">
        <v>394</v>
      </c>
      <c r="H7" s="67" t="s">
        <v>397</v>
      </c>
      <c r="I7" s="67" t="s">
        <v>398</v>
      </c>
      <c r="J7" s="64" t="s">
        <v>399</v>
      </c>
      <c r="K7" s="106" t="s">
        <v>400</v>
      </c>
      <c r="L7" s="106" t="s">
        <v>401</v>
      </c>
      <c r="M7" s="66" t="s">
        <v>402</v>
      </c>
      <c r="N7" s="67" t="s">
        <v>403</v>
      </c>
      <c r="O7" s="67" t="s">
        <v>404</v>
      </c>
      <c r="P7" s="64" t="s">
        <v>405</v>
      </c>
      <c r="Q7" s="106" t="s">
        <v>406</v>
      </c>
      <c r="R7" s="106" t="s">
        <v>407</v>
      </c>
      <c r="S7" s="66" t="s">
        <v>408</v>
      </c>
      <c r="T7" s="67" t="s">
        <v>409</v>
      </c>
      <c r="U7" s="67" t="s">
        <v>410</v>
      </c>
      <c r="W7" s="74" t="s">
        <v>17</v>
      </c>
      <c r="X7" s="32" t="s">
        <v>393</v>
      </c>
      <c r="Y7" s="106" t="s">
        <v>395</v>
      </c>
      <c r="Z7" s="106" t="s">
        <v>396</v>
      </c>
      <c r="AA7" s="66" t="s">
        <v>394</v>
      </c>
      <c r="AB7" s="67" t="s">
        <v>397</v>
      </c>
      <c r="AC7" s="67" t="s">
        <v>398</v>
      </c>
      <c r="AD7" s="64" t="s">
        <v>399</v>
      </c>
      <c r="AE7" s="106" t="s">
        <v>400</v>
      </c>
      <c r="AF7" s="106" t="s">
        <v>401</v>
      </c>
      <c r="AG7" s="66" t="s">
        <v>402</v>
      </c>
      <c r="AH7" s="67" t="s">
        <v>403</v>
      </c>
      <c r="AI7" s="67" t="s">
        <v>404</v>
      </c>
      <c r="AJ7" s="64" t="s">
        <v>405</v>
      </c>
      <c r="AK7" s="106" t="s">
        <v>406</v>
      </c>
      <c r="AL7" s="106" t="s">
        <v>407</v>
      </c>
      <c r="AM7" s="66" t="s">
        <v>408</v>
      </c>
      <c r="AN7" s="67" t="s">
        <v>409</v>
      </c>
      <c r="AO7" s="76" t="s">
        <v>410</v>
      </c>
    </row>
    <row r="8" spans="1:41">
      <c r="A8" s="23" t="str">
        <f>INDEX('DDL Tables'!$B:$B,MATCH(C8,'DDL Tables'!$C:$C,0))</f>
        <v>TestKS</v>
      </c>
      <c r="B8" s="71" t="str">
        <f>INDEX('DDL Tables'!$F:$F,MATCH(C8,'DDL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A10" sqref="A10"/>
    </sheetView>
  </sheetViews>
  <sheetFormatPr defaultRowHeight="15"/>
  <cols>
    <col min="1" max="1" width="14" style="57" customWidth="1"/>
    <col min="2" max="2" width="32.140625" style="72" customWidth="1"/>
    <col min="3" max="3" width="13.140625" style="73" customWidth="1"/>
    <col min="4" max="4" width="25.8554687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25.8554687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39" t="s">
        <v>411</v>
      </c>
      <c r="D1" s="127"/>
      <c r="E1" s="127"/>
      <c r="F1" s="127"/>
      <c r="G1" s="127"/>
      <c r="H1" s="127"/>
      <c r="I1" s="127"/>
      <c r="J1" s="127"/>
      <c r="K1" s="127"/>
      <c r="L1" s="127"/>
      <c r="M1" s="127"/>
      <c r="N1" s="127"/>
      <c r="O1" s="127"/>
      <c r="P1" s="127"/>
      <c r="Q1" s="127"/>
      <c r="R1" s="127"/>
      <c r="S1" s="127"/>
      <c r="T1" s="127"/>
      <c r="U1" s="127"/>
      <c r="W1" s="139" t="s">
        <v>412</v>
      </c>
      <c r="X1" s="127"/>
      <c r="Y1" s="127"/>
      <c r="Z1" s="127"/>
      <c r="AA1" s="127"/>
      <c r="AB1" s="127"/>
      <c r="AC1" s="127"/>
      <c r="AD1" s="127"/>
      <c r="AE1" s="127"/>
      <c r="AF1" s="127"/>
      <c r="AG1" s="127"/>
      <c r="AH1" s="127"/>
      <c r="AI1" s="127"/>
      <c r="AJ1" s="127"/>
      <c r="AK1" s="127"/>
      <c r="AL1" s="127"/>
      <c r="AM1" s="127"/>
      <c r="AN1" s="127"/>
      <c r="AO1" s="127"/>
    </row>
    <row r="2" spans="1:41">
      <c r="A2" s="30"/>
      <c r="B2" s="68"/>
      <c r="C2" s="139"/>
      <c r="D2" s="127"/>
      <c r="E2" s="127"/>
      <c r="F2" s="127"/>
      <c r="G2" s="127"/>
      <c r="H2" s="127"/>
      <c r="I2" s="127"/>
      <c r="J2" s="127"/>
      <c r="K2" s="127"/>
      <c r="L2" s="127"/>
      <c r="M2" s="127"/>
      <c r="N2" s="127"/>
      <c r="O2" s="127"/>
      <c r="P2" s="127"/>
      <c r="Q2" s="127"/>
      <c r="R2" s="127"/>
      <c r="S2" s="127"/>
      <c r="T2" s="127"/>
      <c r="U2" s="127"/>
      <c r="W2" s="105" t="s">
        <v>0</v>
      </c>
      <c r="X2" s="106" t="s">
        <v>16</v>
      </c>
      <c r="Y2" s="30"/>
      <c r="Z2" s="30"/>
      <c r="AA2" s="30"/>
      <c r="AB2" s="30"/>
      <c r="AC2" s="30"/>
      <c r="AD2" s="30"/>
      <c r="AE2" s="30"/>
      <c r="AF2" s="30"/>
      <c r="AG2" s="30"/>
      <c r="AH2" s="30"/>
      <c r="AI2" s="30"/>
      <c r="AJ2" s="30"/>
      <c r="AK2" s="30"/>
      <c r="AL2" s="30"/>
      <c r="AM2" s="30"/>
      <c r="AN2" s="30"/>
      <c r="AO2" s="30"/>
    </row>
    <row r="3" spans="1:41">
      <c r="A3" s="30"/>
      <c r="B3" s="68"/>
      <c r="C3" s="105" t="s">
        <v>0</v>
      </c>
      <c r="D3" s="106" t="s">
        <v>16</v>
      </c>
      <c r="E3" s="30"/>
      <c r="F3" s="30"/>
      <c r="G3" s="30"/>
      <c r="H3" s="30"/>
      <c r="I3" s="30"/>
      <c r="J3" s="30"/>
      <c r="K3" s="30"/>
      <c r="L3" s="30"/>
      <c r="M3" s="30"/>
      <c r="N3" s="30"/>
      <c r="O3" s="30"/>
      <c r="P3" s="30"/>
      <c r="Q3" s="30"/>
      <c r="R3" s="30"/>
      <c r="S3" s="30"/>
      <c r="T3" s="30"/>
      <c r="U3" s="30"/>
      <c r="W3" s="105" t="s">
        <v>1</v>
      </c>
      <c r="X3" s="106" t="s">
        <v>16</v>
      </c>
      <c r="Y3" s="30"/>
      <c r="Z3" s="30"/>
      <c r="AA3" s="30"/>
      <c r="AB3" s="30"/>
      <c r="AC3" s="30"/>
      <c r="AD3" s="30"/>
      <c r="AE3" s="30"/>
      <c r="AF3" s="30"/>
      <c r="AG3" s="30"/>
      <c r="AH3" s="30"/>
      <c r="AI3" s="30"/>
      <c r="AJ3" s="30"/>
      <c r="AK3" s="30"/>
      <c r="AL3" s="30"/>
      <c r="AM3" s="30"/>
      <c r="AN3" s="30"/>
      <c r="AO3" s="30"/>
    </row>
    <row r="4" spans="1:41">
      <c r="A4" s="30"/>
      <c r="B4" s="69"/>
      <c r="C4" s="105" t="s">
        <v>1</v>
      </c>
      <c r="D4" s="106" t="s">
        <v>16</v>
      </c>
      <c r="E4" s="30"/>
      <c r="F4" s="30"/>
      <c r="G4" s="30"/>
      <c r="H4" s="30"/>
      <c r="I4" s="30"/>
      <c r="J4" s="30"/>
      <c r="K4" s="30"/>
      <c r="L4" s="30"/>
      <c r="M4" s="30"/>
      <c r="N4" s="30"/>
      <c r="O4" s="30"/>
      <c r="P4" s="30"/>
      <c r="Q4" s="30"/>
      <c r="R4" s="30"/>
      <c r="S4" s="30"/>
      <c r="T4" s="30"/>
      <c r="U4" s="30"/>
      <c r="W4" s="76" t="s">
        <v>2</v>
      </c>
      <c r="X4" s="106" t="s">
        <v>16</v>
      </c>
      <c r="Y4" s="30"/>
      <c r="Z4" s="30"/>
      <c r="AA4" s="30"/>
      <c r="AB4" s="30"/>
      <c r="AC4" s="30"/>
      <c r="AD4" s="30"/>
      <c r="AE4" s="30"/>
      <c r="AF4" s="30"/>
      <c r="AG4" s="30"/>
      <c r="AH4" s="30"/>
      <c r="AI4" s="30"/>
      <c r="AJ4" s="30"/>
      <c r="AK4" s="30"/>
      <c r="AL4" s="30"/>
      <c r="AM4" s="30"/>
      <c r="AN4" s="30"/>
      <c r="AO4" s="30"/>
    </row>
    <row r="5" spans="1:41">
      <c r="A5" s="30"/>
      <c r="B5" s="69"/>
      <c r="C5" s="105" t="s">
        <v>3</v>
      </c>
      <c r="D5" s="106" t="s">
        <v>366</v>
      </c>
      <c r="E5" s="30"/>
      <c r="F5" s="30"/>
      <c r="G5" s="30"/>
      <c r="H5" s="30"/>
      <c r="I5" s="30"/>
      <c r="J5" s="30"/>
      <c r="K5" s="30"/>
      <c r="L5" s="30"/>
      <c r="M5" s="30"/>
      <c r="N5" s="30"/>
      <c r="O5" s="30"/>
      <c r="P5" s="30"/>
      <c r="Q5" s="30"/>
      <c r="R5" s="30"/>
      <c r="S5" s="30"/>
      <c r="T5" s="30"/>
      <c r="U5" s="30"/>
      <c r="W5" s="105" t="s">
        <v>3</v>
      </c>
      <c r="X5" s="106" t="s">
        <v>366</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332</v>
      </c>
      <c r="B7" s="70" t="s">
        <v>94</v>
      </c>
      <c r="C7" s="76" t="s">
        <v>17</v>
      </c>
      <c r="D7" s="32" t="s">
        <v>393</v>
      </c>
      <c r="E7" s="106" t="s">
        <v>395</v>
      </c>
      <c r="F7" s="106" t="s">
        <v>396</v>
      </c>
      <c r="G7" s="66" t="s">
        <v>394</v>
      </c>
      <c r="H7" s="67" t="s">
        <v>397</v>
      </c>
      <c r="I7" s="67" t="s">
        <v>398</v>
      </c>
      <c r="J7" s="64" t="s">
        <v>399</v>
      </c>
      <c r="K7" s="106" t="s">
        <v>400</v>
      </c>
      <c r="L7" s="106" t="s">
        <v>401</v>
      </c>
      <c r="M7" s="66" t="s">
        <v>402</v>
      </c>
      <c r="N7" s="67" t="s">
        <v>403</v>
      </c>
      <c r="O7" s="67" t="s">
        <v>404</v>
      </c>
      <c r="P7" s="64" t="s">
        <v>405</v>
      </c>
      <c r="Q7" s="106" t="s">
        <v>406</v>
      </c>
      <c r="R7" s="106" t="s">
        <v>407</v>
      </c>
      <c r="S7" s="66" t="s">
        <v>408</v>
      </c>
      <c r="T7" s="67" t="s">
        <v>409</v>
      </c>
      <c r="U7" s="67" t="s">
        <v>410</v>
      </c>
      <c r="W7" s="74" t="s">
        <v>17</v>
      </c>
      <c r="X7" s="32" t="s">
        <v>393</v>
      </c>
      <c r="Y7" s="106" t="s">
        <v>395</v>
      </c>
      <c r="Z7" s="106" t="s">
        <v>396</v>
      </c>
      <c r="AA7" s="66" t="s">
        <v>394</v>
      </c>
      <c r="AB7" s="67" t="s">
        <v>397</v>
      </c>
      <c r="AC7" s="67" t="s">
        <v>398</v>
      </c>
      <c r="AD7" s="64" t="s">
        <v>399</v>
      </c>
      <c r="AE7" s="106" t="s">
        <v>400</v>
      </c>
      <c r="AF7" s="106" t="s">
        <v>401</v>
      </c>
      <c r="AG7" s="66" t="s">
        <v>402</v>
      </c>
      <c r="AH7" s="67" t="s">
        <v>403</v>
      </c>
      <c r="AI7" s="67" t="s">
        <v>404</v>
      </c>
      <c r="AJ7" s="64" t="s">
        <v>405</v>
      </c>
      <c r="AK7" s="106" t="s">
        <v>406</v>
      </c>
      <c r="AL7" s="106" t="s">
        <v>407</v>
      </c>
      <c r="AM7" s="66" t="s">
        <v>408</v>
      </c>
      <c r="AN7" s="67" t="s">
        <v>409</v>
      </c>
      <c r="AO7" s="76" t="s">
        <v>410</v>
      </c>
    </row>
    <row r="8" spans="1:41">
      <c r="A8" s="23" t="str">
        <f>INDEX('DDL Tables'!$B:$B,MATCH(C8,'DDL Tables'!$C:$C,0))</f>
        <v>TestKS</v>
      </c>
      <c r="B8" s="71" t="str">
        <f>INDEX('DDL Tables'!$F:$F,MATCH(C8,'DDL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C8" sqref="C8"/>
    </sheetView>
  </sheetViews>
  <sheetFormatPr defaultRowHeight="15"/>
  <cols>
    <col min="1" max="1" width="14" style="86" customWidth="1"/>
    <col min="2" max="2" width="32.140625" style="72" customWidth="1"/>
    <col min="3" max="3" width="13.140625" style="73" customWidth="1"/>
    <col min="4" max="4" width="25.8554687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5.8554687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39" t="s">
        <v>411</v>
      </c>
      <c r="D1" s="127"/>
      <c r="E1" s="127"/>
      <c r="F1" s="127"/>
      <c r="G1" s="127"/>
      <c r="H1" s="127"/>
      <c r="I1" s="127"/>
      <c r="J1" s="127"/>
      <c r="K1" s="127"/>
      <c r="L1" s="127"/>
      <c r="M1" s="127"/>
      <c r="N1" s="127"/>
      <c r="O1" s="127"/>
      <c r="P1" s="127"/>
      <c r="Q1" s="127"/>
      <c r="R1" s="127"/>
      <c r="S1" s="127"/>
      <c r="T1" s="127"/>
      <c r="U1" s="127"/>
      <c r="W1" s="139" t="s">
        <v>412</v>
      </c>
      <c r="X1" s="127"/>
      <c r="Y1" s="127"/>
      <c r="Z1" s="127"/>
      <c r="AA1" s="127"/>
      <c r="AB1" s="127"/>
      <c r="AC1" s="127"/>
      <c r="AD1" s="127"/>
      <c r="AE1" s="127"/>
      <c r="AF1" s="127"/>
      <c r="AG1" s="127"/>
      <c r="AH1" s="127"/>
      <c r="AI1" s="127"/>
      <c r="AJ1" s="127"/>
      <c r="AK1" s="127"/>
      <c r="AL1" s="127"/>
      <c r="AM1" s="127"/>
      <c r="AN1" s="127"/>
      <c r="AO1" s="127"/>
    </row>
    <row r="2" spans="1:41">
      <c r="A2" s="30"/>
      <c r="B2" s="68"/>
      <c r="C2" s="139"/>
      <c r="D2" s="127"/>
      <c r="E2" s="127"/>
      <c r="F2" s="127"/>
      <c r="G2" s="127"/>
      <c r="H2" s="127"/>
      <c r="I2" s="127"/>
      <c r="J2" s="127"/>
      <c r="K2" s="127"/>
      <c r="L2" s="127"/>
      <c r="M2" s="127"/>
      <c r="N2" s="127"/>
      <c r="O2" s="127"/>
      <c r="P2" s="127"/>
      <c r="Q2" s="127"/>
      <c r="R2" s="127"/>
      <c r="S2" s="127"/>
      <c r="T2" s="127"/>
      <c r="U2" s="127"/>
      <c r="W2" s="105" t="s">
        <v>0</v>
      </c>
      <c r="X2" s="106" t="s">
        <v>16</v>
      </c>
      <c r="Y2" s="30"/>
      <c r="Z2" s="30"/>
      <c r="AA2" s="30"/>
      <c r="AB2" s="30"/>
      <c r="AC2" s="30"/>
      <c r="AD2" s="30"/>
      <c r="AE2" s="30"/>
      <c r="AF2" s="30"/>
      <c r="AG2" s="30"/>
      <c r="AH2" s="30"/>
      <c r="AI2" s="30"/>
      <c r="AJ2" s="30"/>
      <c r="AK2" s="30"/>
      <c r="AL2" s="30"/>
      <c r="AM2" s="30"/>
      <c r="AN2" s="30"/>
      <c r="AO2" s="30"/>
    </row>
    <row r="3" spans="1:41">
      <c r="A3" s="30"/>
      <c r="B3" s="68"/>
      <c r="C3" s="105" t="s">
        <v>0</v>
      </c>
      <c r="D3" s="106" t="s">
        <v>16</v>
      </c>
      <c r="E3" s="30"/>
      <c r="F3" s="30"/>
      <c r="G3" s="30"/>
      <c r="H3" s="30"/>
      <c r="I3" s="30"/>
      <c r="J3" s="30"/>
      <c r="K3" s="30"/>
      <c r="L3" s="30"/>
      <c r="M3" s="30"/>
      <c r="N3" s="30"/>
      <c r="O3" s="30"/>
      <c r="P3" s="30"/>
      <c r="Q3" s="30"/>
      <c r="R3" s="30"/>
      <c r="S3" s="30"/>
      <c r="T3" s="30"/>
      <c r="U3" s="30"/>
      <c r="W3" s="105" t="s">
        <v>1</v>
      </c>
      <c r="X3" s="106" t="s">
        <v>16</v>
      </c>
      <c r="Y3" s="30"/>
      <c r="Z3" s="30"/>
      <c r="AA3" s="30"/>
      <c r="AB3" s="30"/>
      <c r="AC3" s="30"/>
      <c r="AD3" s="30"/>
      <c r="AE3" s="30"/>
      <c r="AF3" s="30"/>
      <c r="AG3" s="30"/>
      <c r="AH3" s="30"/>
      <c r="AI3" s="30"/>
      <c r="AJ3" s="30"/>
      <c r="AK3" s="30"/>
      <c r="AL3" s="30"/>
      <c r="AM3" s="30"/>
      <c r="AN3" s="30"/>
      <c r="AO3" s="30"/>
    </row>
    <row r="4" spans="1:41">
      <c r="A4" s="30"/>
      <c r="B4" s="69"/>
      <c r="C4" s="105" t="s">
        <v>1</v>
      </c>
      <c r="D4" s="106" t="s">
        <v>16</v>
      </c>
      <c r="E4" s="30"/>
      <c r="F4" s="30"/>
      <c r="G4" s="30"/>
      <c r="H4" s="30"/>
      <c r="I4" s="30"/>
      <c r="J4" s="30"/>
      <c r="K4" s="30"/>
      <c r="L4" s="30"/>
      <c r="M4" s="30"/>
      <c r="N4" s="30"/>
      <c r="O4" s="30"/>
      <c r="P4" s="30"/>
      <c r="Q4" s="30"/>
      <c r="R4" s="30"/>
      <c r="S4" s="30"/>
      <c r="T4" s="30"/>
      <c r="U4" s="30"/>
      <c r="W4" s="76" t="s">
        <v>2</v>
      </c>
      <c r="X4" s="106" t="s">
        <v>16</v>
      </c>
      <c r="Y4" s="30"/>
      <c r="Z4" s="30"/>
      <c r="AA4" s="30"/>
      <c r="AB4" s="30"/>
      <c r="AC4" s="30"/>
      <c r="AD4" s="30"/>
      <c r="AE4" s="30"/>
      <c r="AF4" s="30"/>
      <c r="AG4" s="30"/>
      <c r="AH4" s="30"/>
      <c r="AI4" s="30"/>
      <c r="AJ4" s="30"/>
      <c r="AK4" s="30"/>
      <c r="AL4" s="30"/>
      <c r="AM4" s="30"/>
      <c r="AN4" s="30"/>
      <c r="AO4" s="30"/>
    </row>
    <row r="5" spans="1:41">
      <c r="A5" s="30"/>
      <c r="B5" s="69"/>
      <c r="C5" s="105" t="s">
        <v>3</v>
      </c>
      <c r="D5" s="106" t="s">
        <v>365</v>
      </c>
      <c r="E5" s="30"/>
      <c r="F5" s="30"/>
      <c r="G5" s="30"/>
      <c r="H5" s="30"/>
      <c r="I5" s="30"/>
      <c r="J5" s="30"/>
      <c r="K5" s="30"/>
      <c r="L5" s="30"/>
      <c r="M5" s="30"/>
      <c r="N5" s="30"/>
      <c r="O5" s="30"/>
      <c r="P5" s="30"/>
      <c r="Q5" s="30"/>
      <c r="R5" s="30"/>
      <c r="S5" s="30"/>
      <c r="T5" s="30"/>
      <c r="U5" s="30"/>
      <c r="W5" s="105" t="s">
        <v>3</v>
      </c>
      <c r="X5" s="106" t="s">
        <v>365</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332</v>
      </c>
      <c r="B7" s="70" t="s">
        <v>94</v>
      </c>
      <c r="C7" s="76" t="s">
        <v>17</v>
      </c>
      <c r="D7" s="32" t="s">
        <v>393</v>
      </c>
      <c r="E7" s="106" t="s">
        <v>395</v>
      </c>
      <c r="F7" s="106" t="s">
        <v>396</v>
      </c>
      <c r="G7" s="66" t="s">
        <v>394</v>
      </c>
      <c r="H7" s="67" t="s">
        <v>397</v>
      </c>
      <c r="I7" s="67" t="s">
        <v>398</v>
      </c>
      <c r="J7" s="64" t="s">
        <v>399</v>
      </c>
      <c r="K7" s="106" t="s">
        <v>400</v>
      </c>
      <c r="L7" s="106" t="s">
        <v>401</v>
      </c>
      <c r="M7" s="66" t="s">
        <v>402</v>
      </c>
      <c r="N7" s="67" t="s">
        <v>403</v>
      </c>
      <c r="O7" s="67" t="s">
        <v>404</v>
      </c>
      <c r="P7" s="64" t="s">
        <v>405</v>
      </c>
      <c r="Q7" s="106" t="s">
        <v>406</v>
      </c>
      <c r="R7" s="106" t="s">
        <v>407</v>
      </c>
      <c r="S7" s="66" t="s">
        <v>408</v>
      </c>
      <c r="T7" s="67" t="s">
        <v>409</v>
      </c>
      <c r="U7" s="67" t="s">
        <v>410</v>
      </c>
      <c r="W7" s="74" t="s">
        <v>17</v>
      </c>
      <c r="X7" s="32" t="s">
        <v>393</v>
      </c>
      <c r="Y7" s="106" t="s">
        <v>395</v>
      </c>
      <c r="Z7" s="106" t="s">
        <v>396</v>
      </c>
      <c r="AA7" s="66" t="s">
        <v>394</v>
      </c>
      <c r="AB7" s="67" t="s">
        <v>397</v>
      </c>
      <c r="AC7" s="67" t="s">
        <v>398</v>
      </c>
      <c r="AD7" s="64" t="s">
        <v>399</v>
      </c>
      <c r="AE7" s="106" t="s">
        <v>400</v>
      </c>
      <c r="AF7" s="106" t="s">
        <v>401</v>
      </c>
      <c r="AG7" s="66" t="s">
        <v>402</v>
      </c>
      <c r="AH7" s="67" t="s">
        <v>403</v>
      </c>
      <c r="AI7" s="67" t="s">
        <v>404</v>
      </c>
      <c r="AJ7" s="64" t="s">
        <v>405</v>
      </c>
      <c r="AK7" s="106" t="s">
        <v>406</v>
      </c>
      <c r="AL7" s="106" t="s">
        <v>407</v>
      </c>
      <c r="AM7" s="66" t="s">
        <v>408</v>
      </c>
      <c r="AN7" s="67" t="s">
        <v>409</v>
      </c>
      <c r="AO7" s="76" t="s">
        <v>410</v>
      </c>
    </row>
    <row r="8" spans="1:41">
      <c r="A8" s="23" t="str">
        <f>INDEX('DDL Tables'!$B:$B,MATCH(C8,'DDL Tables'!$C:$C,0))</f>
        <v>TestKS</v>
      </c>
      <c r="B8" s="71" t="str">
        <f>INDEX('DDL Tables'!$F:$F,MATCH(C8,'DDL Tables'!$C:$C,0))</f>
        <v>SizeTieredCompactionStrategy</v>
      </c>
      <c r="C8" s="75" t="s">
        <v>50</v>
      </c>
      <c r="D8" s="5">
        <v>8.4064483642578125E-2</v>
      </c>
      <c r="E8" s="5">
        <v>8.4064483642578125E-2</v>
      </c>
      <c r="F8" s="5">
        <v>0</v>
      </c>
      <c r="G8" s="78">
        <v>0.12105369567871094</v>
      </c>
      <c r="H8" s="5">
        <v>0.12105369567871094</v>
      </c>
      <c r="I8" s="5">
        <v>0</v>
      </c>
      <c r="J8" s="78">
        <v>0.20918083190917969</v>
      </c>
      <c r="K8" s="5">
        <v>0.20918083190917969</v>
      </c>
      <c r="L8" s="5">
        <v>0</v>
      </c>
      <c r="M8" s="78">
        <v>0.30121994018554688</v>
      </c>
      <c r="N8" s="5">
        <v>0.30121994018554688</v>
      </c>
      <c r="O8" s="5">
        <v>0</v>
      </c>
      <c r="P8" s="78">
        <v>0.36146354675292969</v>
      </c>
      <c r="Q8" s="5">
        <v>0.36146354675292969</v>
      </c>
      <c r="R8" s="5">
        <v>0</v>
      </c>
      <c r="S8" s="78">
        <v>1.8650684356689453</v>
      </c>
      <c r="T8" s="5">
        <v>1.8650684356689453</v>
      </c>
      <c r="U8" s="5">
        <v>0</v>
      </c>
      <c r="W8" s="4" t="s">
        <v>49</v>
      </c>
      <c r="X8" s="5">
        <v>8.4064483642578125E-2</v>
      </c>
      <c r="Y8" s="5">
        <v>8.4064483642578125E-2</v>
      </c>
      <c r="Z8" s="5">
        <v>0</v>
      </c>
      <c r="AA8" s="78">
        <v>0.12105369567871094</v>
      </c>
      <c r="AB8" s="5">
        <v>0.12105369567871094</v>
      </c>
      <c r="AC8" s="5">
        <v>0</v>
      </c>
      <c r="AD8" s="78">
        <v>0.20918083190917969</v>
      </c>
      <c r="AE8" s="5">
        <v>0.20918083190917969</v>
      </c>
      <c r="AF8" s="5">
        <v>0</v>
      </c>
      <c r="AG8" s="78">
        <v>0.30121994018554688</v>
      </c>
      <c r="AH8" s="5">
        <v>0.30121994018554688</v>
      </c>
      <c r="AI8" s="5">
        <v>0</v>
      </c>
      <c r="AJ8" s="78">
        <v>0.36146354675292969</v>
      </c>
      <c r="AK8" s="5">
        <v>0.36146354675292969</v>
      </c>
      <c r="AL8" s="5">
        <v>0</v>
      </c>
      <c r="AM8" s="78">
        <v>1.8650684356689453</v>
      </c>
      <c r="AN8" s="5">
        <v>1.8650684356689453</v>
      </c>
      <c r="AO8" s="79">
        <v>0</v>
      </c>
    </row>
    <row r="9" spans="1:41">
      <c r="C9" s="75" t="s">
        <v>18</v>
      </c>
      <c r="D9" s="5">
        <v>8.4064483642578125E-2</v>
      </c>
      <c r="E9" s="5">
        <v>8.4064483642578125E-2</v>
      </c>
      <c r="F9" s="5">
        <v>0</v>
      </c>
      <c r="G9" s="78">
        <v>0.12105369567871094</v>
      </c>
      <c r="H9" s="5">
        <v>0.12105369567871094</v>
      </c>
      <c r="I9" s="5">
        <v>0</v>
      </c>
      <c r="J9" s="78">
        <v>0.20918083190917969</v>
      </c>
      <c r="K9" s="5">
        <v>0.20918083190917969</v>
      </c>
      <c r="L9" s="5">
        <v>0</v>
      </c>
      <c r="M9" s="78">
        <v>0.30121994018554688</v>
      </c>
      <c r="N9" s="5">
        <v>0.30121994018554688</v>
      </c>
      <c r="O9" s="5">
        <v>0</v>
      </c>
      <c r="P9" s="78">
        <v>0.36146354675292969</v>
      </c>
      <c r="Q9" s="5">
        <v>0.36146354675292969</v>
      </c>
      <c r="R9" s="5">
        <v>0</v>
      </c>
      <c r="S9" s="78">
        <v>1.8650684356689453</v>
      </c>
      <c r="T9" s="5">
        <v>1.8650684356689453</v>
      </c>
      <c r="U9" s="5">
        <v>0</v>
      </c>
      <c r="W9" s="75" t="s">
        <v>18</v>
      </c>
      <c r="X9" s="5">
        <v>8.4064483642578125E-2</v>
      </c>
      <c r="Y9" s="5">
        <v>8.4064483642578125E-2</v>
      </c>
      <c r="Z9" s="5">
        <v>0</v>
      </c>
      <c r="AA9" s="78">
        <v>0.12105369567871094</v>
      </c>
      <c r="AB9" s="5">
        <v>0.12105369567871094</v>
      </c>
      <c r="AC9" s="5">
        <v>0</v>
      </c>
      <c r="AD9" s="78">
        <v>0.20918083190917969</v>
      </c>
      <c r="AE9" s="5">
        <v>0.20918083190917969</v>
      </c>
      <c r="AF9" s="5">
        <v>0</v>
      </c>
      <c r="AG9" s="78">
        <v>0.30121994018554688</v>
      </c>
      <c r="AH9" s="5">
        <v>0.30121994018554688</v>
      </c>
      <c r="AI9" s="5">
        <v>0</v>
      </c>
      <c r="AJ9" s="78">
        <v>0.36146354675292969</v>
      </c>
      <c r="AK9" s="5">
        <v>0.36146354675292969</v>
      </c>
      <c r="AL9" s="5">
        <v>0</v>
      </c>
      <c r="AM9" s="78">
        <v>1.8650684356689453</v>
      </c>
      <c r="AN9" s="5">
        <v>1.8650684356689453</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390"/>
  <sheetViews>
    <sheetView workbookViewId="0">
      <selection activeCell="A13" sqref="A13"/>
    </sheetView>
  </sheetViews>
  <sheetFormatPr defaultRowHeight="15"/>
  <cols>
    <col min="1" max="1" width="46" style="81" customWidth="1"/>
    <col min="2" max="2" width="16.85546875" style="81" customWidth="1"/>
    <col min="3" max="4" width="9" style="81" customWidth="1"/>
    <col min="5" max="5" width="17.42578125" style="81" customWidth="1"/>
    <col min="6" max="6" width="16.85546875" style="81" customWidth="1"/>
    <col min="7" max="7" width="8.5703125" style="81" customWidth="1"/>
    <col min="8" max="8" width="26.5703125" style="81" customWidth="1"/>
    <col min="9" max="9" width="16.85546875" style="81" bestFit="1" customWidth="1"/>
    <col min="10" max="461" width="13.85546875" style="81" bestFit="1" customWidth="1"/>
    <col min="462" max="538" width="14.85546875" style="81" bestFit="1" customWidth="1"/>
    <col min="539" max="599" width="13.85546875" style="81" bestFit="1" customWidth="1"/>
    <col min="600" max="1328" width="14.85546875" style="81" bestFit="1" customWidth="1"/>
    <col min="1329" max="1965" width="13.85546875" style="81" bestFit="1" customWidth="1"/>
    <col min="1966" max="2041" width="14.85546875" style="81" bestFit="1" customWidth="1"/>
    <col min="2042" max="2042" width="7.28515625" style="81" customWidth="1"/>
    <col min="2043" max="2043" width="11.28515625" style="81" bestFit="1" customWidth="1"/>
    <col min="2044" max="16384" width="9.140625" style="81"/>
  </cols>
  <sheetData>
    <row r="1" spans="1:9">
      <c r="A1" s="132" t="s">
        <v>518</v>
      </c>
      <c r="B1" s="127"/>
      <c r="C1" s="127"/>
      <c r="D1" s="127"/>
      <c r="E1" s="127"/>
      <c r="F1" s="127"/>
      <c r="G1" s="127"/>
      <c r="H1" s="127"/>
      <c r="I1" s="127"/>
    </row>
    <row r="2" spans="1:9">
      <c r="A2" s="98"/>
      <c r="B2" s="98"/>
      <c r="C2" s="98"/>
      <c r="D2" s="98"/>
      <c r="E2" s="98"/>
      <c r="F2" s="98"/>
      <c r="G2" s="98"/>
      <c r="H2" s="107" t="s">
        <v>425</v>
      </c>
      <c r="I2" s="108" t="s">
        <v>16</v>
      </c>
    </row>
    <row r="3" spans="1:9">
      <c r="A3" s="98"/>
      <c r="B3" s="98"/>
      <c r="C3" s="98"/>
      <c r="D3" s="98"/>
      <c r="E3" s="98"/>
      <c r="F3" s="98"/>
      <c r="G3" s="98"/>
      <c r="H3" s="107" t="s">
        <v>0</v>
      </c>
      <c r="I3" s="108" t="s">
        <v>16</v>
      </c>
    </row>
    <row r="4" spans="1:9">
      <c r="A4" s="107" t="s">
        <v>425</v>
      </c>
      <c r="B4" s="108" t="s">
        <v>16</v>
      </c>
      <c r="D4" s="98"/>
      <c r="E4" s="107" t="s">
        <v>425</v>
      </c>
      <c r="F4" s="108" t="s">
        <v>16</v>
      </c>
      <c r="H4" s="107" t="s">
        <v>427</v>
      </c>
      <c r="I4" s="108" t="s">
        <v>16</v>
      </c>
    </row>
    <row r="5" spans="1:9">
      <c r="A5" s="107" t="s">
        <v>0</v>
      </c>
      <c r="B5" s="108" t="s">
        <v>16</v>
      </c>
      <c r="D5" s="98"/>
      <c r="E5" s="107" t="s">
        <v>0</v>
      </c>
      <c r="F5" s="108" t="s">
        <v>16</v>
      </c>
      <c r="H5" s="107" t="s">
        <v>444</v>
      </c>
      <c r="I5" s="108" t="s">
        <v>16</v>
      </c>
    </row>
    <row r="6" spans="1:9">
      <c r="A6" s="107" t="s">
        <v>427</v>
      </c>
      <c r="B6" s="108" t="s">
        <v>16</v>
      </c>
      <c r="D6" s="98"/>
      <c r="E6" s="107" t="s">
        <v>427</v>
      </c>
      <c r="F6" s="108" t="s">
        <v>16</v>
      </c>
      <c r="H6" s="107" t="s">
        <v>516</v>
      </c>
      <c r="I6" s="108" t="s">
        <v>16</v>
      </c>
    </row>
    <row r="7" spans="1:9">
      <c r="A7" s="107" t="s">
        <v>494</v>
      </c>
      <c r="B7" s="108" t="s">
        <v>16</v>
      </c>
      <c r="D7" s="98"/>
      <c r="E7" s="107" t="s">
        <v>494</v>
      </c>
      <c r="F7" s="108" t="s">
        <v>16</v>
      </c>
      <c r="H7" s="107" t="s">
        <v>1</v>
      </c>
      <c r="I7" s="108" t="s">
        <v>16</v>
      </c>
    </row>
    <row r="8" spans="1:9">
      <c r="D8" s="98"/>
      <c r="H8" s="107" t="s">
        <v>2</v>
      </c>
      <c r="I8" s="108" t="s">
        <v>16</v>
      </c>
    </row>
    <row r="9" spans="1:9">
      <c r="A9" s="107" t="s">
        <v>495</v>
      </c>
      <c r="B9" t="s">
        <v>496</v>
      </c>
      <c r="D9" s="99" t="s">
        <v>122</v>
      </c>
      <c r="E9" s="107" t="s">
        <v>296</v>
      </c>
      <c r="F9" t="s">
        <v>496</v>
      </c>
      <c r="H9"/>
      <c r="I9"/>
    </row>
    <row r="10" spans="1:9">
      <c r="A10" s="4" t="s">
        <v>498</v>
      </c>
      <c r="B10" s="5">
        <v>19</v>
      </c>
      <c r="D10" s="100" t="e">
        <f>INDEX('Node Information'!I:$I,MATCH(E10,'Node Information'!$A:$A,0))</f>
        <v>#N/A</v>
      </c>
      <c r="E10" s="4" t="s">
        <v>501</v>
      </c>
      <c r="F10" s="5"/>
      <c r="H10" s="107" t="s">
        <v>497</v>
      </c>
      <c r="I10" t="s">
        <v>496</v>
      </c>
    </row>
    <row r="11" spans="1:9">
      <c r="A11" s="4" t="s">
        <v>499</v>
      </c>
      <c r="B11" s="5">
        <v>46</v>
      </c>
      <c r="D11" s="100"/>
      <c r="E11" s="4" t="s">
        <v>49</v>
      </c>
      <c r="F11" s="5">
        <v>459</v>
      </c>
      <c r="H11" s="4" t="s">
        <v>501</v>
      </c>
      <c r="I11" s="5">
        <v>215</v>
      </c>
    </row>
    <row r="12" spans="1:9">
      <c r="A12" s="4" t="s">
        <v>500</v>
      </c>
      <c r="B12" s="5">
        <v>5</v>
      </c>
      <c r="E12" s="4" t="s">
        <v>18</v>
      </c>
      <c r="F12" s="5">
        <v>459</v>
      </c>
      <c r="H12" s="4" t="s">
        <v>508</v>
      </c>
      <c r="I12" s="5">
        <v>239</v>
      </c>
    </row>
    <row r="13" spans="1:9">
      <c r="A13" s="4" t="s">
        <v>502</v>
      </c>
      <c r="B13" s="5">
        <v>169</v>
      </c>
      <c r="E13"/>
      <c r="F13"/>
      <c r="H13" s="4" t="s">
        <v>520</v>
      </c>
      <c r="I13" s="5">
        <v>1</v>
      </c>
    </row>
    <row r="14" spans="1:9">
      <c r="A14" s="4" t="s">
        <v>503</v>
      </c>
      <c r="B14" s="5">
        <v>30</v>
      </c>
      <c r="E14"/>
      <c r="F14"/>
      <c r="H14" s="4" t="s">
        <v>521</v>
      </c>
      <c r="I14" s="5">
        <v>1</v>
      </c>
    </row>
    <row r="15" spans="1:9">
      <c r="A15" s="4" t="s">
        <v>504</v>
      </c>
      <c r="B15" s="5">
        <v>190</v>
      </c>
      <c r="E15"/>
      <c r="F15"/>
      <c r="H15" s="4" t="s">
        <v>522</v>
      </c>
      <c r="I15" s="5">
        <v>1</v>
      </c>
    </row>
    <row r="16" spans="1:9">
      <c r="A16" s="4" t="s">
        <v>501</v>
      </c>
      <c r="B16" s="5"/>
      <c r="E16"/>
      <c r="F16"/>
      <c r="H16" s="4" t="s">
        <v>523</v>
      </c>
      <c r="I16" s="5">
        <v>1</v>
      </c>
    </row>
    <row r="17" spans="1:9">
      <c r="A17" s="4" t="s">
        <v>18</v>
      </c>
      <c r="B17" s="5">
        <v>459</v>
      </c>
      <c r="E17"/>
      <c r="F17"/>
      <c r="H17" s="4" t="s">
        <v>524</v>
      </c>
      <c r="I17" s="5">
        <v>1</v>
      </c>
    </row>
    <row r="18" spans="1:9">
      <c r="A18"/>
      <c r="B18"/>
      <c r="E18"/>
      <c r="F18"/>
      <c r="H18" s="4" t="s">
        <v>18</v>
      </c>
      <c r="I18" s="5">
        <v>459</v>
      </c>
    </row>
    <row r="19" spans="1:9">
      <c r="A19"/>
      <c r="B19"/>
      <c r="H19"/>
      <c r="I19"/>
    </row>
    <row r="20" spans="1:9">
      <c r="A20"/>
      <c r="B20"/>
      <c r="H20"/>
      <c r="I20"/>
    </row>
    <row r="21" spans="1:9">
      <c r="A21"/>
      <c r="B21"/>
      <c r="H21"/>
      <c r="I21"/>
    </row>
    <row r="22" spans="1:9">
      <c r="A22"/>
      <c r="B22"/>
      <c r="H22"/>
      <c r="I22"/>
    </row>
    <row r="23" spans="1:9">
      <c r="A23"/>
      <c r="B23"/>
      <c r="H23"/>
      <c r="I23"/>
    </row>
    <row r="24" spans="1:9">
      <c r="A24"/>
      <c r="B24"/>
      <c r="H24"/>
      <c r="I24"/>
    </row>
    <row r="25" spans="1:9">
      <c r="A25"/>
      <c r="B25"/>
      <c r="H25"/>
      <c r="I25"/>
    </row>
    <row r="26" spans="1:9">
      <c r="A26"/>
      <c r="B26"/>
      <c r="H26"/>
      <c r="I26"/>
    </row>
    <row r="27" spans="1:9">
      <c r="A27"/>
      <c r="B27"/>
      <c r="H27"/>
      <c r="I27"/>
    </row>
    <row r="28" spans="1:9">
      <c r="A28"/>
      <c r="B28"/>
      <c r="H28"/>
      <c r="I28"/>
    </row>
    <row r="29" spans="1:9">
      <c r="A29"/>
      <c r="B29"/>
      <c r="H29"/>
      <c r="I29"/>
    </row>
    <row r="30" spans="1:9">
      <c r="A30"/>
      <c r="B30"/>
      <c r="H30"/>
      <c r="I30"/>
    </row>
    <row r="31" spans="1:9">
      <c r="A31"/>
      <c r="B31"/>
      <c r="H31"/>
      <c r="I31"/>
    </row>
    <row r="32" spans="1:9">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sheetData>
  <mergeCells count="1">
    <mergeCell ref="A1:I1"/>
  </mergeCells>
  <pageMargins left="0.7" right="0.7" top="0.75" bottom="0.75" header="0.3" footer="0.3"/>
  <pageSetup orientation="portrait" horizontalDpi="0" verticalDpi="0"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sqref="A1:K1"/>
    </sheetView>
  </sheetViews>
  <sheetFormatPr defaultRowHeight="15"/>
  <cols>
    <col min="1" max="1" width="19.7109375" style="101"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2" customWidth="1"/>
    <col min="10" max="10" width="20.7109375" style="11" customWidth="1"/>
    <col min="11" max="11" width="17.5703125" style="10" customWidth="1"/>
    <col min="12" max="16384" width="9.140625" style="81"/>
  </cols>
  <sheetData>
    <row r="1" spans="1:14" s="80" customFormat="1" ht="15" customHeight="1">
      <c r="A1" s="140" t="s">
        <v>428</v>
      </c>
      <c r="B1" s="141" t="s">
        <v>424</v>
      </c>
      <c r="C1" s="142" t="s">
        <v>424</v>
      </c>
      <c r="D1" s="142" t="s">
        <v>424</v>
      </c>
      <c r="E1" s="142" t="s">
        <v>424</v>
      </c>
      <c r="F1" s="142" t="s">
        <v>424</v>
      </c>
      <c r="G1" s="142" t="s">
        <v>424</v>
      </c>
      <c r="H1" s="142" t="s">
        <v>424</v>
      </c>
      <c r="I1" s="143"/>
      <c r="J1" s="144"/>
      <c r="K1" s="142"/>
    </row>
    <row r="2" spans="1:14" s="16" customFormat="1">
      <c r="A2" s="103" t="s">
        <v>425</v>
      </c>
      <c r="B2" s="14" t="s">
        <v>426</v>
      </c>
      <c r="C2" s="104" t="s">
        <v>0</v>
      </c>
      <c r="D2" s="104" t="s">
        <v>88</v>
      </c>
      <c r="E2" s="104" t="s">
        <v>427</v>
      </c>
      <c r="F2" s="104" t="s">
        <v>444</v>
      </c>
      <c r="G2" s="104" t="s">
        <v>445</v>
      </c>
      <c r="H2" s="104" t="s">
        <v>516</v>
      </c>
      <c r="I2" s="104" t="s">
        <v>494</v>
      </c>
      <c r="J2" s="104" t="s">
        <v>505</v>
      </c>
      <c r="K2" s="12" t="s">
        <v>295</v>
      </c>
      <c r="L2" s="16" t="s">
        <v>506</v>
      </c>
      <c r="M2" s="16" t="s">
        <v>1</v>
      </c>
      <c r="N2" s="16" t="s">
        <v>2</v>
      </c>
    </row>
    <row r="3" spans="1:14">
      <c r="A3" s="101">
        <v>42625.447916666701</v>
      </c>
      <c r="B3" s="19">
        <v>1.0416666666666701E-2</v>
      </c>
      <c r="C3" s="22" t="s">
        <v>108</v>
      </c>
      <c r="D3" s="22" t="s">
        <v>49</v>
      </c>
      <c r="E3" s="10" t="s">
        <v>495</v>
      </c>
      <c r="F3" s="10" t="s">
        <v>498</v>
      </c>
      <c r="G3" s="22" t="s">
        <v>507</v>
      </c>
      <c r="H3" s="22" t="s">
        <v>2</v>
      </c>
      <c r="I3" s="10" t="s">
        <v>508</v>
      </c>
      <c r="J3" s="102">
        <v>42625.4449555787</v>
      </c>
      <c r="K3" s="11">
        <v>2</v>
      </c>
      <c r="M3" s="81" t="s">
        <v>48</v>
      </c>
      <c r="N3" s="81" t="s">
        <v>50</v>
      </c>
    </row>
    <row r="4" spans="1:14">
      <c r="A4" s="101">
        <v>42625.447916666701</v>
      </c>
      <c r="B4" s="19">
        <v>1.0416666666666701E-2</v>
      </c>
      <c r="C4" s="22" t="s">
        <v>108</v>
      </c>
      <c r="D4" s="22" t="s">
        <v>49</v>
      </c>
      <c r="E4" s="10" t="s">
        <v>495</v>
      </c>
      <c r="F4" s="10" t="s">
        <v>499</v>
      </c>
      <c r="I4" s="10"/>
      <c r="J4" s="102">
        <v>42625.444970648103</v>
      </c>
      <c r="K4" s="11">
        <v>4</v>
      </c>
    </row>
    <row r="5" spans="1:14">
      <c r="A5" s="101">
        <v>42625.447916666701</v>
      </c>
      <c r="B5" s="19">
        <v>1.0416666666666701E-2</v>
      </c>
      <c r="C5" s="22" t="s">
        <v>108</v>
      </c>
      <c r="D5" s="22" t="s">
        <v>49</v>
      </c>
      <c r="E5" s="10" t="s">
        <v>495</v>
      </c>
      <c r="F5" s="10" t="s">
        <v>499</v>
      </c>
      <c r="I5" s="10"/>
      <c r="J5" s="102">
        <v>42625.444229074099</v>
      </c>
      <c r="K5" s="11">
        <v>2</v>
      </c>
    </row>
    <row r="6" spans="1:14">
      <c r="A6" s="101">
        <v>42625.447916666701</v>
      </c>
      <c r="B6" s="19">
        <v>1.0416666666666701E-2</v>
      </c>
      <c r="C6" s="22" t="s">
        <v>108</v>
      </c>
      <c r="D6" s="22" t="s">
        <v>49</v>
      </c>
      <c r="E6" s="10" t="s">
        <v>495</v>
      </c>
      <c r="F6" s="10" t="s">
        <v>499</v>
      </c>
      <c r="I6" s="10"/>
      <c r="J6" s="102">
        <v>42625.443622719897</v>
      </c>
      <c r="K6" s="11">
        <v>3</v>
      </c>
    </row>
    <row r="7" spans="1:14">
      <c r="A7" s="101">
        <v>42625.447916666701</v>
      </c>
      <c r="B7" s="19">
        <v>1.0416666666666701E-2</v>
      </c>
      <c r="C7" s="22" t="s">
        <v>108</v>
      </c>
      <c r="D7" s="22" t="s">
        <v>49</v>
      </c>
      <c r="E7" s="10" t="s">
        <v>495</v>
      </c>
      <c r="F7" s="10" t="s">
        <v>499</v>
      </c>
      <c r="I7" s="10"/>
      <c r="J7" s="102">
        <v>42625.441783912</v>
      </c>
      <c r="K7" s="11">
        <v>1</v>
      </c>
    </row>
    <row r="8" spans="1:14">
      <c r="A8" s="101">
        <v>42625.447916666701</v>
      </c>
      <c r="B8" s="19">
        <v>1.0416666666666701E-2</v>
      </c>
      <c r="C8" s="22" t="s">
        <v>108</v>
      </c>
      <c r="D8" s="22" t="s">
        <v>49</v>
      </c>
      <c r="E8" s="10" t="s">
        <v>495</v>
      </c>
      <c r="F8" s="10" t="s">
        <v>502</v>
      </c>
      <c r="I8" s="10"/>
      <c r="J8" s="102">
        <v>42625.444836736096</v>
      </c>
      <c r="K8" s="11">
        <v>11</v>
      </c>
    </row>
    <row r="9" spans="1:14">
      <c r="A9" s="101">
        <v>42625.447916666701</v>
      </c>
      <c r="B9" s="19">
        <v>1.0416666666666701E-2</v>
      </c>
      <c r="C9" s="22" t="s">
        <v>108</v>
      </c>
      <c r="D9" s="22" t="s">
        <v>49</v>
      </c>
      <c r="E9" s="10" t="s">
        <v>495</v>
      </c>
      <c r="F9" s="10" t="s">
        <v>502</v>
      </c>
      <c r="I9" s="10"/>
      <c r="J9" s="102">
        <v>42625.444828425898</v>
      </c>
      <c r="K9" s="11">
        <v>11</v>
      </c>
    </row>
    <row r="10" spans="1:14">
      <c r="A10" s="101">
        <v>42625.447916666701</v>
      </c>
      <c r="B10" s="19">
        <v>1.0416666666666701E-2</v>
      </c>
      <c r="C10" s="22" t="s">
        <v>108</v>
      </c>
      <c r="D10" s="22" t="s">
        <v>49</v>
      </c>
      <c r="E10" s="10" t="s">
        <v>495</v>
      </c>
      <c r="F10" s="10" t="s">
        <v>502</v>
      </c>
      <c r="I10" s="10"/>
      <c r="J10" s="102">
        <v>42625.444731979202</v>
      </c>
      <c r="K10" s="11">
        <v>11</v>
      </c>
    </row>
    <row r="11" spans="1:14">
      <c r="A11" s="101">
        <v>42625.447916666701</v>
      </c>
      <c r="B11" s="19">
        <v>1.0416666666666701E-2</v>
      </c>
      <c r="C11" s="22" t="s">
        <v>108</v>
      </c>
      <c r="D11" s="22" t="s">
        <v>49</v>
      </c>
      <c r="E11" s="10" t="s">
        <v>495</v>
      </c>
      <c r="F11" s="10" t="s">
        <v>502</v>
      </c>
      <c r="I11" s="10"/>
      <c r="J11" s="102">
        <v>42625.444706747701</v>
      </c>
      <c r="K11" s="11">
        <v>11</v>
      </c>
    </row>
    <row r="12" spans="1:14">
      <c r="A12" s="101">
        <v>42625.447916666701</v>
      </c>
      <c r="B12" s="19">
        <v>1.0416666666666701E-2</v>
      </c>
      <c r="C12" s="22" t="s">
        <v>108</v>
      </c>
      <c r="D12" s="22" t="s">
        <v>49</v>
      </c>
      <c r="E12" s="10" t="s">
        <v>495</v>
      </c>
      <c r="F12" s="10" t="s">
        <v>502</v>
      </c>
      <c r="I12" s="10"/>
      <c r="J12" s="102">
        <v>42625.439644768499</v>
      </c>
      <c r="K12" s="11">
        <v>2</v>
      </c>
    </row>
    <row r="13" spans="1:14">
      <c r="A13" s="101">
        <v>42625.447916666701</v>
      </c>
      <c r="B13" s="19">
        <v>1.0416666666666701E-2</v>
      </c>
      <c r="C13" s="22" t="s">
        <v>108</v>
      </c>
      <c r="D13" s="22" t="s">
        <v>49</v>
      </c>
      <c r="E13" s="10" t="s">
        <v>495</v>
      </c>
      <c r="F13" s="10" t="s">
        <v>503</v>
      </c>
      <c r="G13" s="10" t="s">
        <v>509</v>
      </c>
      <c r="H13" s="22" t="s">
        <v>2</v>
      </c>
      <c r="I13" s="22" t="s">
        <v>508</v>
      </c>
      <c r="J13" s="102">
        <v>42625.438546805599</v>
      </c>
      <c r="K13" s="11">
        <v>4</v>
      </c>
      <c r="M13" s="81" t="s">
        <v>48</v>
      </c>
      <c r="N13" s="81" t="s">
        <v>50</v>
      </c>
    </row>
    <row r="14" spans="1:14">
      <c r="A14" s="101">
        <v>42625.447916666701</v>
      </c>
      <c r="B14" s="19">
        <v>1.0416666666666701E-2</v>
      </c>
      <c r="C14" s="22" t="s">
        <v>108</v>
      </c>
      <c r="D14" s="22" t="s">
        <v>49</v>
      </c>
      <c r="E14" s="10" t="s">
        <v>495</v>
      </c>
      <c r="F14" s="10" t="s">
        <v>503</v>
      </c>
      <c r="G14" s="10" t="s">
        <v>509</v>
      </c>
      <c r="H14" s="22" t="s">
        <v>2</v>
      </c>
      <c r="I14" s="10" t="s">
        <v>508</v>
      </c>
      <c r="J14" s="102">
        <v>42625.438545740697</v>
      </c>
      <c r="K14" s="11">
        <v>3</v>
      </c>
      <c r="M14" s="81" t="s">
        <v>48</v>
      </c>
      <c r="N14" s="81" t="s">
        <v>50</v>
      </c>
    </row>
    <row r="15" spans="1:14">
      <c r="A15" s="101">
        <v>42625.447916666701</v>
      </c>
      <c r="B15" s="19">
        <v>1.0416666666666701E-2</v>
      </c>
      <c r="C15" s="22" t="s">
        <v>108</v>
      </c>
      <c r="D15" s="22" t="s">
        <v>49</v>
      </c>
      <c r="E15" s="10" t="s">
        <v>495</v>
      </c>
      <c r="F15" s="10" t="s">
        <v>503</v>
      </c>
      <c r="G15" s="10" t="s">
        <v>509</v>
      </c>
      <c r="H15" s="22" t="s">
        <v>2</v>
      </c>
      <c r="I15" s="10" t="s">
        <v>508</v>
      </c>
      <c r="J15" s="102">
        <v>42625.438545463003</v>
      </c>
      <c r="K15" s="11">
        <v>2</v>
      </c>
      <c r="M15" s="81" t="s">
        <v>48</v>
      </c>
      <c r="N15" s="81" t="s">
        <v>50</v>
      </c>
    </row>
    <row r="16" spans="1:14">
      <c r="A16" s="101">
        <v>42625.447916666701</v>
      </c>
      <c r="B16" s="19">
        <v>1.0416666666666701E-2</v>
      </c>
      <c r="C16" s="22" t="s">
        <v>108</v>
      </c>
      <c r="D16" s="22" t="s">
        <v>49</v>
      </c>
      <c r="E16" s="10" t="s">
        <v>495</v>
      </c>
      <c r="F16" s="10" t="s">
        <v>503</v>
      </c>
      <c r="G16" s="10" t="s">
        <v>509</v>
      </c>
      <c r="H16" s="22" t="s">
        <v>2</v>
      </c>
      <c r="I16" s="22" t="s">
        <v>508</v>
      </c>
      <c r="J16" s="102">
        <v>42625.438793113397</v>
      </c>
      <c r="K16" s="11">
        <v>1</v>
      </c>
      <c r="M16" s="81" t="s">
        <v>48</v>
      </c>
      <c r="N16" s="81" t="s">
        <v>50</v>
      </c>
    </row>
    <row r="17" spans="1:14">
      <c r="A17" s="101">
        <v>42625.447916666701</v>
      </c>
      <c r="B17" s="19">
        <v>1.0416666666666701E-2</v>
      </c>
      <c r="C17" s="22" t="s">
        <v>108</v>
      </c>
      <c r="D17" s="22" t="s">
        <v>49</v>
      </c>
      <c r="E17" s="10" t="s">
        <v>495</v>
      </c>
      <c r="F17" s="10" t="s">
        <v>503</v>
      </c>
      <c r="G17" s="10" t="s">
        <v>509</v>
      </c>
      <c r="H17" s="22" t="s">
        <v>2</v>
      </c>
      <c r="I17" s="10" t="s">
        <v>508</v>
      </c>
      <c r="J17" s="102">
        <v>42625.438771215297</v>
      </c>
      <c r="K17" s="11">
        <v>1</v>
      </c>
      <c r="M17" s="81" t="s">
        <v>48</v>
      </c>
      <c r="N17" s="81" t="s">
        <v>50</v>
      </c>
    </row>
    <row r="18" spans="1:14">
      <c r="A18" s="101">
        <v>42625.447916666701</v>
      </c>
      <c r="B18" s="19">
        <v>1.0416666666666701E-2</v>
      </c>
      <c r="C18" s="22" t="s">
        <v>108</v>
      </c>
      <c r="D18" s="22" t="s">
        <v>49</v>
      </c>
      <c r="E18" s="10" t="s">
        <v>495</v>
      </c>
      <c r="F18" s="10" t="s">
        <v>503</v>
      </c>
      <c r="G18" s="10" t="s">
        <v>509</v>
      </c>
      <c r="H18" s="22" t="s">
        <v>2</v>
      </c>
      <c r="I18" s="10" t="s">
        <v>508</v>
      </c>
      <c r="J18" s="102">
        <v>42625.438771053203</v>
      </c>
      <c r="K18" s="11">
        <v>1</v>
      </c>
      <c r="M18" s="81" t="s">
        <v>48</v>
      </c>
      <c r="N18" s="81" t="s">
        <v>50</v>
      </c>
    </row>
    <row r="19" spans="1:14">
      <c r="A19" s="101">
        <v>42625.447916666701</v>
      </c>
      <c r="B19" s="19">
        <v>1.0416666666666701E-2</v>
      </c>
      <c r="C19" s="22" t="s">
        <v>108</v>
      </c>
      <c r="D19" s="22" t="s">
        <v>49</v>
      </c>
      <c r="E19" s="10" t="s">
        <v>495</v>
      </c>
      <c r="F19" s="10" t="s">
        <v>503</v>
      </c>
      <c r="G19" s="10" t="s">
        <v>509</v>
      </c>
      <c r="H19" s="22" t="s">
        <v>2</v>
      </c>
      <c r="I19" s="10" t="s">
        <v>508</v>
      </c>
      <c r="J19" s="102">
        <v>42625.438943298599</v>
      </c>
      <c r="K19" s="11">
        <v>1</v>
      </c>
      <c r="M19" s="81" t="s">
        <v>48</v>
      </c>
      <c r="N19" s="81" t="s">
        <v>50</v>
      </c>
    </row>
    <row r="20" spans="1:14">
      <c r="A20" s="101">
        <v>42625.447916666701</v>
      </c>
      <c r="B20" s="19">
        <v>1.0416666666666701E-2</v>
      </c>
      <c r="C20" s="22" t="s">
        <v>108</v>
      </c>
      <c r="D20" s="22" t="s">
        <v>49</v>
      </c>
      <c r="E20" s="10" t="s">
        <v>495</v>
      </c>
      <c r="F20" s="10" t="s">
        <v>503</v>
      </c>
      <c r="G20" s="10" t="s">
        <v>509</v>
      </c>
      <c r="H20" s="22" t="s">
        <v>2</v>
      </c>
      <c r="I20" s="10" t="s">
        <v>508</v>
      </c>
      <c r="J20" s="102">
        <v>42625.438942592598</v>
      </c>
      <c r="K20" s="11">
        <v>1</v>
      </c>
      <c r="M20" s="81" t="s">
        <v>48</v>
      </c>
      <c r="N20" s="81" t="s">
        <v>50</v>
      </c>
    </row>
    <row r="21" spans="1:14">
      <c r="A21" s="101">
        <v>42625.447916666701</v>
      </c>
      <c r="B21" s="19">
        <v>1.0416666666666701E-2</v>
      </c>
      <c r="C21" s="22" t="s">
        <v>108</v>
      </c>
      <c r="D21" s="22" t="s">
        <v>49</v>
      </c>
      <c r="E21" s="10" t="s">
        <v>495</v>
      </c>
      <c r="F21" s="10" t="s">
        <v>503</v>
      </c>
      <c r="G21" s="10" t="s">
        <v>509</v>
      </c>
      <c r="H21" s="22" t="s">
        <v>2</v>
      </c>
      <c r="I21" s="10" t="s">
        <v>508</v>
      </c>
      <c r="J21" s="102">
        <v>42625.4389420023</v>
      </c>
      <c r="K21" s="11">
        <v>1</v>
      </c>
      <c r="M21" s="81" t="s">
        <v>48</v>
      </c>
      <c r="N21" s="81" t="s">
        <v>50</v>
      </c>
    </row>
    <row r="22" spans="1:14">
      <c r="A22" s="101">
        <v>42625.447916666701</v>
      </c>
      <c r="B22" s="19">
        <v>1.0416666666666701E-2</v>
      </c>
      <c r="C22" s="22" t="s">
        <v>108</v>
      </c>
      <c r="D22" s="22" t="s">
        <v>49</v>
      </c>
      <c r="E22" s="10" t="s">
        <v>495</v>
      </c>
      <c r="F22" s="10" t="s">
        <v>503</v>
      </c>
      <c r="G22" s="10" t="s">
        <v>509</v>
      </c>
      <c r="H22" s="22" t="s">
        <v>2</v>
      </c>
      <c r="I22" s="10" t="s">
        <v>508</v>
      </c>
      <c r="J22" s="102">
        <v>42625.438896134299</v>
      </c>
      <c r="K22" s="11">
        <v>1</v>
      </c>
      <c r="M22" s="81" t="s">
        <v>48</v>
      </c>
      <c r="N22" s="81" t="s">
        <v>50</v>
      </c>
    </row>
    <row r="23" spans="1:14">
      <c r="A23" s="101">
        <v>42625.447916666701</v>
      </c>
      <c r="B23" s="19">
        <v>1.0416666666666701E-2</v>
      </c>
      <c r="C23" s="22" t="s">
        <v>108</v>
      </c>
      <c r="D23" s="22" t="s">
        <v>49</v>
      </c>
      <c r="E23" s="10" t="s">
        <v>495</v>
      </c>
      <c r="F23" s="10" t="s">
        <v>503</v>
      </c>
      <c r="G23" s="10" t="s">
        <v>509</v>
      </c>
      <c r="H23" s="22" t="s">
        <v>2</v>
      </c>
      <c r="I23" s="10" t="s">
        <v>508</v>
      </c>
      <c r="J23" s="102">
        <v>42625.438895173596</v>
      </c>
      <c r="K23" s="11">
        <v>1</v>
      </c>
      <c r="M23" s="81" t="s">
        <v>48</v>
      </c>
      <c r="N23" s="81" t="s">
        <v>50</v>
      </c>
    </row>
    <row r="24" spans="1:14">
      <c r="A24" s="101">
        <v>42625.447916666701</v>
      </c>
      <c r="B24" s="19">
        <v>1.0416666666666701E-2</v>
      </c>
      <c r="C24" s="22" t="s">
        <v>108</v>
      </c>
      <c r="D24" s="22" t="s">
        <v>49</v>
      </c>
      <c r="E24" s="10" t="s">
        <v>495</v>
      </c>
      <c r="F24" s="10" t="s">
        <v>504</v>
      </c>
      <c r="G24" s="10" t="s">
        <v>510</v>
      </c>
      <c r="H24" s="22" t="s">
        <v>2</v>
      </c>
      <c r="I24" s="22" t="s">
        <v>508</v>
      </c>
      <c r="J24" s="102">
        <v>42625.445107256899</v>
      </c>
      <c r="K24" s="11">
        <v>9</v>
      </c>
      <c r="M24" s="81" t="s">
        <v>48</v>
      </c>
      <c r="N24" s="81" t="s">
        <v>50</v>
      </c>
    </row>
    <row r="25" spans="1:14">
      <c r="A25" s="101">
        <v>42625.447916666701</v>
      </c>
      <c r="B25" s="19">
        <v>1.0416666666666701E-2</v>
      </c>
      <c r="C25" s="22" t="s">
        <v>108</v>
      </c>
      <c r="D25" s="22" t="s">
        <v>49</v>
      </c>
      <c r="E25" s="10" t="s">
        <v>495</v>
      </c>
      <c r="F25" s="10" t="s">
        <v>504</v>
      </c>
      <c r="G25" s="10" t="s">
        <v>510</v>
      </c>
      <c r="H25" s="22" t="s">
        <v>2</v>
      </c>
      <c r="I25" s="22" t="s">
        <v>508</v>
      </c>
      <c r="J25" s="102">
        <v>42625.444668923599</v>
      </c>
      <c r="K25" s="11">
        <v>7</v>
      </c>
      <c r="M25" s="81" t="s">
        <v>48</v>
      </c>
      <c r="N25" s="81" t="s">
        <v>50</v>
      </c>
    </row>
    <row r="26" spans="1:14">
      <c r="A26" s="101">
        <v>42625.447916666701</v>
      </c>
      <c r="B26" s="19">
        <v>1.0416666666666701E-2</v>
      </c>
      <c r="C26" s="22" t="s">
        <v>108</v>
      </c>
      <c r="D26" s="22" t="s">
        <v>49</v>
      </c>
      <c r="E26" s="10" t="s">
        <v>495</v>
      </c>
      <c r="F26" s="10" t="s">
        <v>504</v>
      </c>
      <c r="G26" s="10" t="s">
        <v>510</v>
      </c>
      <c r="H26" s="22" t="s">
        <v>2</v>
      </c>
      <c r="I26" s="10" t="s">
        <v>508</v>
      </c>
      <c r="J26" s="102">
        <v>42625.4442489352</v>
      </c>
      <c r="K26" s="11">
        <v>4</v>
      </c>
      <c r="M26" s="81" t="s">
        <v>48</v>
      </c>
      <c r="N26" s="81" t="s">
        <v>50</v>
      </c>
    </row>
    <row r="27" spans="1:14">
      <c r="A27" s="101">
        <v>42625.447916666701</v>
      </c>
      <c r="B27" s="19">
        <v>1.0416666666666701E-2</v>
      </c>
      <c r="C27" s="22" t="s">
        <v>108</v>
      </c>
      <c r="D27" s="22" t="s">
        <v>49</v>
      </c>
      <c r="E27" s="10" t="s">
        <v>495</v>
      </c>
      <c r="F27" s="10" t="s">
        <v>504</v>
      </c>
      <c r="G27" s="10" t="s">
        <v>510</v>
      </c>
      <c r="H27" s="22" t="s">
        <v>2</v>
      </c>
      <c r="I27" s="10" t="s">
        <v>508</v>
      </c>
      <c r="J27" s="102">
        <v>42625.443937488402</v>
      </c>
      <c r="K27" s="11">
        <v>5</v>
      </c>
      <c r="M27" s="81" t="s">
        <v>48</v>
      </c>
      <c r="N27" s="81" t="s">
        <v>50</v>
      </c>
    </row>
    <row r="28" spans="1:14">
      <c r="A28" s="101">
        <v>42625.447916666701</v>
      </c>
      <c r="B28" s="19">
        <v>1.0416666666666701E-2</v>
      </c>
      <c r="C28" s="22" t="s">
        <v>108</v>
      </c>
      <c r="D28" s="22" t="s">
        <v>49</v>
      </c>
      <c r="E28" s="10" t="s">
        <v>495</v>
      </c>
      <c r="F28" s="10" t="s">
        <v>504</v>
      </c>
      <c r="G28" s="10" t="s">
        <v>510</v>
      </c>
      <c r="H28" s="22" t="s">
        <v>2</v>
      </c>
      <c r="I28" s="10" t="s">
        <v>508</v>
      </c>
      <c r="J28" s="102">
        <v>42625.443808344899</v>
      </c>
      <c r="K28" s="11">
        <v>5</v>
      </c>
      <c r="M28" s="81" t="s">
        <v>48</v>
      </c>
      <c r="N28" s="81" t="s">
        <v>50</v>
      </c>
    </row>
    <row r="29" spans="1:14">
      <c r="A29" s="101">
        <v>42625.447916666701</v>
      </c>
      <c r="B29" s="19">
        <v>1.0416666666666701E-2</v>
      </c>
      <c r="C29" s="22" t="s">
        <v>108</v>
      </c>
      <c r="D29" s="22" t="s">
        <v>49</v>
      </c>
      <c r="E29" s="10" t="s">
        <v>495</v>
      </c>
      <c r="F29" s="10" t="s">
        <v>504</v>
      </c>
      <c r="G29" s="10" t="s">
        <v>510</v>
      </c>
      <c r="H29" s="22" t="s">
        <v>2</v>
      </c>
      <c r="I29" s="22" t="s">
        <v>508</v>
      </c>
      <c r="J29" s="102">
        <v>42625.444967418996</v>
      </c>
      <c r="K29" s="11">
        <v>7</v>
      </c>
      <c r="M29" s="81" t="s">
        <v>48</v>
      </c>
      <c r="N29" s="81" t="s">
        <v>50</v>
      </c>
    </row>
    <row r="30" spans="1:14">
      <c r="A30" s="101">
        <v>42625.447916666701</v>
      </c>
      <c r="B30" s="19">
        <v>1.0416666666666701E-2</v>
      </c>
      <c r="C30" s="22" t="s">
        <v>108</v>
      </c>
      <c r="D30" s="22" t="s">
        <v>49</v>
      </c>
      <c r="E30" s="10" t="s">
        <v>495</v>
      </c>
      <c r="F30" s="10" t="s">
        <v>504</v>
      </c>
      <c r="G30" s="10" t="s">
        <v>510</v>
      </c>
      <c r="H30" s="22" t="s">
        <v>2</v>
      </c>
      <c r="I30" s="10" t="s">
        <v>508</v>
      </c>
      <c r="J30" s="102">
        <v>42625.444642419003</v>
      </c>
      <c r="K30" s="11">
        <v>5</v>
      </c>
      <c r="M30" s="81" t="s">
        <v>48</v>
      </c>
      <c r="N30" s="81" t="s">
        <v>50</v>
      </c>
    </row>
    <row r="31" spans="1:14">
      <c r="A31" s="101">
        <v>42625.447916666701</v>
      </c>
      <c r="B31" s="19">
        <v>1.0416666666666701E-2</v>
      </c>
      <c r="C31" s="22" t="s">
        <v>108</v>
      </c>
      <c r="D31" s="22" t="s">
        <v>49</v>
      </c>
      <c r="E31" s="10" t="s">
        <v>495</v>
      </c>
      <c r="F31" s="10" t="s">
        <v>504</v>
      </c>
      <c r="G31" s="10" t="s">
        <v>510</v>
      </c>
      <c r="H31" s="22" t="s">
        <v>2</v>
      </c>
      <c r="I31" s="10" t="s">
        <v>508</v>
      </c>
      <c r="J31" s="102">
        <v>42625.444506574102</v>
      </c>
      <c r="K31" s="11">
        <v>5</v>
      </c>
      <c r="M31" s="81" t="s">
        <v>48</v>
      </c>
      <c r="N31" s="81" t="s">
        <v>50</v>
      </c>
    </row>
    <row r="32" spans="1:14">
      <c r="A32" s="101">
        <v>42625.447916666701</v>
      </c>
      <c r="B32" s="19">
        <v>1.0416666666666701E-2</v>
      </c>
      <c r="C32" s="22" t="s">
        <v>108</v>
      </c>
      <c r="D32" s="22" t="s">
        <v>49</v>
      </c>
      <c r="E32" s="10" t="s">
        <v>495</v>
      </c>
      <c r="F32" s="10" t="s">
        <v>504</v>
      </c>
      <c r="G32" s="10" t="s">
        <v>510</v>
      </c>
      <c r="H32" s="22" t="s">
        <v>2</v>
      </c>
      <c r="I32" s="10" t="s">
        <v>508</v>
      </c>
      <c r="J32" s="102">
        <v>42625.443731342602</v>
      </c>
      <c r="K32" s="11">
        <v>3</v>
      </c>
      <c r="M32" s="81" t="s">
        <v>48</v>
      </c>
      <c r="N32" s="81" t="s">
        <v>50</v>
      </c>
    </row>
    <row r="33" spans="1:14">
      <c r="A33" s="101">
        <v>42625.447916666701</v>
      </c>
      <c r="B33" s="19">
        <v>1.0416666666666701E-2</v>
      </c>
      <c r="C33" s="22" t="s">
        <v>108</v>
      </c>
      <c r="D33" s="22" t="s">
        <v>49</v>
      </c>
      <c r="E33" s="10" t="s">
        <v>495</v>
      </c>
      <c r="F33" s="10" t="s">
        <v>504</v>
      </c>
      <c r="G33" s="10" t="s">
        <v>510</v>
      </c>
      <c r="H33" s="22" t="s">
        <v>2</v>
      </c>
      <c r="I33" s="10" t="s">
        <v>508</v>
      </c>
      <c r="J33" s="102">
        <v>42625.443672905101</v>
      </c>
      <c r="K33" s="11">
        <v>1</v>
      </c>
      <c r="M33" s="81" t="s">
        <v>48</v>
      </c>
      <c r="N33" s="81" t="s">
        <v>50</v>
      </c>
    </row>
    <row r="34" spans="1:14">
      <c r="A34" s="101">
        <v>42625.447916666701</v>
      </c>
      <c r="B34" s="19">
        <v>1.0416666666666701E-2</v>
      </c>
      <c r="C34" s="22" t="s">
        <v>108</v>
      </c>
      <c r="D34" s="22" t="s">
        <v>49</v>
      </c>
      <c r="E34" s="10" t="s">
        <v>495</v>
      </c>
      <c r="F34" s="10" t="s">
        <v>499</v>
      </c>
      <c r="I34" s="10"/>
      <c r="J34" s="102">
        <v>42625.444821585603</v>
      </c>
      <c r="K34" s="11">
        <v>2</v>
      </c>
    </row>
    <row r="35" spans="1:14">
      <c r="A35" s="101">
        <v>42625.447916666701</v>
      </c>
      <c r="B35" s="19">
        <v>1.0416666666666701E-2</v>
      </c>
      <c r="C35" s="22" t="s">
        <v>108</v>
      </c>
      <c r="D35" s="22" t="s">
        <v>49</v>
      </c>
      <c r="E35" s="10" t="s">
        <v>495</v>
      </c>
      <c r="F35" s="10" t="s">
        <v>503</v>
      </c>
      <c r="G35" s="10" t="s">
        <v>509</v>
      </c>
      <c r="H35" s="22" t="s">
        <v>2</v>
      </c>
      <c r="I35" s="10" t="s">
        <v>508</v>
      </c>
      <c r="J35" s="102">
        <v>42625.438943796296</v>
      </c>
      <c r="K35" s="11">
        <v>1</v>
      </c>
      <c r="M35" s="81" t="s">
        <v>48</v>
      </c>
      <c r="N35" s="81" t="s">
        <v>50</v>
      </c>
    </row>
    <row r="36" spans="1:14">
      <c r="A36" s="101">
        <v>42625.4375</v>
      </c>
      <c r="B36" s="19">
        <v>1.0416666666666701E-2</v>
      </c>
      <c r="C36" s="22" t="s">
        <v>108</v>
      </c>
      <c r="D36" s="22" t="s">
        <v>49</v>
      </c>
      <c r="E36" s="10" t="s">
        <v>495</v>
      </c>
      <c r="F36" s="10" t="s">
        <v>498</v>
      </c>
      <c r="G36" s="10" t="s">
        <v>507</v>
      </c>
      <c r="H36" s="22" t="s">
        <v>2</v>
      </c>
      <c r="I36" s="22" t="s">
        <v>508</v>
      </c>
      <c r="J36" s="102">
        <v>42625.435046516199</v>
      </c>
      <c r="K36" s="11">
        <v>4</v>
      </c>
      <c r="M36" s="81" t="s">
        <v>48</v>
      </c>
      <c r="N36" s="81" t="s">
        <v>50</v>
      </c>
    </row>
    <row r="37" spans="1:14">
      <c r="A37" s="101">
        <v>42625.4375</v>
      </c>
      <c r="B37" s="19">
        <v>1.0416666666666701E-2</v>
      </c>
      <c r="C37" s="22" t="s">
        <v>108</v>
      </c>
      <c r="D37" s="22" t="s">
        <v>49</v>
      </c>
      <c r="E37" s="10" t="s">
        <v>495</v>
      </c>
      <c r="F37" s="10" t="s">
        <v>498</v>
      </c>
      <c r="G37" s="10" t="s">
        <v>507</v>
      </c>
      <c r="H37" s="22" t="s">
        <v>2</v>
      </c>
      <c r="I37" s="10" t="s">
        <v>508</v>
      </c>
      <c r="J37" s="102">
        <v>42625.434333391197</v>
      </c>
      <c r="K37" s="11">
        <v>1</v>
      </c>
      <c r="M37" s="81" t="s">
        <v>48</v>
      </c>
      <c r="N37" s="81" t="s">
        <v>50</v>
      </c>
    </row>
    <row r="38" spans="1:14">
      <c r="A38" s="101">
        <v>42625.4375</v>
      </c>
      <c r="B38" s="19">
        <v>1.0416666666666701E-2</v>
      </c>
      <c r="C38" s="22" t="s">
        <v>108</v>
      </c>
      <c r="D38" s="22" t="s">
        <v>49</v>
      </c>
      <c r="E38" s="10" t="s">
        <v>495</v>
      </c>
      <c r="F38" s="10" t="s">
        <v>498</v>
      </c>
      <c r="G38" s="10" t="s">
        <v>507</v>
      </c>
      <c r="H38" s="22" t="s">
        <v>2</v>
      </c>
      <c r="I38" s="10" t="s">
        <v>508</v>
      </c>
      <c r="J38" s="102">
        <v>42625.4335628935</v>
      </c>
      <c r="K38" s="11">
        <v>2</v>
      </c>
      <c r="M38" s="81" t="s">
        <v>48</v>
      </c>
      <c r="N38" s="81" t="s">
        <v>50</v>
      </c>
    </row>
    <row r="39" spans="1:14">
      <c r="A39" s="101">
        <v>42625.4375</v>
      </c>
      <c r="B39" s="19">
        <v>1.0416666666666701E-2</v>
      </c>
      <c r="C39" s="22" t="s">
        <v>108</v>
      </c>
      <c r="D39" s="22" t="s">
        <v>49</v>
      </c>
      <c r="E39" s="10" t="s">
        <v>495</v>
      </c>
      <c r="F39" s="10" t="s">
        <v>499</v>
      </c>
      <c r="I39" s="10"/>
      <c r="J39" s="102">
        <v>42625.436727592598</v>
      </c>
      <c r="K39" s="11">
        <v>1</v>
      </c>
    </row>
    <row r="40" spans="1:14">
      <c r="A40" s="101">
        <v>42625.4375</v>
      </c>
      <c r="B40" s="19">
        <v>1.0416666666666701E-2</v>
      </c>
      <c r="C40" s="22" t="s">
        <v>108</v>
      </c>
      <c r="D40" s="22" t="s">
        <v>49</v>
      </c>
      <c r="E40" s="10" t="s">
        <v>495</v>
      </c>
      <c r="F40" s="10" t="s">
        <v>499</v>
      </c>
      <c r="I40" s="10"/>
      <c r="J40" s="102">
        <v>42625.435050428197</v>
      </c>
      <c r="K40" s="11">
        <v>3</v>
      </c>
    </row>
    <row r="41" spans="1:14">
      <c r="A41" s="101">
        <v>42625.4375</v>
      </c>
      <c r="B41" s="19">
        <v>1.0416666666666701E-2</v>
      </c>
      <c r="C41" s="22" t="s">
        <v>108</v>
      </c>
      <c r="D41" s="22" t="s">
        <v>49</v>
      </c>
      <c r="E41" s="10" t="s">
        <v>495</v>
      </c>
      <c r="F41" s="10" t="s">
        <v>499</v>
      </c>
      <c r="I41" s="10"/>
      <c r="J41" s="102">
        <v>42625.433836689801</v>
      </c>
      <c r="K41" s="11">
        <v>3</v>
      </c>
    </row>
    <row r="42" spans="1:14">
      <c r="A42" s="101">
        <v>42625.4375</v>
      </c>
      <c r="B42" s="19">
        <v>1.0416666666666701E-2</v>
      </c>
      <c r="C42" s="22" t="s">
        <v>108</v>
      </c>
      <c r="D42" s="22" t="s">
        <v>49</v>
      </c>
      <c r="E42" s="10" t="s">
        <v>495</v>
      </c>
      <c r="F42" s="10" t="s">
        <v>499</v>
      </c>
      <c r="I42" s="10"/>
      <c r="J42" s="102">
        <v>42625.433578333301</v>
      </c>
      <c r="K42" s="11">
        <v>4</v>
      </c>
    </row>
    <row r="43" spans="1:14">
      <c r="A43" s="101">
        <v>42625.4375</v>
      </c>
      <c r="B43" s="19">
        <v>1.0416666666666701E-2</v>
      </c>
      <c r="C43" s="22" t="s">
        <v>108</v>
      </c>
      <c r="D43" s="22" t="s">
        <v>49</v>
      </c>
      <c r="E43" s="10" t="s">
        <v>495</v>
      </c>
      <c r="F43" s="10" t="s">
        <v>500</v>
      </c>
      <c r="G43" s="10" t="s">
        <v>511</v>
      </c>
      <c r="H43" s="10" t="s">
        <v>517</v>
      </c>
      <c r="I43" s="22" t="s">
        <v>520</v>
      </c>
      <c r="J43" s="102">
        <v>42625.4281066435</v>
      </c>
      <c r="K43" s="11">
        <v>1</v>
      </c>
    </row>
    <row r="44" spans="1:14">
      <c r="A44" s="101">
        <v>42625.4375</v>
      </c>
      <c r="B44" s="19">
        <v>1.0416666666666701E-2</v>
      </c>
      <c r="C44" s="22" t="s">
        <v>108</v>
      </c>
      <c r="D44" s="22" t="s">
        <v>49</v>
      </c>
      <c r="E44" s="10" t="s">
        <v>495</v>
      </c>
      <c r="F44" s="10" t="s">
        <v>502</v>
      </c>
      <c r="I44" s="10"/>
      <c r="J44" s="102">
        <v>42625.437197847197</v>
      </c>
      <c r="K44" s="11">
        <v>15</v>
      </c>
    </row>
    <row r="45" spans="1:14">
      <c r="A45" s="101">
        <v>42625.4375</v>
      </c>
      <c r="B45" s="19">
        <v>1.0416666666666701E-2</v>
      </c>
      <c r="C45" s="22" t="s">
        <v>108</v>
      </c>
      <c r="D45" s="22" t="s">
        <v>49</v>
      </c>
      <c r="E45" s="10" t="s">
        <v>495</v>
      </c>
      <c r="F45" s="10" t="s">
        <v>502</v>
      </c>
      <c r="I45" s="10"/>
      <c r="J45" s="102">
        <v>42625.437189525503</v>
      </c>
      <c r="K45" s="11">
        <v>15</v>
      </c>
    </row>
    <row r="46" spans="1:14">
      <c r="A46" s="101">
        <v>42625.4375</v>
      </c>
      <c r="B46" s="19">
        <v>1.0416666666666701E-2</v>
      </c>
      <c r="C46" s="22" t="s">
        <v>108</v>
      </c>
      <c r="D46" s="22" t="s">
        <v>49</v>
      </c>
      <c r="E46" s="10" t="s">
        <v>495</v>
      </c>
      <c r="F46" s="10" t="s">
        <v>502</v>
      </c>
      <c r="I46" s="10"/>
      <c r="J46" s="102">
        <v>42625.437093090302</v>
      </c>
      <c r="K46" s="11">
        <v>15</v>
      </c>
    </row>
    <row r="47" spans="1:14">
      <c r="A47" s="101">
        <v>42625.4375</v>
      </c>
      <c r="B47" s="19">
        <v>1.0416666666666701E-2</v>
      </c>
      <c r="C47" s="22" t="s">
        <v>108</v>
      </c>
      <c r="D47" s="22" t="s">
        <v>49</v>
      </c>
      <c r="E47" s="10" t="s">
        <v>495</v>
      </c>
      <c r="F47" s="10" t="s">
        <v>502</v>
      </c>
      <c r="I47" s="10"/>
      <c r="J47" s="102">
        <v>42625.437067858802</v>
      </c>
      <c r="K47" s="11">
        <v>15</v>
      </c>
    </row>
    <row r="48" spans="1:14">
      <c r="A48" s="101">
        <v>42625.4375</v>
      </c>
      <c r="B48" s="19">
        <v>1.0416666666666701E-2</v>
      </c>
      <c r="C48" s="22" t="s">
        <v>108</v>
      </c>
      <c r="D48" s="22" t="s">
        <v>49</v>
      </c>
      <c r="E48" s="10" t="s">
        <v>495</v>
      </c>
      <c r="F48" s="10" t="s">
        <v>502</v>
      </c>
      <c r="I48" s="10"/>
      <c r="J48" s="102">
        <v>42625.429922546296</v>
      </c>
      <c r="K48" s="11">
        <v>3</v>
      </c>
    </row>
    <row r="49" spans="1:14">
      <c r="A49" s="101">
        <v>42625.4375</v>
      </c>
      <c r="B49" s="19">
        <v>1.0416666666666701E-2</v>
      </c>
      <c r="C49" s="22" t="s">
        <v>108</v>
      </c>
      <c r="D49" s="22" t="s">
        <v>49</v>
      </c>
      <c r="E49" s="10" t="s">
        <v>495</v>
      </c>
      <c r="F49" s="10" t="s">
        <v>503</v>
      </c>
      <c r="G49" s="10" t="s">
        <v>509</v>
      </c>
      <c r="H49" s="22" t="s">
        <v>2</v>
      </c>
      <c r="I49" s="10" t="s">
        <v>508</v>
      </c>
      <c r="J49" s="102">
        <v>42625.428740000003</v>
      </c>
      <c r="K49" s="11">
        <v>1</v>
      </c>
      <c r="M49" s="81" t="s">
        <v>48</v>
      </c>
      <c r="N49" s="81" t="s">
        <v>50</v>
      </c>
    </row>
    <row r="50" spans="1:14">
      <c r="A50" s="101">
        <v>42625.4375</v>
      </c>
      <c r="B50" s="19">
        <v>1.0416666666666701E-2</v>
      </c>
      <c r="C50" s="22" t="s">
        <v>108</v>
      </c>
      <c r="D50" s="22" t="s">
        <v>49</v>
      </c>
      <c r="E50" s="10" t="s">
        <v>495</v>
      </c>
      <c r="F50" s="10" t="s">
        <v>503</v>
      </c>
      <c r="G50" s="10" t="s">
        <v>509</v>
      </c>
      <c r="H50" s="22" t="s">
        <v>2</v>
      </c>
      <c r="I50" s="10" t="s">
        <v>508</v>
      </c>
      <c r="J50" s="102">
        <v>42625.428721620403</v>
      </c>
      <c r="K50" s="11">
        <v>1</v>
      </c>
      <c r="M50" s="81" t="s">
        <v>48</v>
      </c>
      <c r="N50" s="81" t="s">
        <v>50</v>
      </c>
    </row>
    <row r="51" spans="1:14">
      <c r="A51" s="101">
        <v>42625.4375</v>
      </c>
      <c r="B51" s="19">
        <v>1.0416666666666701E-2</v>
      </c>
      <c r="C51" s="22" t="s">
        <v>108</v>
      </c>
      <c r="D51" s="22" t="s">
        <v>49</v>
      </c>
      <c r="E51" s="10" t="s">
        <v>495</v>
      </c>
      <c r="F51" s="10" t="s">
        <v>503</v>
      </c>
      <c r="G51" s="10" t="s">
        <v>509</v>
      </c>
      <c r="H51" s="22" t="s">
        <v>2</v>
      </c>
      <c r="I51" s="10" t="s">
        <v>508</v>
      </c>
      <c r="J51" s="102">
        <v>42625.428928530098</v>
      </c>
      <c r="K51" s="11">
        <v>1</v>
      </c>
      <c r="M51" s="81" t="s">
        <v>48</v>
      </c>
      <c r="N51" s="81" t="s">
        <v>50</v>
      </c>
    </row>
    <row r="52" spans="1:14">
      <c r="A52" s="101">
        <v>42625.4375</v>
      </c>
      <c r="B52" s="19">
        <v>1.0416666666666701E-2</v>
      </c>
      <c r="C52" s="22" t="s">
        <v>108</v>
      </c>
      <c r="D52" s="22" t="s">
        <v>49</v>
      </c>
      <c r="E52" s="10" t="s">
        <v>495</v>
      </c>
      <c r="F52" s="10" t="s">
        <v>503</v>
      </c>
      <c r="G52" s="10" t="s">
        <v>509</v>
      </c>
      <c r="H52" s="22" t="s">
        <v>2</v>
      </c>
      <c r="I52" s="10" t="s">
        <v>508</v>
      </c>
      <c r="J52" s="102">
        <v>42625.428927650501</v>
      </c>
      <c r="K52" s="11">
        <v>2</v>
      </c>
      <c r="M52" s="81" t="s">
        <v>48</v>
      </c>
      <c r="N52" s="81" t="s">
        <v>50</v>
      </c>
    </row>
    <row r="53" spans="1:14">
      <c r="A53" s="101">
        <v>42625.4375</v>
      </c>
      <c r="B53" s="19">
        <v>1.0416666666666701E-2</v>
      </c>
      <c r="C53" s="22" t="s">
        <v>108</v>
      </c>
      <c r="D53" s="22" t="s">
        <v>49</v>
      </c>
      <c r="E53" s="10" t="s">
        <v>495</v>
      </c>
      <c r="F53" s="10" t="s">
        <v>503</v>
      </c>
      <c r="G53" s="10" t="s">
        <v>509</v>
      </c>
      <c r="H53" s="22" t="s">
        <v>2</v>
      </c>
      <c r="I53" s="10" t="s">
        <v>508</v>
      </c>
      <c r="J53" s="102">
        <v>42625.428878877297</v>
      </c>
      <c r="K53" s="11">
        <v>1</v>
      </c>
      <c r="M53" s="81" t="s">
        <v>48</v>
      </c>
      <c r="N53" s="81" t="s">
        <v>50</v>
      </c>
    </row>
    <row r="54" spans="1:14">
      <c r="A54" s="101">
        <v>42625.4375</v>
      </c>
      <c r="B54" s="19">
        <v>1.0416666666666701E-2</v>
      </c>
      <c r="C54" s="22" t="s">
        <v>108</v>
      </c>
      <c r="D54" s="22" t="s">
        <v>49</v>
      </c>
      <c r="E54" s="10" t="s">
        <v>495</v>
      </c>
      <c r="F54" s="10" t="s">
        <v>503</v>
      </c>
      <c r="G54" s="10" t="s">
        <v>509</v>
      </c>
      <c r="H54" s="22" t="s">
        <v>2</v>
      </c>
      <c r="I54" s="10" t="s">
        <v>508</v>
      </c>
      <c r="J54" s="102">
        <v>42625.428877129598</v>
      </c>
      <c r="K54" s="11">
        <v>1</v>
      </c>
      <c r="M54" s="81" t="s">
        <v>48</v>
      </c>
      <c r="N54" s="81" t="s">
        <v>50</v>
      </c>
    </row>
    <row r="55" spans="1:14">
      <c r="A55" s="101">
        <v>42625.4375</v>
      </c>
      <c r="B55" s="19">
        <v>1.0416666666666701E-2</v>
      </c>
      <c r="C55" s="22" t="s">
        <v>108</v>
      </c>
      <c r="D55" s="22" t="s">
        <v>49</v>
      </c>
      <c r="E55" s="10" t="s">
        <v>495</v>
      </c>
      <c r="F55" s="10" t="s">
        <v>504</v>
      </c>
      <c r="G55" s="10" t="s">
        <v>510</v>
      </c>
      <c r="H55" s="22" t="s">
        <v>2</v>
      </c>
      <c r="I55" s="10" t="s">
        <v>508</v>
      </c>
      <c r="J55" s="102">
        <v>42625.437392453699</v>
      </c>
      <c r="K55" s="11">
        <v>10</v>
      </c>
      <c r="M55" s="81" t="s">
        <v>48</v>
      </c>
      <c r="N55" s="81" t="s">
        <v>50</v>
      </c>
    </row>
    <row r="56" spans="1:14">
      <c r="A56" s="101">
        <v>42625.4375</v>
      </c>
      <c r="B56" s="19">
        <v>1.0416666666666701E-2</v>
      </c>
      <c r="C56" s="22" t="s">
        <v>108</v>
      </c>
      <c r="D56" s="22" t="s">
        <v>49</v>
      </c>
      <c r="E56" s="10" t="s">
        <v>495</v>
      </c>
      <c r="F56" s="10" t="s">
        <v>504</v>
      </c>
      <c r="G56" s="10" t="s">
        <v>510</v>
      </c>
      <c r="H56" s="22" t="s">
        <v>2</v>
      </c>
      <c r="I56" s="10" t="s">
        <v>508</v>
      </c>
      <c r="J56" s="102">
        <v>42625.437198182903</v>
      </c>
      <c r="K56" s="11">
        <v>7</v>
      </c>
      <c r="M56" s="81" t="s">
        <v>48</v>
      </c>
      <c r="N56" s="81" t="s">
        <v>50</v>
      </c>
    </row>
    <row r="57" spans="1:14">
      <c r="A57" s="101">
        <v>42625.4375</v>
      </c>
      <c r="B57" s="19">
        <v>1.0416666666666701E-2</v>
      </c>
      <c r="C57" s="22" t="s">
        <v>108</v>
      </c>
      <c r="D57" s="22" t="s">
        <v>49</v>
      </c>
      <c r="E57" s="10" t="s">
        <v>495</v>
      </c>
      <c r="F57" s="10" t="s">
        <v>504</v>
      </c>
      <c r="G57" s="10" t="s">
        <v>510</v>
      </c>
      <c r="H57" s="22" t="s">
        <v>2</v>
      </c>
      <c r="I57" s="10" t="s">
        <v>508</v>
      </c>
      <c r="J57" s="102">
        <v>42625.437087418999</v>
      </c>
      <c r="K57" s="11">
        <v>7</v>
      </c>
      <c r="M57" s="81" t="s">
        <v>48</v>
      </c>
      <c r="N57" s="81" t="s">
        <v>50</v>
      </c>
    </row>
    <row r="58" spans="1:14">
      <c r="A58" s="101">
        <v>42625.4375</v>
      </c>
      <c r="B58" s="19">
        <v>1.0416666666666701E-2</v>
      </c>
      <c r="C58" s="22" t="s">
        <v>108</v>
      </c>
      <c r="D58" s="22" t="s">
        <v>49</v>
      </c>
      <c r="E58" s="10" t="s">
        <v>495</v>
      </c>
      <c r="F58" s="10" t="s">
        <v>504</v>
      </c>
      <c r="G58" s="10" t="s">
        <v>510</v>
      </c>
      <c r="H58" s="22" t="s">
        <v>2</v>
      </c>
      <c r="I58" s="10" t="s">
        <v>508</v>
      </c>
      <c r="J58" s="102">
        <v>42625.437021770798</v>
      </c>
      <c r="K58" s="11">
        <v>9</v>
      </c>
      <c r="M58" s="81" t="s">
        <v>48</v>
      </c>
      <c r="N58" s="81" t="s">
        <v>50</v>
      </c>
    </row>
    <row r="59" spans="1:14">
      <c r="A59" s="101">
        <v>42625.4375</v>
      </c>
      <c r="B59" s="19">
        <v>1.0416666666666701E-2</v>
      </c>
      <c r="C59" s="22" t="s">
        <v>108</v>
      </c>
      <c r="D59" s="22" t="s">
        <v>49</v>
      </c>
      <c r="E59" s="10" t="s">
        <v>495</v>
      </c>
      <c r="F59" s="10" t="s">
        <v>504</v>
      </c>
      <c r="G59" s="10" t="s">
        <v>510</v>
      </c>
      <c r="H59" s="22" t="s">
        <v>2</v>
      </c>
      <c r="I59" s="10" t="s">
        <v>508</v>
      </c>
      <c r="J59" s="102">
        <v>42625.434791145803</v>
      </c>
      <c r="K59" s="11">
        <v>5</v>
      </c>
      <c r="M59" s="81" t="s">
        <v>48</v>
      </c>
      <c r="N59" s="81" t="s">
        <v>50</v>
      </c>
    </row>
    <row r="60" spans="1:14">
      <c r="A60" s="101">
        <v>42625.4375</v>
      </c>
      <c r="B60" s="19">
        <v>1.0416666666666701E-2</v>
      </c>
      <c r="C60" s="22" t="s">
        <v>108</v>
      </c>
      <c r="D60" s="22" t="s">
        <v>49</v>
      </c>
      <c r="E60" s="10" t="s">
        <v>495</v>
      </c>
      <c r="F60" s="10" t="s">
        <v>504</v>
      </c>
      <c r="G60" s="10" t="s">
        <v>510</v>
      </c>
      <c r="H60" s="22" t="s">
        <v>2</v>
      </c>
      <c r="I60" s="10" t="s">
        <v>508</v>
      </c>
      <c r="J60" s="102">
        <v>42625.436934826401</v>
      </c>
      <c r="K60" s="11">
        <v>9</v>
      </c>
      <c r="M60" s="81" t="s">
        <v>48</v>
      </c>
      <c r="N60" s="81" t="s">
        <v>50</v>
      </c>
    </row>
    <row r="61" spans="1:14">
      <c r="A61" s="101">
        <v>42625.4375</v>
      </c>
      <c r="B61" s="19">
        <v>1.0416666666666701E-2</v>
      </c>
      <c r="C61" s="22" t="s">
        <v>108</v>
      </c>
      <c r="D61" s="22" t="s">
        <v>49</v>
      </c>
      <c r="E61" s="10" t="s">
        <v>495</v>
      </c>
      <c r="F61" s="10" t="s">
        <v>504</v>
      </c>
      <c r="G61" s="10" t="s">
        <v>510</v>
      </c>
      <c r="H61" s="22" t="s">
        <v>2</v>
      </c>
      <c r="I61" s="10" t="s">
        <v>508</v>
      </c>
      <c r="J61" s="102">
        <v>42625.4358123032</v>
      </c>
      <c r="K61" s="11">
        <v>4</v>
      </c>
      <c r="M61" s="81" t="s">
        <v>48</v>
      </c>
      <c r="N61" s="81" t="s">
        <v>50</v>
      </c>
    </row>
    <row r="62" spans="1:14">
      <c r="A62" s="101">
        <v>42625.4375</v>
      </c>
      <c r="B62" s="19">
        <v>1.0416666666666701E-2</v>
      </c>
      <c r="C62" s="22" t="s">
        <v>108</v>
      </c>
      <c r="D62" s="22" t="s">
        <v>49</v>
      </c>
      <c r="E62" s="10" t="s">
        <v>495</v>
      </c>
      <c r="F62" s="10" t="s">
        <v>504</v>
      </c>
      <c r="G62" s="10" t="s">
        <v>510</v>
      </c>
      <c r="H62" s="22" t="s">
        <v>2</v>
      </c>
      <c r="I62" s="10" t="s">
        <v>508</v>
      </c>
      <c r="J62" s="102">
        <v>42625.435456574101</v>
      </c>
      <c r="K62" s="11">
        <v>5</v>
      </c>
      <c r="M62" s="81" t="s">
        <v>48</v>
      </c>
      <c r="N62" s="81" t="s">
        <v>50</v>
      </c>
    </row>
    <row r="63" spans="1:14">
      <c r="A63" s="101">
        <v>42625.4375</v>
      </c>
      <c r="B63" s="19">
        <v>1.0416666666666701E-2</v>
      </c>
      <c r="C63" s="22" t="s">
        <v>108</v>
      </c>
      <c r="D63" s="22" t="s">
        <v>49</v>
      </c>
      <c r="E63" s="10" t="s">
        <v>495</v>
      </c>
      <c r="F63" s="10" t="s">
        <v>504</v>
      </c>
      <c r="G63" s="10" t="s">
        <v>510</v>
      </c>
      <c r="H63" s="22" t="s">
        <v>2</v>
      </c>
      <c r="I63" s="10" t="s">
        <v>508</v>
      </c>
      <c r="J63" s="102">
        <v>42625.4342049884</v>
      </c>
      <c r="K63" s="11">
        <v>7</v>
      </c>
      <c r="M63" s="81" t="s">
        <v>48</v>
      </c>
      <c r="N63" s="81" t="s">
        <v>50</v>
      </c>
    </row>
    <row r="64" spans="1:14">
      <c r="A64" s="101">
        <v>42625.4375</v>
      </c>
      <c r="B64" s="19">
        <v>1.0416666666666701E-2</v>
      </c>
      <c r="C64" s="22" t="s">
        <v>108</v>
      </c>
      <c r="D64" s="22" t="s">
        <v>49</v>
      </c>
      <c r="E64" s="10" t="s">
        <v>495</v>
      </c>
      <c r="F64" s="10" t="s">
        <v>504</v>
      </c>
      <c r="G64" s="10" t="s">
        <v>510</v>
      </c>
      <c r="H64" s="22" t="s">
        <v>2</v>
      </c>
      <c r="I64" s="10" t="s">
        <v>508</v>
      </c>
      <c r="J64" s="102">
        <v>42625.433444525501</v>
      </c>
      <c r="K64" s="11">
        <v>7</v>
      </c>
      <c r="M64" s="81" t="s">
        <v>48</v>
      </c>
      <c r="N64" s="81" t="s">
        <v>50</v>
      </c>
    </row>
    <row r="65" spans="1:14">
      <c r="A65" s="101">
        <v>42625.4375</v>
      </c>
      <c r="B65" s="19">
        <v>1.0416666666666701E-2</v>
      </c>
      <c r="C65" s="22" t="s">
        <v>108</v>
      </c>
      <c r="D65" s="22" t="s">
        <v>49</v>
      </c>
      <c r="E65" s="10" t="s">
        <v>495</v>
      </c>
      <c r="F65" s="10" t="s">
        <v>498</v>
      </c>
      <c r="G65" s="10" t="s">
        <v>507</v>
      </c>
      <c r="H65" s="22" t="s">
        <v>2</v>
      </c>
      <c r="I65" s="10" t="s">
        <v>508</v>
      </c>
      <c r="J65" s="102">
        <v>42625.4343277546</v>
      </c>
      <c r="K65" s="11">
        <v>1</v>
      </c>
      <c r="M65" s="81" t="s">
        <v>48</v>
      </c>
      <c r="N65" s="81" t="s">
        <v>50</v>
      </c>
    </row>
    <row r="66" spans="1:14">
      <c r="A66" s="101">
        <v>42625.4375</v>
      </c>
      <c r="B66" s="19">
        <v>1.0416666666666701E-2</v>
      </c>
      <c r="C66" s="22" t="s">
        <v>108</v>
      </c>
      <c r="D66" s="22" t="s">
        <v>49</v>
      </c>
      <c r="E66" s="10" t="s">
        <v>495</v>
      </c>
      <c r="F66" s="10" t="s">
        <v>499</v>
      </c>
      <c r="I66" s="10"/>
      <c r="J66" s="102">
        <v>42625.434380081002</v>
      </c>
      <c r="K66" s="11">
        <v>3</v>
      </c>
    </row>
    <row r="67" spans="1:14">
      <c r="A67" s="101">
        <v>42625.4375</v>
      </c>
      <c r="B67" s="19">
        <v>1.0416666666666701E-2</v>
      </c>
      <c r="C67" s="22" t="s">
        <v>108</v>
      </c>
      <c r="D67" s="22" t="s">
        <v>49</v>
      </c>
      <c r="E67" s="10" t="s">
        <v>495</v>
      </c>
      <c r="F67" s="10" t="s">
        <v>499</v>
      </c>
      <c r="I67" s="10"/>
      <c r="J67" s="102">
        <v>42625.433583530103</v>
      </c>
      <c r="K67" s="11">
        <v>2</v>
      </c>
    </row>
    <row r="68" spans="1:14">
      <c r="A68" s="101">
        <v>42625.427083333299</v>
      </c>
      <c r="B68" s="19">
        <v>1.0416666666666701E-2</v>
      </c>
      <c r="C68" s="22" t="s">
        <v>108</v>
      </c>
      <c r="D68" s="22" t="s">
        <v>49</v>
      </c>
      <c r="E68" s="10" t="s">
        <v>495</v>
      </c>
      <c r="F68" s="10" t="s">
        <v>498</v>
      </c>
      <c r="G68" s="10" t="s">
        <v>507</v>
      </c>
      <c r="H68" s="22" t="s">
        <v>2</v>
      </c>
      <c r="I68" s="10" t="s">
        <v>508</v>
      </c>
      <c r="J68" s="102">
        <v>42625.420727754601</v>
      </c>
      <c r="K68" s="11">
        <v>1</v>
      </c>
      <c r="M68" s="81" t="s">
        <v>48</v>
      </c>
      <c r="N68" s="81" t="s">
        <v>50</v>
      </c>
    </row>
    <row r="69" spans="1:14">
      <c r="A69" s="101">
        <v>42625.427083333299</v>
      </c>
      <c r="B69" s="19">
        <v>1.0416666666666701E-2</v>
      </c>
      <c r="C69" s="22" t="s">
        <v>108</v>
      </c>
      <c r="D69" s="22" t="s">
        <v>49</v>
      </c>
      <c r="E69" s="10" t="s">
        <v>495</v>
      </c>
      <c r="F69" s="10" t="s">
        <v>499</v>
      </c>
      <c r="I69" s="10"/>
      <c r="J69" s="102">
        <v>42625.425633877298</v>
      </c>
      <c r="K69" s="11">
        <v>2</v>
      </c>
    </row>
    <row r="70" spans="1:14">
      <c r="A70" s="101">
        <v>42625.427083333299</v>
      </c>
      <c r="B70" s="19">
        <v>1.0416666666666701E-2</v>
      </c>
      <c r="C70" s="22" t="s">
        <v>108</v>
      </c>
      <c r="D70" s="22" t="s">
        <v>49</v>
      </c>
      <c r="E70" s="10" t="s">
        <v>495</v>
      </c>
      <c r="F70" s="10" t="s">
        <v>499</v>
      </c>
      <c r="I70" s="10"/>
      <c r="J70" s="102">
        <v>42625.424192488397</v>
      </c>
      <c r="K70" s="11">
        <v>5</v>
      </c>
    </row>
    <row r="71" spans="1:14">
      <c r="A71" s="101">
        <v>42625.427083333299</v>
      </c>
      <c r="B71" s="19">
        <v>1.0416666666666701E-2</v>
      </c>
      <c r="C71" s="22" t="s">
        <v>108</v>
      </c>
      <c r="D71" s="22" t="s">
        <v>49</v>
      </c>
      <c r="E71" s="10" t="s">
        <v>495</v>
      </c>
      <c r="F71" s="10" t="s">
        <v>499</v>
      </c>
      <c r="I71" s="10"/>
      <c r="J71" s="102">
        <v>42625.4203659954</v>
      </c>
      <c r="K71" s="11">
        <v>1</v>
      </c>
    </row>
    <row r="72" spans="1:14">
      <c r="A72" s="101">
        <v>42625.427083333299</v>
      </c>
      <c r="B72" s="19">
        <v>1.0416666666666701E-2</v>
      </c>
      <c r="C72" s="22" t="s">
        <v>108</v>
      </c>
      <c r="D72" s="22" t="s">
        <v>49</v>
      </c>
      <c r="E72" s="10" t="s">
        <v>495</v>
      </c>
      <c r="F72" s="10" t="s">
        <v>499</v>
      </c>
      <c r="I72" s="10"/>
      <c r="J72" s="102">
        <v>42625.419559050897</v>
      </c>
      <c r="K72" s="11">
        <v>2</v>
      </c>
    </row>
    <row r="73" spans="1:14">
      <c r="A73" s="101">
        <v>42625.427083333299</v>
      </c>
      <c r="B73" s="19">
        <v>1.0416666666666701E-2</v>
      </c>
      <c r="C73" s="22" t="s">
        <v>108</v>
      </c>
      <c r="D73" s="22" t="s">
        <v>49</v>
      </c>
      <c r="E73" s="10" t="s">
        <v>495</v>
      </c>
      <c r="F73" s="10" t="s">
        <v>500</v>
      </c>
      <c r="G73" s="10" t="s">
        <v>512</v>
      </c>
      <c r="H73" s="10" t="s">
        <v>517</v>
      </c>
      <c r="I73" s="10" t="s">
        <v>521</v>
      </c>
      <c r="J73" s="102">
        <v>42625.425661597197</v>
      </c>
      <c r="K73" s="11">
        <v>1</v>
      </c>
    </row>
    <row r="74" spans="1:14">
      <c r="A74" s="101">
        <v>42625.427083333299</v>
      </c>
      <c r="B74" s="19">
        <v>1.0416666666666701E-2</v>
      </c>
      <c r="C74" s="22" t="s">
        <v>108</v>
      </c>
      <c r="D74" s="22" t="s">
        <v>49</v>
      </c>
      <c r="E74" s="10" t="s">
        <v>495</v>
      </c>
      <c r="F74" s="10" t="s">
        <v>500</v>
      </c>
      <c r="G74" s="10" t="s">
        <v>513</v>
      </c>
      <c r="H74" s="10" t="s">
        <v>517</v>
      </c>
      <c r="I74" s="10" t="s">
        <v>522</v>
      </c>
      <c r="J74" s="102">
        <v>42625.420063310201</v>
      </c>
      <c r="K74" s="11">
        <v>1</v>
      </c>
    </row>
    <row r="75" spans="1:14">
      <c r="A75" s="101">
        <v>42625.427083333299</v>
      </c>
      <c r="B75" s="19">
        <v>1.0416666666666701E-2</v>
      </c>
      <c r="C75" s="22" t="s">
        <v>108</v>
      </c>
      <c r="D75" s="22" t="s">
        <v>49</v>
      </c>
      <c r="E75" s="10" t="s">
        <v>495</v>
      </c>
      <c r="F75" s="10" t="s">
        <v>500</v>
      </c>
      <c r="G75" s="10" t="s">
        <v>514</v>
      </c>
      <c r="H75" s="10" t="s">
        <v>517</v>
      </c>
      <c r="I75" s="10" t="s">
        <v>523</v>
      </c>
      <c r="J75" s="102">
        <v>42625.420212430603</v>
      </c>
      <c r="K75" s="11">
        <v>1</v>
      </c>
    </row>
    <row r="76" spans="1:14">
      <c r="A76" s="101">
        <v>42625.427083333299</v>
      </c>
      <c r="B76" s="19">
        <v>1.0416666666666701E-2</v>
      </c>
      <c r="C76" s="22" t="s">
        <v>108</v>
      </c>
      <c r="D76" s="22" t="s">
        <v>49</v>
      </c>
      <c r="E76" s="10" t="s">
        <v>495</v>
      </c>
      <c r="F76" s="10" t="s">
        <v>500</v>
      </c>
      <c r="G76" s="10" t="s">
        <v>515</v>
      </c>
      <c r="H76" s="10" t="s">
        <v>517</v>
      </c>
      <c r="I76" s="10" t="s">
        <v>524</v>
      </c>
      <c r="J76" s="102">
        <v>42625.421656435203</v>
      </c>
      <c r="K76" s="11">
        <v>1</v>
      </c>
    </row>
    <row r="77" spans="1:14">
      <c r="A77" s="101">
        <v>42625.427083333299</v>
      </c>
      <c r="B77" s="19">
        <v>1.0416666666666701E-2</v>
      </c>
      <c r="C77" s="22" t="s">
        <v>108</v>
      </c>
      <c r="D77" s="22" t="s">
        <v>49</v>
      </c>
      <c r="E77" s="10" t="s">
        <v>495</v>
      </c>
      <c r="F77" s="10" t="s">
        <v>502</v>
      </c>
      <c r="I77" s="10"/>
      <c r="J77" s="102">
        <v>42625.426781180598</v>
      </c>
      <c r="K77" s="11">
        <v>15</v>
      </c>
    </row>
    <row r="78" spans="1:14">
      <c r="A78" s="101">
        <v>42625.427083333299</v>
      </c>
      <c r="B78" s="19">
        <v>1.0416666666666701E-2</v>
      </c>
      <c r="C78" s="22" t="s">
        <v>108</v>
      </c>
      <c r="D78" s="22" t="s">
        <v>49</v>
      </c>
      <c r="E78" s="10" t="s">
        <v>495</v>
      </c>
      <c r="F78" s="10" t="s">
        <v>502</v>
      </c>
      <c r="I78" s="10"/>
      <c r="J78" s="102">
        <v>42625.426772858802</v>
      </c>
      <c r="K78" s="11">
        <v>15</v>
      </c>
    </row>
    <row r="79" spans="1:14">
      <c r="A79" s="101">
        <v>42625.427083333299</v>
      </c>
      <c r="B79" s="19">
        <v>1.0416666666666701E-2</v>
      </c>
      <c r="C79" s="22" t="s">
        <v>108</v>
      </c>
      <c r="D79" s="22" t="s">
        <v>49</v>
      </c>
      <c r="E79" s="10" t="s">
        <v>495</v>
      </c>
      <c r="F79" s="10" t="s">
        <v>502</v>
      </c>
      <c r="I79" s="10"/>
      <c r="J79" s="102">
        <v>42625.426676423602</v>
      </c>
      <c r="K79" s="11">
        <v>15</v>
      </c>
    </row>
    <row r="80" spans="1:14">
      <c r="A80" s="101">
        <v>42625.427083333299</v>
      </c>
      <c r="B80" s="19">
        <v>1.0416666666666701E-2</v>
      </c>
      <c r="C80" s="22" t="s">
        <v>108</v>
      </c>
      <c r="D80" s="22" t="s">
        <v>49</v>
      </c>
      <c r="E80" s="10" t="s">
        <v>495</v>
      </c>
      <c r="F80" s="10" t="s">
        <v>502</v>
      </c>
      <c r="I80" s="10"/>
      <c r="J80" s="102">
        <v>42625.426651192101</v>
      </c>
      <c r="K80" s="11">
        <v>15</v>
      </c>
    </row>
    <row r="81" spans="1:14">
      <c r="A81" s="101">
        <v>42625.427083333299</v>
      </c>
      <c r="B81" s="19">
        <v>1.0416666666666701E-2</v>
      </c>
      <c r="C81" s="22" t="s">
        <v>108</v>
      </c>
      <c r="D81" s="22" t="s">
        <v>49</v>
      </c>
      <c r="E81" s="10" t="s">
        <v>495</v>
      </c>
      <c r="F81" s="10" t="s">
        <v>503</v>
      </c>
      <c r="G81" s="10" t="s">
        <v>509</v>
      </c>
      <c r="H81" s="22" t="s">
        <v>2</v>
      </c>
      <c r="I81" s="10" t="s">
        <v>508</v>
      </c>
      <c r="J81" s="102">
        <v>42625.426043229199</v>
      </c>
      <c r="K81" s="11">
        <v>4</v>
      </c>
      <c r="M81" s="81" t="s">
        <v>48</v>
      </c>
      <c r="N81" s="81" t="s">
        <v>50</v>
      </c>
    </row>
    <row r="82" spans="1:14">
      <c r="A82" s="101">
        <v>42625.427083333299</v>
      </c>
      <c r="B82" s="19">
        <v>1.0416666666666701E-2</v>
      </c>
      <c r="C82" s="22" t="s">
        <v>108</v>
      </c>
      <c r="D82" s="22" t="s">
        <v>49</v>
      </c>
      <c r="E82" s="10" t="s">
        <v>495</v>
      </c>
      <c r="F82" s="10" t="s">
        <v>503</v>
      </c>
      <c r="G82" s="10" t="s">
        <v>509</v>
      </c>
      <c r="H82" s="22" t="s">
        <v>2</v>
      </c>
      <c r="I82" s="10" t="s">
        <v>508</v>
      </c>
      <c r="J82" s="102">
        <v>42625.4260422222</v>
      </c>
      <c r="K82" s="11">
        <v>1</v>
      </c>
      <c r="M82" s="81" t="s">
        <v>48</v>
      </c>
      <c r="N82" s="81" t="s">
        <v>50</v>
      </c>
    </row>
    <row r="83" spans="1:14">
      <c r="A83" s="101">
        <v>42625.427083333299</v>
      </c>
      <c r="B83" s="19">
        <v>1.0416666666666701E-2</v>
      </c>
      <c r="C83" s="22" t="s">
        <v>108</v>
      </c>
      <c r="D83" s="22" t="s">
        <v>49</v>
      </c>
      <c r="E83" s="10" t="s">
        <v>495</v>
      </c>
      <c r="F83" s="10" t="s">
        <v>504</v>
      </c>
      <c r="G83" s="10" t="s">
        <v>510</v>
      </c>
      <c r="H83" s="22" t="s">
        <v>2</v>
      </c>
      <c r="I83" s="10" t="s">
        <v>508</v>
      </c>
      <c r="J83" s="102">
        <v>42625.426861018503</v>
      </c>
      <c r="K83" s="11">
        <v>6</v>
      </c>
      <c r="M83" s="81" t="s">
        <v>48</v>
      </c>
      <c r="N83" s="81" t="s">
        <v>50</v>
      </c>
    </row>
    <row r="84" spans="1:14">
      <c r="A84" s="101">
        <v>42625.427083333299</v>
      </c>
      <c r="B84" s="19">
        <v>1.0416666666666701E-2</v>
      </c>
      <c r="C84" s="22" t="s">
        <v>108</v>
      </c>
      <c r="D84" s="22" t="s">
        <v>49</v>
      </c>
      <c r="E84" s="10" t="s">
        <v>495</v>
      </c>
      <c r="F84" s="10" t="s">
        <v>504</v>
      </c>
      <c r="G84" s="10" t="s">
        <v>510</v>
      </c>
      <c r="H84" s="22" t="s">
        <v>2</v>
      </c>
      <c r="I84" s="10" t="s">
        <v>508</v>
      </c>
      <c r="J84" s="102">
        <v>42625.426609386603</v>
      </c>
      <c r="K84" s="11">
        <v>6</v>
      </c>
      <c r="M84" s="81" t="s">
        <v>48</v>
      </c>
      <c r="N84" s="81" t="s">
        <v>50</v>
      </c>
    </row>
    <row r="85" spans="1:14">
      <c r="A85" s="101">
        <v>42625.427083333299</v>
      </c>
      <c r="B85" s="19">
        <v>1.0416666666666701E-2</v>
      </c>
      <c r="C85" s="22" t="s">
        <v>108</v>
      </c>
      <c r="D85" s="22" t="s">
        <v>49</v>
      </c>
      <c r="E85" s="10" t="s">
        <v>495</v>
      </c>
      <c r="F85" s="10" t="s">
        <v>504</v>
      </c>
      <c r="G85" s="10" t="s">
        <v>510</v>
      </c>
      <c r="H85" s="22" t="s">
        <v>2</v>
      </c>
      <c r="I85" s="10" t="s">
        <v>508</v>
      </c>
      <c r="J85" s="102">
        <v>42625.426135011599</v>
      </c>
      <c r="K85" s="11">
        <v>10</v>
      </c>
      <c r="M85" s="81" t="s">
        <v>48</v>
      </c>
      <c r="N85" s="81" t="s">
        <v>50</v>
      </c>
    </row>
    <row r="86" spans="1:14">
      <c r="A86" s="101">
        <v>42625.427083333299</v>
      </c>
      <c r="B86" s="19">
        <v>1.0416666666666701E-2</v>
      </c>
      <c r="C86" s="22" t="s">
        <v>108</v>
      </c>
      <c r="D86" s="22" t="s">
        <v>49</v>
      </c>
      <c r="E86" s="10" t="s">
        <v>495</v>
      </c>
      <c r="F86" s="10" t="s">
        <v>504</v>
      </c>
      <c r="G86" s="10" t="s">
        <v>510</v>
      </c>
      <c r="H86" s="22" t="s">
        <v>2</v>
      </c>
      <c r="I86" s="10" t="s">
        <v>508</v>
      </c>
      <c r="J86" s="102">
        <v>42625.4260164468</v>
      </c>
      <c r="K86" s="11">
        <v>6</v>
      </c>
      <c r="M86" s="81" t="s">
        <v>48</v>
      </c>
      <c r="N86" s="81" t="s">
        <v>50</v>
      </c>
    </row>
    <row r="87" spans="1:14">
      <c r="A87" s="101">
        <v>42625.427083333299</v>
      </c>
      <c r="B87" s="19">
        <v>1.0416666666666701E-2</v>
      </c>
      <c r="C87" s="22" t="s">
        <v>108</v>
      </c>
      <c r="D87" s="22" t="s">
        <v>49</v>
      </c>
      <c r="E87" s="10" t="s">
        <v>495</v>
      </c>
      <c r="F87" s="10" t="s">
        <v>504</v>
      </c>
      <c r="G87" s="10" t="s">
        <v>510</v>
      </c>
      <c r="H87" s="22" t="s">
        <v>2</v>
      </c>
      <c r="I87" s="10" t="s">
        <v>508</v>
      </c>
      <c r="J87" s="102">
        <v>42625.4256564815</v>
      </c>
      <c r="K87" s="11">
        <v>4</v>
      </c>
      <c r="M87" s="81" t="s">
        <v>48</v>
      </c>
      <c r="N87" s="81" t="s">
        <v>50</v>
      </c>
    </row>
    <row r="88" spans="1:14">
      <c r="A88" s="101">
        <v>42625.427083333299</v>
      </c>
      <c r="B88" s="19">
        <v>1.0416666666666701E-2</v>
      </c>
      <c r="C88" s="22" t="s">
        <v>108</v>
      </c>
      <c r="D88" s="22" t="s">
        <v>49</v>
      </c>
      <c r="E88" s="10" t="s">
        <v>495</v>
      </c>
      <c r="F88" s="10" t="s">
        <v>504</v>
      </c>
      <c r="G88" s="10" t="s">
        <v>510</v>
      </c>
      <c r="H88" s="22" t="s">
        <v>2</v>
      </c>
      <c r="I88" s="10" t="s">
        <v>508</v>
      </c>
      <c r="J88" s="102">
        <v>42625.426890266201</v>
      </c>
      <c r="K88" s="11">
        <v>4</v>
      </c>
      <c r="M88" s="81" t="s">
        <v>48</v>
      </c>
      <c r="N88" s="81" t="s">
        <v>50</v>
      </c>
    </row>
    <row r="89" spans="1:14">
      <c r="A89" s="101">
        <v>42625.427083333299</v>
      </c>
      <c r="B89" s="19">
        <v>1.0416666666666701E-2</v>
      </c>
      <c r="C89" s="22" t="s">
        <v>108</v>
      </c>
      <c r="D89" s="22" t="s">
        <v>49</v>
      </c>
      <c r="E89" s="10" t="s">
        <v>495</v>
      </c>
      <c r="F89" s="10" t="s">
        <v>504</v>
      </c>
      <c r="G89" s="10" t="s">
        <v>510</v>
      </c>
      <c r="H89" s="22" t="s">
        <v>2</v>
      </c>
      <c r="I89" s="10" t="s">
        <v>508</v>
      </c>
      <c r="J89" s="102">
        <v>42625.426771689803</v>
      </c>
      <c r="K89" s="11">
        <v>8</v>
      </c>
      <c r="M89" s="81" t="s">
        <v>48</v>
      </c>
      <c r="N89" s="81" t="s">
        <v>50</v>
      </c>
    </row>
    <row r="90" spans="1:14">
      <c r="A90" s="101">
        <v>42625.427083333299</v>
      </c>
      <c r="B90" s="19">
        <v>1.0416666666666701E-2</v>
      </c>
      <c r="C90" s="22" t="s">
        <v>108</v>
      </c>
      <c r="D90" s="22" t="s">
        <v>49</v>
      </c>
      <c r="E90" s="10" t="s">
        <v>495</v>
      </c>
      <c r="F90" s="10" t="s">
        <v>504</v>
      </c>
      <c r="G90" s="10" t="s">
        <v>510</v>
      </c>
      <c r="H90" s="22" t="s">
        <v>2</v>
      </c>
      <c r="I90" s="10" t="s">
        <v>508</v>
      </c>
      <c r="J90" s="102">
        <v>42625.4263569213</v>
      </c>
      <c r="K90" s="11">
        <v>9</v>
      </c>
      <c r="M90" s="81" t="s">
        <v>48</v>
      </c>
      <c r="N90" s="81" t="s">
        <v>50</v>
      </c>
    </row>
    <row r="91" spans="1:14">
      <c r="A91" s="101">
        <v>42625.427083333299</v>
      </c>
      <c r="B91" s="19">
        <v>1.0416666666666701E-2</v>
      </c>
      <c r="C91" s="22" t="s">
        <v>108</v>
      </c>
      <c r="D91" s="22" t="s">
        <v>49</v>
      </c>
      <c r="E91" s="10" t="s">
        <v>495</v>
      </c>
      <c r="F91" s="10" t="s">
        <v>504</v>
      </c>
      <c r="G91" s="10" t="s">
        <v>510</v>
      </c>
      <c r="H91" s="22" t="s">
        <v>2</v>
      </c>
      <c r="I91" s="10" t="s">
        <v>508</v>
      </c>
      <c r="J91" s="102">
        <v>42625.4259866551</v>
      </c>
      <c r="K91" s="11">
        <v>8</v>
      </c>
      <c r="M91" s="81" t="s">
        <v>48</v>
      </c>
      <c r="N91" s="81" t="s">
        <v>50</v>
      </c>
    </row>
    <row r="92" spans="1:14">
      <c r="A92" s="101">
        <v>42625.427083333299</v>
      </c>
      <c r="B92" s="19">
        <v>1.0416666666666701E-2</v>
      </c>
      <c r="C92" s="22" t="s">
        <v>108</v>
      </c>
      <c r="D92" s="22" t="s">
        <v>49</v>
      </c>
      <c r="E92" s="10" t="s">
        <v>495</v>
      </c>
      <c r="F92" s="10" t="s">
        <v>504</v>
      </c>
      <c r="G92" s="10" t="s">
        <v>510</v>
      </c>
      <c r="H92" s="22" t="s">
        <v>2</v>
      </c>
      <c r="I92" s="10" t="s">
        <v>508</v>
      </c>
      <c r="J92" s="102">
        <v>42625.425182048602</v>
      </c>
      <c r="K92" s="11">
        <v>8</v>
      </c>
      <c r="M92" s="81" t="s">
        <v>48</v>
      </c>
      <c r="N92" s="81" t="s">
        <v>50</v>
      </c>
    </row>
    <row r="93" spans="1:14">
      <c r="A93" s="101">
        <v>42625.427083333299</v>
      </c>
      <c r="B93" s="19">
        <v>1.0416666666666701E-2</v>
      </c>
      <c r="C93" s="22" t="s">
        <v>108</v>
      </c>
      <c r="D93" s="22" t="s">
        <v>49</v>
      </c>
      <c r="E93" s="10" t="s">
        <v>495</v>
      </c>
      <c r="F93" s="10" t="s">
        <v>498</v>
      </c>
      <c r="G93" s="10" t="s">
        <v>507</v>
      </c>
      <c r="H93" s="22" t="s">
        <v>2</v>
      </c>
      <c r="I93" s="10" t="s">
        <v>508</v>
      </c>
      <c r="J93" s="102">
        <v>42625.420014039402</v>
      </c>
      <c r="K93" s="11">
        <v>1</v>
      </c>
      <c r="M93" s="81" t="s">
        <v>48</v>
      </c>
      <c r="N93" s="81" t="s">
        <v>50</v>
      </c>
    </row>
    <row r="94" spans="1:14">
      <c r="A94" s="101">
        <v>42625.427083333299</v>
      </c>
      <c r="B94" s="19">
        <v>1.0416666666666701E-2</v>
      </c>
      <c r="C94" s="22" t="s">
        <v>108</v>
      </c>
      <c r="D94" s="22" t="s">
        <v>49</v>
      </c>
      <c r="E94" s="10" t="s">
        <v>495</v>
      </c>
      <c r="F94" s="10" t="s">
        <v>498</v>
      </c>
      <c r="G94" s="10" t="s">
        <v>507</v>
      </c>
      <c r="H94" s="22" t="s">
        <v>2</v>
      </c>
      <c r="I94" s="22" t="s">
        <v>508</v>
      </c>
      <c r="J94" s="102">
        <v>42625.420417604197</v>
      </c>
      <c r="K94" s="11">
        <v>1</v>
      </c>
      <c r="M94" s="81" t="s">
        <v>48</v>
      </c>
      <c r="N94" s="81" t="s">
        <v>50</v>
      </c>
    </row>
    <row r="95" spans="1:14">
      <c r="A95" s="101">
        <v>42625.427083333299</v>
      </c>
      <c r="B95" s="19">
        <v>1.0416666666666701E-2</v>
      </c>
      <c r="C95" s="22" t="s">
        <v>108</v>
      </c>
      <c r="D95" s="22" t="s">
        <v>49</v>
      </c>
      <c r="E95" s="10" t="s">
        <v>495</v>
      </c>
      <c r="F95" s="10" t="s">
        <v>499</v>
      </c>
      <c r="I95" s="10"/>
      <c r="J95" s="102">
        <v>42625.426778888897</v>
      </c>
      <c r="K95" s="11">
        <v>7</v>
      </c>
    </row>
    <row r="96" spans="1:14">
      <c r="A96" s="101">
        <v>42625.427083333299</v>
      </c>
      <c r="B96" s="19">
        <v>1.0416666666666701E-2</v>
      </c>
      <c r="C96" s="22" t="s">
        <v>108</v>
      </c>
      <c r="D96" s="22" t="s">
        <v>49</v>
      </c>
      <c r="E96" s="10" t="s">
        <v>495</v>
      </c>
      <c r="F96" s="10" t="s">
        <v>499</v>
      </c>
      <c r="I96" s="10"/>
      <c r="J96" s="102">
        <v>42625.422410613399</v>
      </c>
      <c r="K96" s="11">
        <v>1</v>
      </c>
    </row>
    <row r="97" spans="1:14">
      <c r="A97" s="101">
        <v>42625.416666666701</v>
      </c>
      <c r="B97" s="19">
        <v>1.0416666666666701E-2</v>
      </c>
      <c r="C97" s="22" t="s">
        <v>108</v>
      </c>
      <c r="D97" s="22" t="s">
        <v>49</v>
      </c>
      <c r="E97" s="10" t="s">
        <v>495</v>
      </c>
      <c r="F97" s="10" t="s">
        <v>498</v>
      </c>
      <c r="G97" s="10" t="s">
        <v>507</v>
      </c>
      <c r="H97" s="22" t="s">
        <v>2</v>
      </c>
      <c r="I97" s="10" t="s">
        <v>508</v>
      </c>
      <c r="J97" s="102">
        <v>42625.412745300899</v>
      </c>
      <c r="K97" s="11">
        <v>1</v>
      </c>
      <c r="M97" s="81" t="s">
        <v>48</v>
      </c>
      <c r="N97" s="81" t="s">
        <v>50</v>
      </c>
    </row>
    <row r="98" spans="1:14">
      <c r="A98" s="101">
        <v>42625.416666666701</v>
      </c>
      <c r="B98" s="19">
        <v>1.0416666666666701E-2</v>
      </c>
      <c r="C98" s="22" t="s">
        <v>108</v>
      </c>
      <c r="D98" s="22" t="s">
        <v>49</v>
      </c>
      <c r="E98" s="10" t="s">
        <v>495</v>
      </c>
      <c r="F98" s="10" t="s">
        <v>498</v>
      </c>
      <c r="G98" s="10" t="s">
        <v>507</v>
      </c>
      <c r="H98" s="22" t="s">
        <v>2</v>
      </c>
      <c r="I98" s="10" t="s">
        <v>508</v>
      </c>
      <c r="J98" s="102">
        <v>42625.410580752301</v>
      </c>
      <c r="K98" s="11">
        <v>1</v>
      </c>
      <c r="M98" s="81" t="s">
        <v>48</v>
      </c>
      <c r="N98" s="81" t="s">
        <v>50</v>
      </c>
    </row>
    <row r="99" spans="1:14">
      <c r="A99" s="101">
        <v>42625.416666666701</v>
      </c>
      <c r="B99" s="19">
        <v>1.0416666666666701E-2</v>
      </c>
      <c r="C99" s="22" t="s">
        <v>108</v>
      </c>
      <c r="D99" s="22" t="s">
        <v>49</v>
      </c>
      <c r="E99" s="10" t="s">
        <v>495</v>
      </c>
      <c r="F99" s="10" t="s">
        <v>498</v>
      </c>
      <c r="G99" s="10" t="s">
        <v>507</v>
      </c>
      <c r="H99" s="22" t="s">
        <v>2</v>
      </c>
      <c r="I99" s="10" t="s">
        <v>508</v>
      </c>
      <c r="J99" s="102">
        <v>42625.4105613426</v>
      </c>
      <c r="K99" s="11">
        <v>2</v>
      </c>
      <c r="M99" s="81" t="s">
        <v>48</v>
      </c>
      <c r="N99" s="81" t="s">
        <v>50</v>
      </c>
    </row>
    <row r="100" spans="1:14">
      <c r="A100" s="101">
        <v>42625.416666666701</v>
      </c>
      <c r="B100" s="19">
        <v>1.0416666666666701E-2</v>
      </c>
      <c r="C100" s="22" t="s">
        <v>108</v>
      </c>
      <c r="D100" s="22" t="s">
        <v>49</v>
      </c>
      <c r="E100" s="10" t="s">
        <v>495</v>
      </c>
      <c r="F100" s="10" t="s">
        <v>498</v>
      </c>
      <c r="G100" s="10" t="s">
        <v>507</v>
      </c>
      <c r="H100" s="22" t="s">
        <v>2</v>
      </c>
      <c r="I100" s="10" t="s">
        <v>508</v>
      </c>
      <c r="J100" s="102">
        <v>42625.411406678199</v>
      </c>
      <c r="K100" s="11">
        <v>1</v>
      </c>
      <c r="M100" s="81" t="s">
        <v>48</v>
      </c>
      <c r="N100" s="81" t="s">
        <v>50</v>
      </c>
    </row>
    <row r="101" spans="1:14">
      <c r="A101" s="101">
        <v>42625.416666666701</v>
      </c>
      <c r="B101" s="19">
        <v>1.0416666666666701E-2</v>
      </c>
      <c r="C101" s="22" t="s">
        <v>108</v>
      </c>
      <c r="D101" s="22" t="s">
        <v>49</v>
      </c>
      <c r="E101" s="10" t="s">
        <v>495</v>
      </c>
      <c r="F101" s="10" t="s">
        <v>498</v>
      </c>
      <c r="G101" s="10" t="s">
        <v>507</v>
      </c>
      <c r="H101" s="22" t="s">
        <v>2</v>
      </c>
      <c r="I101" s="10" t="s">
        <v>508</v>
      </c>
      <c r="J101" s="102">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election activeCell="A2" sqref="A2"/>
    </sheetView>
  </sheetViews>
  <sheetFormatPr defaultRowHeight="15"/>
  <sheetData>
    <row r="1" spans="1:1">
      <c r="A1" s="21" t="s">
        <v>493</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K3169"/>
  <sheetViews>
    <sheetView workbookViewId="0">
      <pane ySplit="1" topLeftCell="A56" activePane="bottomLeft" state="frozen"/>
      <selection pane="bottomLeft" activeCell="F61" sqref="F61"/>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s>
  <sheetData>
    <row r="1" spans="1:11" s="1" customFormat="1">
      <c r="A1" s="1" t="s">
        <v>150</v>
      </c>
      <c r="B1" s="3" t="s">
        <v>0</v>
      </c>
      <c r="C1" s="3" t="s">
        <v>88</v>
      </c>
      <c r="D1" s="3" t="s">
        <v>1</v>
      </c>
      <c r="E1" s="3" t="s">
        <v>2</v>
      </c>
      <c r="F1" s="3" t="s">
        <v>3</v>
      </c>
      <c r="G1" s="3" t="s">
        <v>4</v>
      </c>
      <c r="H1" s="3" t="s">
        <v>5</v>
      </c>
      <c r="I1" s="87" t="s">
        <v>6</v>
      </c>
      <c r="J1" s="3" t="s">
        <v>52</v>
      </c>
      <c r="K1" s="7" t="s">
        <v>20</v>
      </c>
    </row>
    <row r="2" spans="1:11">
      <c r="A2" s="10" t="s">
        <v>164</v>
      </c>
      <c r="B2" t="s">
        <v>51</v>
      </c>
      <c r="C2" t="s">
        <v>49</v>
      </c>
      <c r="D2" s="21" t="s">
        <v>48</v>
      </c>
      <c r="F2" t="s">
        <v>22</v>
      </c>
      <c r="G2">
        <v>25341</v>
      </c>
      <c r="K2">
        <f>IF(G2&lt;0, 0, G2)</f>
        <v>25341</v>
      </c>
    </row>
    <row r="3" spans="1:11">
      <c r="A3" s="10" t="s">
        <v>164</v>
      </c>
      <c r="B3" t="s">
        <v>51</v>
      </c>
      <c r="C3" t="s">
        <v>49</v>
      </c>
      <c r="D3" t="s">
        <v>48</v>
      </c>
      <c r="F3" t="s">
        <v>333</v>
      </c>
      <c r="G3">
        <v>0.26593476974073632</v>
      </c>
      <c r="H3" t="s">
        <v>23</v>
      </c>
      <c r="K3">
        <f>IF(G3&lt;0, 0, G3)</f>
        <v>0.26593476974073632</v>
      </c>
    </row>
    <row r="4" spans="1:11">
      <c r="A4" s="10" t="s">
        <v>164</v>
      </c>
      <c r="B4" t="s">
        <v>51</v>
      </c>
      <c r="C4" t="s">
        <v>49</v>
      </c>
      <c r="D4" t="s">
        <v>48</v>
      </c>
      <c r="F4" t="s">
        <v>24</v>
      </c>
      <c r="G4">
        <v>43066695</v>
      </c>
      <c r="K4">
        <f t="shared" ref="K4:K35" si="0">IF(G4&lt;0, 0, G4)</f>
        <v>43066695</v>
      </c>
    </row>
    <row r="5" spans="1:11">
      <c r="A5" s="10" t="s">
        <v>164</v>
      </c>
      <c r="B5" t="s">
        <v>51</v>
      </c>
      <c r="C5" t="s">
        <v>49</v>
      </c>
      <c r="D5" t="s">
        <v>48</v>
      </c>
      <c r="F5" t="s">
        <v>334</v>
      </c>
      <c r="G5">
        <v>1.0740350820976626E-2</v>
      </c>
      <c r="H5" t="s">
        <v>23</v>
      </c>
      <c r="K5">
        <f t="shared" si="0"/>
        <v>1.0740350820976626E-2</v>
      </c>
    </row>
    <row r="6" spans="1:11">
      <c r="A6" s="10" t="s">
        <v>164</v>
      </c>
      <c r="B6" t="s">
        <v>51</v>
      </c>
      <c r="C6" t="s">
        <v>49</v>
      </c>
      <c r="D6" t="s">
        <v>48</v>
      </c>
      <c r="F6" t="s">
        <v>25</v>
      </c>
      <c r="G6">
        <v>0</v>
      </c>
      <c r="K6">
        <f t="shared" si="0"/>
        <v>0</v>
      </c>
    </row>
    <row r="7" spans="1:11">
      <c r="A7" s="10" t="s">
        <v>164</v>
      </c>
      <c r="B7" t="s">
        <v>51</v>
      </c>
      <c r="C7" t="s">
        <v>49</v>
      </c>
      <c r="D7" t="s">
        <v>48</v>
      </c>
      <c r="E7" s="21" t="s">
        <v>50</v>
      </c>
      <c r="F7" t="s">
        <v>26</v>
      </c>
      <c r="G7">
        <v>0</v>
      </c>
      <c r="J7" s="2" t="b">
        <v>1</v>
      </c>
      <c r="K7">
        <f t="shared" si="0"/>
        <v>0</v>
      </c>
    </row>
    <row r="8" spans="1:11">
      <c r="A8" s="10" t="s">
        <v>164</v>
      </c>
      <c r="B8" t="s">
        <v>51</v>
      </c>
      <c r="C8" t="s">
        <v>49</v>
      </c>
      <c r="D8" t="s">
        <v>48</v>
      </c>
      <c r="E8" t="s">
        <v>50</v>
      </c>
      <c r="F8" t="s">
        <v>27</v>
      </c>
      <c r="G8">
        <v>0</v>
      </c>
      <c r="I8" s="6">
        <v>0</v>
      </c>
      <c r="J8" s="2" t="b">
        <v>1</v>
      </c>
      <c r="K8">
        <f t="shared" si="0"/>
        <v>0</v>
      </c>
    </row>
    <row r="9" spans="1:11">
      <c r="A9" s="10" t="s">
        <v>164</v>
      </c>
      <c r="B9" t="s">
        <v>51</v>
      </c>
      <c r="C9" t="s">
        <v>49</v>
      </c>
      <c r="D9" t="s">
        <v>48</v>
      </c>
      <c r="E9" t="s">
        <v>50</v>
      </c>
      <c r="F9" t="s">
        <v>7</v>
      </c>
      <c r="G9">
        <v>0</v>
      </c>
      <c r="I9" s="6">
        <v>0</v>
      </c>
      <c r="J9" s="2" t="b">
        <v>1</v>
      </c>
      <c r="K9">
        <f t="shared" si="0"/>
        <v>0</v>
      </c>
    </row>
    <row r="10" spans="1:11">
      <c r="A10" s="10" t="s">
        <v>164</v>
      </c>
      <c r="B10" t="s">
        <v>51</v>
      </c>
      <c r="C10" t="s">
        <v>49</v>
      </c>
      <c r="D10" t="s">
        <v>48</v>
      </c>
      <c r="E10" t="s">
        <v>50</v>
      </c>
      <c r="F10" t="s">
        <v>28</v>
      </c>
      <c r="G10">
        <v>0</v>
      </c>
      <c r="I10" s="6">
        <v>0</v>
      </c>
      <c r="J10" s="2" t="b">
        <v>1</v>
      </c>
      <c r="K10">
        <f t="shared" si="0"/>
        <v>0</v>
      </c>
    </row>
    <row r="11" spans="1:11">
      <c r="A11" s="10" t="s">
        <v>164</v>
      </c>
      <c r="B11" t="s">
        <v>51</v>
      </c>
      <c r="C11" t="s">
        <v>49</v>
      </c>
      <c r="D11" t="s">
        <v>48</v>
      </c>
      <c r="E11" t="s">
        <v>50</v>
      </c>
      <c r="F11" t="s">
        <v>29</v>
      </c>
      <c r="G11">
        <v>0</v>
      </c>
      <c r="I11" s="6">
        <v>0</v>
      </c>
      <c r="J11" s="2" t="b">
        <v>1</v>
      </c>
      <c r="K11">
        <f t="shared" si="0"/>
        <v>0</v>
      </c>
    </row>
    <row r="12" spans="1:11">
      <c r="A12" s="10" t="s">
        <v>164</v>
      </c>
      <c r="B12" t="s">
        <v>51</v>
      </c>
      <c r="C12" t="s">
        <v>49</v>
      </c>
      <c r="D12" t="s">
        <v>48</v>
      </c>
      <c r="E12" t="s">
        <v>50</v>
      </c>
      <c r="F12" t="s">
        <v>30</v>
      </c>
      <c r="G12">
        <v>0</v>
      </c>
      <c r="J12" s="2" t="b">
        <v>1</v>
      </c>
      <c r="K12">
        <f t="shared" si="0"/>
        <v>0</v>
      </c>
    </row>
    <row r="13" spans="1:11">
      <c r="A13" s="10" t="s">
        <v>164</v>
      </c>
      <c r="B13" t="s">
        <v>51</v>
      </c>
      <c r="C13" t="s">
        <v>49</v>
      </c>
      <c r="D13" t="s">
        <v>48</v>
      </c>
      <c r="E13" t="s">
        <v>50</v>
      </c>
      <c r="F13" t="s">
        <v>8</v>
      </c>
      <c r="G13">
        <v>-1</v>
      </c>
      <c r="J13" s="2" t="b">
        <v>1</v>
      </c>
      <c r="K13">
        <f t="shared" si="0"/>
        <v>0</v>
      </c>
    </row>
    <row r="14" spans="1:11">
      <c r="A14" s="10" t="s">
        <v>164</v>
      </c>
      <c r="B14" t="s">
        <v>51</v>
      </c>
      <c r="C14" t="s">
        <v>49</v>
      </c>
      <c r="D14" t="s">
        <v>48</v>
      </c>
      <c r="E14" t="s">
        <v>50</v>
      </c>
      <c r="F14" t="s">
        <v>31</v>
      </c>
      <c r="G14">
        <v>0</v>
      </c>
      <c r="J14" s="2" t="b">
        <v>1</v>
      </c>
      <c r="K14">
        <f t="shared" si="0"/>
        <v>0</v>
      </c>
    </row>
    <row r="15" spans="1:11">
      <c r="A15" s="10" t="s">
        <v>164</v>
      </c>
      <c r="B15" t="s">
        <v>51</v>
      </c>
      <c r="C15" t="s">
        <v>49</v>
      </c>
      <c r="D15" t="s">
        <v>48</v>
      </c>
      <c r="E15" t="s">
        <v>50</v>
      </c>
      <c r="F15" t="s">
        <v>32</v>
      </c>
      <c r="G15">
        <v>0</v>
      </c>
      <c r="I15" s="6">
        <v>0</v>
      </c>
      <c r="J15" s="2" t="b">
        <v>1</v>
      </c>
      <c r="K15">
        <f t="shared" si="0"/>
        <v>0</v>
      </c>
    </row>
    <row r="16" spans="1:11">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341</v>
      </c>
      <c r="G36" s="10">
        <v>21671</v>
      </c>
      <c r="H36" s="10" t="s">
        <v>35</v>
      </c>
      <c r="I36" s="88"/>
      <c r="J36" s="2" t="b">
        <v>1</v>
      </c>
      <c r="K36" s="10">
        <v>21671</v>
      </c>
    </row>
    <row r="37" spans="1:11" s="10" customFormat="1">
      <c r="A37" t="s">
        <v>155</v>
      </c>
      <c r="B37" t="s">
        <v>51</v>
      </c>
      <c r="C37" t="s">
        <v>49</v>
      </c>
      <c r="D37" t="s">
        <v>48</v>
      </c>
      <c r="E37" t="s">
        <v>50</v>
      </c>
      <c r="F37" s="10" t="s">
        <v>344</v>
      </c>
      <c r="G37" s="10">
        <v>258</v>
      </c>
      <c r="H37" s="10" t="s">
        <v>35</v>
      </c>
      <c r="I37" s="88"/>
      <c r="J37" s="2" t="b">
        <v>1</v>
      </c>
      <c r="K37" s="10">
        <v>258</v>
      </c>
    </row>
    <row r="38" spans="1:11" s="10" customFormat="1">
      <c r="A38" t="s">
        <v>155</v>
      </c>
      <c r="B38" t="s">
        <v>51</v>
      </c>
      <c r="C38" t="s">
        <v>49</v>
      </c>
      <c r="D38" t="s">
        <v>48</v>
      </c>
      <c r="E38" t="s">
        <v>50</v>
      </c>
      <c r="F38" s="10" t="s">
        <v>342</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367</v>
      </c>
      <c r="B61" s="56" t="s">
        <v>51</v>
      </c>
      <c r="C61" s="56" t="s">
        <v>49</v>
      </c>
      <c r="D61" s="56" t="s">
        <v>48</v>
      </c>
      <c r="E61" s="56" t="s">
        <v>50</v>
      </c>
      <c r="F61" s="10" t="s">
        <v>443</v>
      </c>
      <c r="G61" s="10">
        <v>35</v>
      </c>
      <c r="H61" s="10" t="s">
        <v>362</v>
      </c>
      <c r="I61" s="88"/>
      <c r="J61" s="2" t="b">
        <v>1</v>
      </c>
      <c r="K61" s="10">
        <v>35</v>
      </c>
    </row>
    <row r="62" spans="1:11">
      <c r="A62" s="56" t="s">
        <v>367</v>
      </c>
      <c r="B62" s="56" t="s">
        <v>51</v>
      </c>
      <c r="C62" s="56" t="s">
        <v>49</v>
      </c>
      <c r="D62" s="56" t="s">
        <v>48</v>
      </c>
      <c r="E62" s="56" t="s">
        <v>50</v>
      </c>
      <c r="F62" s="10" t="s">
        <v>368</v>
      </c>
      <c r="G62" s="10">
        <v>4055.2689999999998</v>
      </c>
      <c r="H62" s="10" t="s">
        <v>35</v>
      </c>
      <c r="I62" s="88"/>
      <c r="J62" s="2" t="b">
        <v>1</v>
      </c>
      <c r="K62" s="10">
        <v>4055.2689999999998</v>
      </c>
    </row>
    <row r="63" spans="1:11">
      <c r="A63" s="56" t="s">
        <v>367</v>
      </c>
      <c r="B63" s="56" t="s">
        <v>51</v>
      </c>
      <c r="C63" s="56" t="s">
        <v>49</v>
      </c>
      <c r="D63" s="56" t="s">
        <v>48</v>
      </c>
      <c r="E63" s="56" t="s">
        <v>50</v>
      </c>
      <c r="F63" s="10" t="s">
        <v>369</v>
      </c>
      <c r="G63" s="10">
        <v>10</v>
      </c>
      <c r="H63" s="10" t="s">
        <v>35</v>
      </c>
      <c r="I63" s="88"/>
      <c r="J63" s="2" t="b">
        <v>1</v>
      </c>
      <c r="K63" s="10">
        <v>10</v>
      </c>
    </row>
    <row r="64" spans="1:11">
      <c r="A64" s="86" t="s">
        <v>367</v>
      </c>
      <c r="B64" s="56" t="s">
        <v>51</v>
      </c>
      <c r="C64" s="56" t="s">
        <v>49</v>
      </c>
      <c r="D64" s="56" t="s">
        <v>48</v>
      </c>
      <c r="E64" s="56" t="s">
        <v>50</v>
      </c>
      <c r="F64" s="10" t="s">
        <v>109</v>
      </c>
      <c r="G64" s="10">
        <v>1.97</v>
      </c>
      <c r="H64" s="10" t="s">
        <v>370</v>
      </c>
      <c r="I64" s="88">
        <v>1.97</v>
      </c>
      <c r="J64" s="2" t="b">
        <v>1</v>
      </c>
      <c r="K64" s="10">
        <v>1.97</v>
      </c>
    </row>
    <row r="65" spans="1:11">
      <c r="A65" s="10" t="s">
        <v>155</v>
      </c>
      <c r="B65" s="57" t="s">
        <v>51</v>
      </c>
      <c r="C65" s="57" t="s">
        <v>49</v>
      </c>
      <c r="D65" s="57" t="s">
        <v>48</v>
      </c>
      <c r="E65" s="57" t="s">
        <v>50</v>
      </c>
      <c r="F65" s="10" t="s">
        <v>371</v>
      </c>
      <c r="G65" s="10">
        <v>2100</v>
      </c>
      <c r="H65" s="10"/>
      <c r="I65" s="88"/>
      <c r="J65" s="2" t="b">
        <v>1</v>
      </c>
      <c r="K65" s="10">
        <v>2100</v>
      </c>
    </row>
    <row r="66" spans="1:11">
      <c r="A66" s="10" t="s">
        <v>155</v>
      </c>
      <c r="B66" s="57" t="s">
        <v>51</v>
      </c>
      <c r="C66" s="57" t="s">
        <v>49</v>
      </c>
      <c r="D66" s="57" t="s">
        <v>48</v>
      </c>
      <c r="E66" s="57" t="s">
        <v>50</v>
      </c>
      <c r="F66" s="10" t="s">
        <v>372</v>
      </c>
      <c r="G66" s="10">
        <v>100</v>
      </c>
      <c r="H66" s="10"/>
      <c r="I66" s="88"/>
      <c r="J66" s="2" t="b">
        <v>1</v>
      </c>
      <c r="K66" s="10">
        <v>100</v>
      </c>
    </row>
    <row r="67" spans="1:11">
      <c r="A67" s="10" t="s">
        <v>155</v>
      </c>
      <c r="B67" s="57" t="s">
        <v>51</v>
      </c>
      <c r="C67" s="57" t="s">
        <v>49</v>
      </c>
      <c r="D67" s="57" t="s">
        <v>48</v>
      </c>
      <c r="E67" s="57" t="s">
        <v>50</v>
      </c>
      <c r="F67" s="10" t="s">
        <v>373</v>
      </c>
      <c r="G67" s="10">
        <v>1200</v>
      </c>
      <c r="H67" s="10"/>
      <c r="I67" s="88"/>
      <c r="J67" s="2" t="b">
        <v>1</v>
      </c>
      <c r="K67" s="10">
        <v>1200</v>
      </c>
    </row>
    <row r="68" spans="1:11">
      <c r="A68" s="10" t="s">
        <v>155</v>
      </c>
      <c r="B68" s="57" t="s">
        <v>51</v>
      </c>
      <c r="C68" s="57" t="s">
        <v>49</v>
      </c>
      <c r="D68" s="57" t="s">
        <v>48</v>
      </c>
      <c r="E68" s="57" t="s">
        <v>50</v>
      </c>
      <c r="F68" s="10" t="s">
        <v>374</v>
      </c>
      <c r="G68" s="10">
        <v>4</v>
      </c>
      <c r="H68" s="10"/>
      <c r="I68" s="88"/>
      <c r="J68" s="2" t="b">
        <v>1</v>
      </c>
      <c r="K68" s="10">
        <v>4</v>
      </c>
    </row>
    <row r="69" spans="1:11">
      <c r="A69" s="10" t="s">
        <v>155</v>
      </c>
      <c r="B69" s="91" t="s">
        <v>51</v>
      </c>
      <c r="C69" s="91" t="s">
        <v>49</v>
      </c>
      <c r="D69" s="91" t="s">
        <v>48</v>
      </c>
      <c r="E69" s="91" t="s">
        <v>50</v>
      </c>
      <c r="F69" s="10" t="s">
        <v>455</v>
      </c>
      <c r="G69" s="10">
        <v>12</v>
      </c>
      <c r="H69" s="10"/>
      <c r="I69" s="88"/>
      <c r="J69" s="2" t="b">
        <v>1</v>
      </c>
      <c r="K69" s="10">
        <v>12</v>
      </c>
    </row>
    <row r="70" spans="1:11">
      <c r="A70" s="10" t="s">
        <v>155</v>
      </c>
      <c r="B70" s="91" t="s">
        <v>51</v>
      </c>
      <c r="C70" s="91" t="s">
        <v>49</v>
      </c>
      <c r="D70" s="91" t="s">
        <v>48</v>
      </c>
      <c r="E70" s="91" t="s">
        <v>50</v>
      </c>
      <c r="F70" s="10" t="s">
        <v>456</v>
      </c>
      <c r="G70" s="10">
        <v>8</v>
      </c>
      <c r="H70" s="10"/>
      <c r="I70" s="88"/>
      <c r="J70" s="2" t="b">
        <v>1</v>
      </c>
      <c r="K70" s="10">
        <v>8</v>
      </c>
    </row>
    <row r="71" spans="1:11">
      <c r="A71" s="10" t="s">
        <v>155</v>
      </c>
      <c r="B71" s="91" t="s">
        <v>51</v>
      </c>
      <c r="C71" s="91" t="s">
        <v>49</v>
      </c>
      <c r="D71" s="91" t="s">
        <v>48</v>
      </c>
      <c r="E71" s="91" t="s">
        <v>50</v>
      </c>
      <c r="F71" s="10" t="s">
        <v>457</v>
      </c>
      <c r="G71" s="10">
        <v>4</v>
      </c>
      <c r="H71" s="10"/>
      <c r="I71" s="88"/>
      <c r="J71" s="2" t="b">
        <v>1</v>
      </c>
      <c r="K71" s="10">
        <v>4</v>
      </c>
    </row>
    <row r="72" spans="1:11">
      <c r="A72" s="10" t="s">
        <v>155</v>
      </c>
      <c r="B72" s="91" t="s">
        <v>51</v>
      </c>
      <c r="C72" s="91" t="s">
        <v>49</v>
      </c>
      <c r="D72" s="91" t="s">
        <v>48</v>
      </c>
      <c r="E72" s="91" t="s">
        <v>50</v>
      </c>
      <c r="F72" s="10" t="s">
        <v>458</v>
      </c>
      <c r="G72" s="10">
        <v>2</v>
      </c>
      <c r="H72" s="10"/>
      <c r="I72" s="88"/>
      <c r="J72" s="2" t="b">
        <v>1</v>
      </c>
      <c r="K72" s="10">
        <v>2</v>
      </c>
    </row>
    <row r="73" spans="1:11">
      <c r="A73" s="10" t="s">
        <v>155</v>
      </c>
      <c r="B73" s="91" t="s">
        <v>51</v>
      </c>
      <c r="C73" s="91" t="s">
        <v>49</v>
      </c>
      <c r="D73" s="91" t="s">
        <v>48</v>
      </c>
      <c r="E73" s="91" t="s">
        <v>50</v>
      </c>
      <c r="F73" s="10" t="s">
        <v>459</v>
      </c>
      <c r="G73" s="10">
        <v>3</v>
      </c>
      <c r="H73" s="10"/>
      <c r="I73" s="88"/>
      <c r="J73" s="2" t="b">
        <v>1</v>
      </c>
      <c r="K73" s="10">
        <v>3</v>
      </c>
    </row>
    <row r="74" spans="1:11">
      <c r="B74" s="91" t="s">
        <v>51</v>
      </c>
      <c r="C74" s="91" t="s">
        <v>49</v>
      </c>
      <c r="D74" s="91" t="s">
        <v>48</v>
      </c>
      <c r="E74" s="91" t="s">
        <v>50</v>
      </c>
      <c r="F74" s="10" t="s">
        <v>468</v>
      </c>
      <c r="G74" s="10">
        <v>7</v>
      </c>
      <c r="H74" s="10"/>
      <c r="I74" s="88"/>
      <c r="J74" s="2" t="b">
        <v>1</v>
      </c>
      <c r="K74" s="10">
        <v>7</v>
      </c>
    </row>
    <row r="75" spans="1:11">
      <c r="B75" s="91" t="s">
        <v>51</v>
      </c>
      <c r="C75" s="91" t="s">
        <v>49</v>
      </c>
      <c r="D75" s="91" t="s">
        <v>48</v>
      </c>
      <c r="E75" s="91" t="s">
        <v>50</v>
      </c>
      <c r="F75" s="10" t="s">
        <v>469</v>
      </c>
      <c r="G75" s="10">
        <v>3</v>
      </c>
      <c r="H75" s="10"/>
      <c r="I75" s="88"/>
      <c r="J75" s="2" t="b">
        <v>1</v>
      </c>
      <c r="K75" s="10">
        <v>3</v>
      </c>
    </row>
    <row r="76" spans="1:11">
      <c r="B76" s="91" t="s">
        <v>51</v>
      </c>
      <c r="C76" s="91" t="s">
        <v>49</v>
      </c>
      <c r="D76" s="91" t="s">
        <v>48</v>
      </c>
      <c r="E76" s="91" t="s">
        <v>50</v>
      </c>
      <c r="F76" s="10" t="s">
        <v>470</v>
      </c>
      <c r="G76" s="10">
        <v>2</v>
      </c>
      <c r="H76" s="10"/>
      <c r="I76" s="88"/>
      <c r="J76" s="2" t="b">
        <v>1</v>
      </c>
      <c r="K76" s="10">
        <v>2</v>
      </c>
    </row>
    <row r="77" spans="1:11">
      <c r="B77" s="91" t="s">
        <v>51</v>
      </c>
      <c r="C77" s="91" t="s">
        <v>49</v>
      </c>
      <c r="D77" s="91" t="s">
        <v>48</v>
      </c>
      <c r="E77" s="91" t="s">
        <v>50</v>
      </c>
      <c r="F77" s="10" t="s">
        <v>471</v>
      </c>
      <c r="G77" s="10">
        <v>1</v>
      </c>
      <c r="H77" s="10"/>
      <c r="I77" s="88"/>
      <c r="J77" s="2" t="b">
        <v>1</v>
      </c>
      <c r="K77" s="10">
        <v>1</v>
      </c>
    </row>
    <row r="78" spans="1:11">
      <c r="B78" s="91" t="s">
        <v>51</v>
      </c>
      <c r="C78" s="91" t="s">
        <v>49</v>
      </c>
      <c r="D78" s="91" t="s">
        <v>48</v>
      </c>
      <c r="E78" s="91" t="s">
        <v>50</v>
      </c>
      <c r="F78" s="10" t="s">
        <v>472</v>
      </c>
      <c r="G78" s="10">
        <v>6</v>
      </c>
      <c r="H78" s="10"/>
      <c r="I78" s="88"/>
      <c r="J78" s="2" t="b">
        <v>1</v>
      </c>
      <c r="K78" s="10">
        <v>6</v>
      </c>
    </row>
    <row r="79" spans="1:11">
      <c r="B79" s="91" t="s">
        <v>51</v>
      </c>
      <c r="C79" s="91" t="s">
        <v>49</v>
      </c>
      <c r="D79" s="91" t="s">
        <v>48</v>
      </c>
      <c r="E79" s="91" t="s">
        <v>50</v>
      </c>
      <c r="F79" s="22" t="s">
        <v>473</v>
      </c>
      <c r="G79" s="10">
        <v>23</v>
      </c>
      <c r="H79" s="10"/>
      <c r="I79" s="88"/>
      <c r="J79" s="2" t="b">
        <v>1</v>
      </c>
      <c r="K79" s="10">
        <v>23</v>
      </c>
    </row>
    <row r="80" spans="1:11">
      <c r="B80" s="10"/>
      <c r="C80" s="10"/>
      <c r="D80" s="10"/>
      <c r="E80" s="10"/>
      <c r="F80" s="10"/>
      <c r="G80" s="10"/>
      <c r="H80" s="10"/>
      <c r="I80" s="88"/>
      <c r="J80" s="11"/>
      <c r="K80" s="10"/>
    </row>
    <row r="81" spans="2:11">
      <c r="B81" s="10"/>
      <c r="C81" s="10"/>
      <c r="D81" s="10"/>
      <c r="E81" s="10"/>
      <c r="F81" s="10"/>
      <c r="G81" s="10"/>
      <c r="H81" s="10"/>
      <c r="I81" s="88"/>
      <c r="J81" s="11"/>
      <c r="K81" s="10"/>
    </row>
    <row r="82" spans="2:11">
      <c r="B82" s="10"/>
      <c r="C82" s="10"/>
      <c r="D82" s="10"/>
      <c r="E82" s="10"/>
      <c r="F82" s="10"/>
      <c r="G82" s="10"/>
      <c r="H82" s="10"/>
      <c r="I82" s="88"/>
      <c r="J82" s="11"/>
      <c r="K82" s="10"/>
    </row>
    <row r="83" spans="2:11">
      <c r="B83" s="10"/>
      <c r="C83" s="10"/>
      <c r="D83" s="10"/>
      <c r="E83" s="10"/>
      <c r="F83" s="10"/>
      <c r="G83" s="10"/>
      <c r="H83" s="10"/>
      <c r="I83" s="88"/>
      <c r="J83" s="11"/>
      <c r="K83" s="10"/>
    </row>
    <row r="84" spans="2:11">
      <c r="B84" s="10"/>
      <c r="C84" s="10"/>
      <c r="D84" s="10"/>
      <c r="E84" s="10"/>
      <c r="F84" s="10"/>
      <c r="G84" s="10"/>
      <c r="H84" s="10"/>
      <c r="I84" s="88"/>
      <c r="J84" s="11"/>
      <c r="K84" s="10"/>
    </row>
    <row r="85" spans="2:11">
      <c r="B85" s="10"/>
      <c r="C85" s="10"/>
      <c r="D85" s="10"/>
      <c r="E85" s="10"/>
      <c r="F85" s="10"/>
      <c r="G85" s="10"/>
      <c r="H85" s="10"/>
      <c r="I85" s="88"/>
      <c r="J85" s="11"/>
      <c r="K85" s="10"/>
    </row>
    <row r="86" spans="2:11">
      <c r="B86" s="10"/>
      <c r="C86" s="10"/>
      <c r="D86" s="10"/>
      <c r="E86" s="10"/>
      <c r="F86" s="10"/>
      <c r="G86" s="10"/>
      <c r="H86" s="10"/>
      <c r="I86" s="88"/>
      <c r="J86" s="11"/>
      <c r="K86" s="10"/>
    </row>
    <row r="87" spans="2:11">
      <c r="B87" s="10"/>
      <c r="C87" s="10"/>
      <c r="D87" s="10"/>
      <c r="E87" s="10"/>
      <c r="F87" s="10"/>
      <c r="G87" s="10"/>
      <c r="H87" s="10"/>
      <c r="I87" s="88"/>
      <c r="J87" s="11"/>
      <c r="K87" s="10"/>
    </row>
    <row r="88" spans="2:11">
      <c r="B88" s="10"/>
      <c r="C88" s="10"/>
      <c r="D88" s="10"/>
      <c r="E88" s="10"/>
      <c r="F88" s="10"/>
      <c r="G88" s="10"/>
      <c r="H88" s="10"/>
      <c r="I88" s="88"/>
      <c r="J88" s="11"/>
      <c r="K88" s="10"/>
    </row>
    <row r="89" spans="2:11">
      <c r="B89" s="10"/>
      <c r="C89" s="10"/>
      <c r="D89" s="10"/>
      <c r="E89" s="10"/>
      <c r="F89" s="10"/>
      <c r="G89" s="10"/>
      <c r="H89" s="10"/>
      <c r="I89" s="88"/>
      <c r="J89" s="11"/>
      <c r="K89" s="10"/>
    </row>
    <row r="90" spans="2:11">
      <c r="B90" s="10"/>
      <c r="C90" s="10"/>
      <c r="D90" s="10"/>
      <c r="E90" s="10"/>
      <c r="F90" s="10"/>
      <c r="G90" s="10"/>
      <c r="H90" s="10"/>
      <c r="I90" s="88"/>
      <c r="J90" s="11"/>
      <c r="K90" s="10"/>
    </row>
    <row r="91" spans="2:11">
      <c r="B91" s="10"/>
      <c r="C91" s="10"/>
      <c r="D91" s="10"/>
      <c r="E91" s="10"/>
      <c r="F91" s="10"/>
      <c r="G91" s="10"/>
      <c r="H91" s="10"/>
      <c r="I91" s="88"/>
      <c r="J91" s="11"/>
      <c r="K91" s="10"/>
    </row>
    <row r="92" spans="2:11">
      <c r="B92" s="10"/>
      <c r="C92" s="10"/>
      <c r="D92" s="10"/>
      <c r="E92" s="10"/>
      <c r="F92" s="10"/>
      <c r="G92" s="10"/>
      <c r="H92" s="10"/>
      <c r="I92" s="88"/>
      <c r="J92" s="11"/>
      <c r="K92" s="10"/>
    </row>
    <row r="93" spans="2:11">
      <c r="B93" s="10"/>
      <c r="C93" s="10"/>
      <c r="D93" s="10"/>
      <c r="E93" s="10"/>
      <c r="F93" s="10"/>
      <c r="G93" s="10"/>
      <c r="H93" s="10"/>
      <c r="I93" s="88"/>
      <c r="J93" s="11"/>
      <c r="K93" s="10"/>
    </row>
    <row r="94" spans="2:11">
      <c r="B94" s="10"/>
      <c r="C94" s="10"/>
      <c r="D94" s="10"/>
      <c r="E94" s="10"/>
      <c r="F94" s="10"/>
      <c r="G94" s="10"/>
      <c r="H94" s="10"/>
      <c r="I94" s="88"/>
      <c r="J94" s="11"/>
      <c r="K94" s="10"/>
    </row>
    <row r="95" spans="2:11">
      <c r="B95" s="10"/>
      <c r="C95" s="10"/>
      <c r="D95" s="10"/>
      <c r="E95" s="10"/>
      <c r="F95" s="10"/>
      <c r="G95" s="10"/>
      <c r="H95" s="10"/>
      <c r="I95" s="88"/>
      <c r="J95" s="11"/>
      <c r="K95" s="10"/>
    </row>
    <row r="96" spans="2:11">
      <c r="B96" s="10"/>
      <c r="C96" s="10"/>
      <c r="D96" s="10"/>
      <c r="E96" s="10"/>
      <c r="F96" s="10"/>
      <c r="G96" s="10"/>
      <c r="H96" s="10"/>
      <c r="I96" s="88"/>
      <c r="J96" s="11"/>
      <c r="K96" s="10"/>
    </row>
    <row r="97" spans="2:11">
      <c r="B97" s="10"/>
      <c r="C97" s="10"/>
      <c r="D97" s="10"/>
      <c r="E97" s="10"/>
      <c r="F97" s="10"/>
      <c r="G97" s="10"/>
      <c r="H97" s="10"/>
      <c r="I97" s="88"/>
      <c r="J97" s="11"/>
      <c r="K97" s="10"/>
    </row>
    <row r="98" spans="2:11">
      <c r="B98" s="10"/>
      <c r="C98" s="10"/>
      <c r="D98" s="10"/>
      <c r="E98" s="10"/>
      <c r="F98" s="10"/>
      <c r="G98" s="10"/>
      <c r="H98" s="10"/>
      <c r="I98" s="88"/>
      <c r="J98" s="11"/>
      <c r="K98" s="10"/>
    </row>
    <row r="99" spans="2:11">
      <c r="B99" s="10"/>
      <c r="C99" s="10"/>
      <c r="D99" s="10"/>
      <c r="E99" s="10"/>
      <c r="F99" s="10"/>
      <c r="G99" s="10"/>
      <c r="H99" s="10"/>
      <c r="I99" s="88"/>
      <c r="J99" s="11"/>
      <c r="K99" s="10"/>
    </row>
    <row r="100" spans="2:11">
      <c r="B100" s="10"/>
      <c r="C100" s="10"/>
      <c r="D100" s="10"/>
      <c r="E100" s="10"/>
      <c r="F100" s="10"/>
      <c r="G100" s="10"/>
      <c r="H100" s="10"/>
      <c r="I100" s="88"/>
      <c r="J100" s="11"/>
      <c r="K100" s="10"/>
    </row>
    <row r="101" spans="2:11">
      <c r="B101" s="10"/>
      <c r="C101" s="10"/>
      <c r="D101" s="10"/>
      <c r="E101" s="10"/>
      <c r="F101" s="10"/>
      <c r="G101" s="10"/>
      <c r="H101" s="10"/>
      <c r="I101" s="88"/>
      <c r="J101" s="11"/>
      <c r="K101" s="10"/>
    </row>
    <row r="102" spans="2:11">
      <c r="B102" s="10"/>
      <c r="C102" s="10"/>
      <c r="D102" s="10"/>
      <c r="E102" s="10"/>
      <c r="F102" s="10"/>
      <c r="G102" s="10"/>
      <c r="H102" s="10"/>
      <c r="I102" s="88"/>
      <c r="J102" s="11"/>
      <c r="K102" s="10"/>
    </row>
    <row r="103" spans="2:11">
      <c r="B103" s="10"/>
      <c r="C103" s="10"/>
      <c r="D103" s="10"/>
      <c r="E103" s="10"/>
      <c r="F103" s="10"/>
      <c r="G103" s="10"/>
      <c r="H103" s="10"/>
      <c r="I103" s="88"/>
      <c r="J103" s="11"/>
      <c r="K103" s="10"/>
    </row>
    <row r="104" spans="2:11">
      <c r="B104" s="10"/>
      <c r="C104" s="10"/>
      <c r="D104" s="10"/>
      <c r="E104" s="10"/>
      <c r="F104" s="10"/>
      <c r="G104" s="10"/>
      <c r="H104" s="10"/>
      <c r="I104" s="88"/>
      <c r="J104" s="11"/>
      <c r="K104" s="10"/>
    </row>
    <row r="105" spans="2:11">
      <c r="B105" s="10"/>
      <c r="C105" s="10"/>
      <c r="D105" s="10"/>
      <c r="E105" s="10"/>
      <c r="F105" s="10"/>
      <c r="G105" s="10"/>
      <c r="H105" s="10"/>
      <c r="I105" s="88"/>
      <c r="J105" s="11"/>
      <c r="K105" s="10"/>
    </row>
    <row r="106" spans="2:11">
      <c r="B106" s="10"/>
      <c r="C106" s="10"/>
      <c r="D106" s="10"/>
      <c r="E106" s="10"/>
      <c r="F106" s="10"/>
      <c r="G106" s="10"/>
      <c r="H106" s="10"/>
      <c r="I106" s="88"/>
      <c r="J106" s="11"/>
      <c r="K106" s="10"/>
    </row>
    <row r="107" spans="2:11">
      <c r="B107" s="10"/>
      <c r="C107" s="10"/>
      <c r="D107" s="10"/>
      <c r="E107" s="10"/>
      <c r="F107" s="10"/>
      <c r="G107" s="10"/>
      <c r="H107" s="10"/>
      <c r="I107" s="88"/>
      <c r="J107" s="11"/>
      <c r="K107" s="10"/>
    </row>
    <row r="108" spans="2:11">
      <c r="B108" s="10"/>
      <c r="C108" s="10"/>
      <c r="D108" s="10"/>
      <c r="E108" s="10"/>
      <c r="F108" s="10"/>
      <c r="G108" s="10"/>
      <c r="H108" s="10"/>
      <c r="I108" s="88"/>
      <c r="J108" s="11"/>
      <c r="K108" s="10"/>
    </row>
    <row r="109" spans="2:11">
      <c r="B109" s="10"/>
      <c r="C109" s="10"/>
      <c r="D109" s="10"/>
      <c r="E109" s="10"/>
      <c r="F109" s="10"/>
      <c r="G109" s="10"/>
      <c r="H109" s="10"/>
      <c r="I109" s="88"/>
      <c r="J109" s="11"/>
      <c r="K109" s="10"/>
    </row>
    <row r="110" spans="2:11">
      <c r="B110" s="10"/>
      <c r="C110" s="10"/>
      <c r="D110" s="10"/>
      <c r="E110" s="10"/>
      <c r="F110" s="10"/>
      <c r="G110" s="10"/>
      <c r="H110" s="10"/>
      <c r="I110" s="88"/>
      <c r="J110" s="11"/>
      <c r="K110" s="10"/>
    </row>
    <row r="111" spans="2:11">
      <c r="B111" s="10"/>
      <c r="C111" s="10"/>
      <c r="D111" s="10"/>
      <c r="E111" s="10"/>
      <c r="F111" s="10"/>
      <c r="G111" s="10"/>
      <c r="H111" s="10"/>
      <c r="I111" s="88"/>
      <c r="J111" s="11"/>
      <c r="K111" s="10"/>
    </row>
    <row r="112" spans="2:11">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row r="3169" spans="2:11">
      <c r="B3169" s="10"/>
      <c r="C3169" s="10"/>
      <c r="D3169" s="10"/>
      <c r="E3169" s="10"/>
      <c r="F3169" s="10"/>
      <c r="G3169" s="10"/>
      <c r="H3169" s="10"/>
      <c r="I3169" s="88"/>
      <c r="J3169" s="11"/>
      <c r="K3169" s="10"/>
    </row>
  </sheetData>
  <autoFilter ref="A1:K68"/>
  <pageMargins left="0.7" right="0.7" top="0.75" bottom="0.75" header="0.3" footer="0.3"/>
  <pageSetup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M135"/>
  <sheetViews>
    <sheetView workbookViewId="0">
      <pane ySplit="1" topLeftCell="A117" activePane="bottomLeft" state="frozen"/>
      <selection pane="bottomLeft" activeCell="J136" sqref="J136"/>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s>
  <sheetData>
    <row r="1" spans="1:13">
      <c r="A1" s="12" t="s">
        <v>150</v>
      </c>
      <c r="B1" s="12" t="s">
        <v>0</v>
      </c>
      <c r="C1" s="12" t="s">
        <v>88</v>
      </c>
      <c r="D1" s="12" t="s">
        <v>3</v>
      </c>
      <c r="E1" s="12" t="s">
        <v>52</v>
      </c>
      <c r="F1" s="12" t="s">
        <v>53</v>
      </c>
      <c r="G1" s="12" t="s">
        <v>54</v>
      </c>
      <c r="H1" s="12" t="s">
        <v>55</v>
      </c>
      <c r="I1" s="12" t="s">
        <v>56</v>
      </c>
      <c r="J1" s="12" t="s">
        <v>57</v>
      </c>
      <c r="K1" s="16" t="s">
        <v>335</v>
      </c>
      <c r="L1" s="12" t="s">
        <v>295</v>
      </c>
      <c r="M1" s="95" t="s">
        <v>467</v>
      </c>
    </row>
    <row r="2" spans="1:13">
      <c r="A2" s="10" t="s">
        <v>165</v>
      </c>
      <c r="B2" s="10" t="s">
        <v>51</v>
      </c>
      <c r="C2" s="10" t="s">
        <v>49</v>
      </c>
      <c r="D2" s="10" t="s">
        <v>58</v>
      </c>
      <c r="E2" s="11">
        <v>0</v>
      </c>
      <c r="F2" s="11">
        <v>0</v>
      </c>
      <c r="G2" s="11">
        <v>346708473</v>
      </c>
      <c r="H2" s="11">
        <v>0</v>
      </c>
      <c r="I2" s="11">
        <v>0</v>
      </c>
      <c r="J2" s="11"/>
    </row>
    <row r="3" spans="1:13">
      <c r="A3" s="10" t="s">
        <v>165</v>
      </c>
      <c r="B3" s="10" t="s">
        <v>51</v>
      </c>
      <c r="C3" s="10" t="s">
        <v>49</v>
      </c>
      <c r="D3" s="10" t="s">
        <v>59</v>
      </c>
      <c r="E3" s="11">
        <v>0</v>
      </c>
      <c r="F3" s="11">
        <v>0</v>
      </c>
      <c r="G3" s="11">
        <v>9373164</v>
      </c>
      <c r="H3" s="11">
        <v>0</v>
      </c>
      <c r="I3" s="11">
        <v>0</v>
      </c>
      <c r="J3" s="11"/>
    </row>
    <row r="4" spans="1:13">
      <c r="A4" s="10" t="s">
        <v>165</v>
      </c>
      <c r="B4" s="10" t="s">
        <v>51</v>
      </c>
      <c r="C4" s="10" t="s">
        <v>49</v>
      </c>
      <c r="D4" s="10" t="s">
        <v>60</v>
      </c>
      <c r="E4" s="11">
        <v>0</v>
      </c>
      <c r="F4" s="11">
        <v>0</v>
      </c>
      <c r="G4" s="11">
        <v>397905909</v>
      </c>
      <c r="H4" s="11">
        <v>0</v>
      </c>
      <c r="I4" s="11">
        <v>0</v>
      </c>
      <c r="J4" s="11"/>
    </row>
    <row r="5" spans="1:13">
      <c r="A5" s="10" t="s">
        <v>165</v>
      </c>
      <c r="B5" s="10" t="s">
        <v>51</v>
      </c>
      <c r="C5" s="10" t="s">
        <v>49</v>
      </c>
      <c r="D5" s="10" t="s">
        <v>61</v>
      </c>
      <c r="E5" s="11">
        <v>0</v>
      </c>
      <c r="F5" s="11">
        <v>0</v>
      </c>
      <c r="G5" s="11">
        <v>14840</v>
      </c>
      <c r="H5" s="11">
        <v>0</v>
      </c>
      <c r="I5" s="11">
        <v>0</v>
      </c>
      <c r="J5" s="11"/>
    </row>
    <row r="6" spans="1:13">
      <c r="A6" s="10" t="s">
        <v>165</v>
      </c>
      <c r="B6" s="10" t="s">
        <v>51</v>
      </c>
      <c r="C6" s="10" t="s">
        <v>49</v>
      </c>
      <c r="D6" s="10" t="s">
        <v>62</v>
      </c>
      <c r="E6" s="11">
        <v>0</v>
      </c>
      <c r="F6" s="11">
        <v>0</v>
      </c>
      <c r="G6" s="11">
        <v>0</v>
      </c>
      <c r="H6" s="11">
        <v>0</v>
      </c>
      <c r="I6" s="11">
        <v>0</v>
      </c>
      <c r="J6" s="11"/>
    </row>
    <row r="7" spans="1:13">
      <c r="A7" s="10" t="s">
        <v>165</v>
      </c>
      <c r="B7" s="10" t="s">
        <v>51</v>
      </c>
      <c r="C7" s="10" t="s">
        <v>49</v>
      </c>
      <c r="D7" s="10" t="s">
        <v>63</v>
      </c>
      <c r="E7" s="11">
        <v>0</v>
      </c>
      <c r="F7" s="11">
        <v>0</v>
      </c>
      <c r="G7" s="11">
        <v>0</v>
      </c>
      <c r="H7" s="11">
        <v>0</v>
      </c>
      <c r="I7" s="11">
        <v>0</v>
      </c>
      <c r="J7" s="11"/>
    </row>
    <row r="8" spans="1:13">
      <c r="A8" s="10" t="s">
        <v>165</v>
      </c>
      <c r="B8" s="10" t="s">
        <v>51</v>
      </c>
      <c r="C8" s="10" t="s">
        <v>49</v>
      </c>
      <c r="D8" s="10" t="s">
        <v>64</v>
      </c>
      <c r="E8" s="11">
        <v>0</v>
      </c>
      <c r="F8" s="11">
        <v>0</v>
      </c>
      <c r="G8" s="11">
        <v>3728</v>
      </c>
      <c r="H8" s="11">
        <v>0</v>
      </c>
      <c r="I8" s="11">
        <v>0</v>
      </c>
      <c r="J8" s="11"/>
    </row>
    <row r="9" spans="1:13">
      <c r="A9" s="10" t="s">
        <v>165</v>
      </c>
      <c r="B9" s="10" t="s">
        <v>51</v>
      </c>
      <c r="C9" s="10" t="s">
        <v>49</v>
      </c>
      <c r="D9" s="10" t="s">
        <v>65</v>
      </c>
      <c r="E9" s="11">
        <v>0</v>
      </c>
      <c r="F9" s="11">
        <v>1</v>
      </c>
      <c r="G9" s="11">
        <v>8237</v>
      </c>
      <c r="H9" s="11">
        <v>0</v>
      </c>
      <c r="I9" s="11">
        <v>0</v>
      </c>
      <c r="J9" s="11"/>
    </row>
    <row r="10" spans="1:13">
      <c r="A10" s="10" t="s">
        <v>165</v>
      </c>
      <c r="B10" s="10" t="s">
        <v>51</v>
      </c>
      <c r="C10" s="10" t="s">
        <v>49</v>
      </c>
      <c r="D10" s="10" t="s">
        <v>66</v>
      </c>
      <c r="E10" s="11">
        <v>0</v>
      </c>
      <c r="F10" s="11">
        <v>0</v>
      </c>
      <c r="G10" s="11">
        <v>9047891</v>
      </c>
      <c r="H10" s="11">
        <v>0</v>
      </c>
      <c r="I10" s="11">
        <v>0</v>
      </c>
      <c r="J10" s="11"/>
    </row>
    <row r="11" spans="1:13">
      <c r="A11" s="10" t="s">
        <v>165</v>
      </c>
      <c r="B11" s="10" t="s">
        <v>51</v>
      </c>
      <c r="C11" s="10" t="s">
        <v>49</v>
      </c>
      <c r="D11" s="10" t="s">
        <v>67</v>
      </c>
      <c r="E11" s="11">
        <v>0</v>
      </c>
      <c r="F11" s="11">
        <v>0</v>
      </c>
      <c r="G11" s="11">
        <v>0</v>
      </c>
      <c r="H11" s="11">
        <v>0</v>
      </c>
      <c r="I11" s="11">
        <v>0</v>
      </c>
      <c r="J11" s="11"/>
    </row>
    <row r="12" spans="1:13">
      <c r="A12" s="10" t="s">
        <v>165</v>
      </c>
      <c r="B12" s="10" t="s">
        <v>51</v>
      </c>
      <c r="C12" s="10" t="s">
        <v>49</v>
      </c>
      <c r="D12" s="10" t="s">
        <v>68</v>
      </c>
      <c r="E12" s="11">
        <v>0</v>
      </c>
      <c r="F12" s="11">
        <v>0</v>
      </c>
      <c r="G12" s="11">
        <v>126</v>
      </c>
      <c r="H12" s="11">
        <v>0</v>
      </c>
      <c r="I12" s="11">
        <v>0</v>
      </c>
      <c r="J12" s="11"/>
    </row>
    <row r="13" spans="1:13">
      <c r="A13" s="10" t="s">
        <v>165</v>
      </c>
      <c r="B13" s="10" t="s">
        <v>51</v>
      </c>
      <c r="C13" s="10" t="s">
        <v>49</v>
      </c>
      <c r="D13" s="10" t="s">
        <v>69</v>
      </c>
      <c r="E13" s="11">
        <v>0</v>
      </c>
      <c r="F13" s="11">
        <v>0</v>
      </c>
      <c r="G13" s="11">
        <v>0</v>
      </c>
      <c r="H13" s="11">
        <v>0</v>
      </c>
      <c r="I13" s="11">
        <v>0</v>
      </c>
      <c r="J13" s="11"/>
    </row>
    <row r="14" spans="1:13">
      <c r="A14" s="10" t="s">
        <v>165</v>
      </c>
      <c r="B14" s="10" t="s">
        <v>51</v>
      </c>
      <c r="C14" s="10" t="s">
        <v>49</v>
      </c>
      <c r="D14" s="10" t="s">
        <v>70</v>
      </c>
      <c r="E14" s="11">
        <v>0</v>
      </c>
      <c r="F14" s="11">
        <v>0</v>
      </c>
      <c r="G14" s="11">
        <v>2646529</v>
      </c>
      <c r="H14" s="11">
        <v>0</v>
      </c>
      <c r="I14" s="11">
        <v>0</v>
      </c>
      <c r="J14" s="11"/>
    </row>
    <row r="15" spans="1:13">
      <c r="A15" s="10" t="s">
        <v>165</v>
      </c>
      <c r="B15" s="10" t="s">
        <v>51</v>
      </c>
      <c r="C15" s="10" t="s">
        <v>49</v>
      </c>
      <c r="D15" s="10" t="s">
        <v>71</v>
      </c>
      <c r="E15" s="11">
        <v>0</v>
      </c>
      <c r="F15" s="11">
        <v>0</v>
      </c>
      <c r="G15" s="11">
        <v>36102</v>
      </c>
      <c r="H15" s="11">
        <v>0</v>
      </c>
      <c r="I15" s="11">
        <v>0</v>
      </c>
      <c r="J15" s="11"/>
    </row>
    <row r="16" spans="1:13">
      <c r="A16" s="10" t="s">
        <v>165</v>
      </c>
      <c r="B16" s="10" t="s">
        <v>51</v>
      </c>
      <c r="C16" s="10" t="s">
        <v>49</v>
      </c>
      <c r="D16" s="10" t="s">
        <v>72</v>
      </c>
      <c r="E16" s="11">
        <v>0</v>
      </c>
      <c r="F16" s="11">
        <v>0</v>
      </c>
      <c r="G16" s="11">
        <v>269</v>
      </c>
      <c r="H16" s="11">
        <v>0</v>
      </c>
      <c r="I16" s="11">
        <v>0</v>
      </c>
      <c r="J16" s="11"/>
    </row>
    <row r="17" spans="1:13">
      <c r="A17" s="10" t="s">
        <v>165</v>
      </c>
      <c r="B17" s="10" t="s">
        <v>51</v>
      </c>
      <c r="C17" s="10" t="s">
        <v>49</v>
      </c>
      <c r="D17" s="22" t="s">
        <v>73</v>
      </c>
      <c r="E17" s="11">
        <v>0</v>
      </c>
      <c r="F17" s="11">
        <v>0</v>
      </c>
      <c r="G17" s="11">
        <v>305803</v>
      </c>
      <c r="H17" s="11">
        <v>0</v>
      </c>
      <c r="I17" s="11">
        <v>0</v>
      </c>
      <c r="J17" s="11"/>
    </row>
    <row r="18" spans="1:13">
      <c r="A18" s="10" t="s">
        <v>165</v>
      </c>
      <c r="B18" s="10" t="s">
        <v>51</v>
      </c>
      <c r="C18" s="10" t="s">
        <v>49</v>
      </c>
      <c r="D18" s="10" t="s">
        <v>74</v>
      </c>
      <c r="E18" s="11">
        <v>0</v>
      </c>
      <c r="F18" s="11">
        <v>0</v>
      </c>
      <c r="G18" s="11">
        <v>51</v>
      </c>
      <c r="H18" s="11">
        <v>0</v>
      </c>
      <c r="I18" s="11">
        <v>0</v>
      </c>
      <c r="J18" s="11"/>
    </row>
    <row r="19" spans="1:13">
      <c r="A19" s="10" t="s">
        <v>165</v>
      </c>
      <c r="B19" s="10" t="s">
        <v>51</v>
      </c>
      <c r="C19" s="10" t="s">
        <v>49</v>
      </c>
      <c r="D19" s="10" t="s">
        <v>75</v>
      </c>
      <c r="E19" s="11">
        <v>0</v>
      </c>
      <c r="F19" s="11">
        <v>0</v>
      </c>
      <c r="G19" s="11">
        <v>0</v>
      </c>
      <c r="H19" s="11">
        <v>0</v>
      </c>
      <c r="I19" s="11">
        <v>0</v>
      </c>
      <c r="J19" s="11"/>
    </row>
    <row r="20" spans="1:13">
      <c r="A20" s="10" t="s">
        <v>165</v>
      </c>
      <c r="B20" s="10" t="s">
        <v>51</v>
      </c>
      <c r="C20" s="10" t="s">
        <v>49</v>
      </c>
      <c r="D20" s="10" t="s">
        <v>76</v>
      </c>
      <c r="E20" s="11">
        <v>0</v>
      </c>
      <c r="F20" s="11">
        <v>0</v>
      </c>
      <c r="G20" s="11">
        <v>94410</v>
      </c>
      <c r="H20" s="11">
        <v>0</v>
      </c>
      <c r="I20" s="11">
        <v>0</v>
      </c>
      <c r="J20" s="11"/>
    </row>
    <row r="21" spans="1:13">
      <c r="A21" s="10" t="s">
        <v>165</v>
      </c>
      <c r="B21" s="10" t="s">
        <v>51</v>
      </c>
      <c r="C21" s="10" t="s">
        <v>49</v>
      </c>
      <c r="D21" s="10" t="s">
        <v>77</v>
      </c>
      <c r="E21" s="11">
        <v>0</v>
      </c>
      <c r="F21" s="11">
        <v>0</v>
      </c>
      <c r="G21" s="11">
        <v>174045</v>
      </c>
      <c r="H21" s="11">
        <v>0</v>
      </c>
      <c r="I21" s="11">
        <v>0</v>
      </c>
      <c r="J21" s="11"/>
    </row>
    <row r="22" spans="1:13">
      <c r="A22" s="10" t="s">
        <v>165</v>
      </c>
      <c r="B22" s="10" t="s">
        <v>51</v>
      </c>
      <c r="C22" s="10" t="s">
        <v>49</v>
      </c>
      <c r="D22" s="10" t="s">
        <v>78</v>
      </c>
      <c r="E22" s="11">
        <v>0</v>
      </c>
      <c r="F22" s="11">
        <v>0</v>
      </c>
      <c r="G22" s="11">
        <v>94416</v>
      </c>
      <c r="H22" s="11">
        <v>0</v>
      </c>
      <c r="I22" s="11">
        <v>0</v>
      </c>
      <c r="J22" s="11"/>
    </row>
    <row r="23" spans="1:13">
      <c r="A23" s="10" t="s">
        <v>165</v>
      </c>
      <c r="B23" s="10" t="s">
        <v>51</v>
      </c>
      <c r="C23" s="10" t="s">
        <v>49</v>
      </c>
      <c r="D23" s="10" t="s">
        <v>79</v>
      </c>
      <c r="E23" s="11"/>
      <c r="F23" s="11"/>
      <c r="G23" s="11"/>
      <c r="H23" s="11"/>
      <c r="I23" s="11"/>
      <c r="J23" s="11">
        <v>0</v>
      </c>
    </row>
    <row r="24" spans="1:13">
      <c r="A24" s="10" t="s">
        <v>165</v>
      </c>
      <c r="B24" s="10" t="s">
        <v>51</v>
      </c>
      <c r="C24" s="10" t="s">
        <v>49</v>
      </c>
      <c r="D24" s="10" t="s">
        <v>80</v>
      </c>
      <c r="E24" s="11"/>
      <c r="F24" s="11"/>
      <c r="G24" s="11"/>
      <c r="H24" s="11"/>
      <c r="I24" s="11"/>
      <c r="J24" s="11">
        <v>0</v>
      </c>
    </row>
    <row r="25" spans="1:13">
      <c r="A25" s="10" t="s">
        <v>165</v>
      </c>
      <c r="B25" s="10" t="s">
        <v>51</v>
      </c>
      <c r="C25" s="10" t="s">
        <v>49</v>
      </c>
      <c r="D25" s="10" t="s">
        <v>81</v>
      </c>
      <c r="E25" s="11"/>
      <c r="F25" s="11"/>
      <c r="G25" s="11"/>
      <c r="H25" s="11"/>
      <c r="I25" s="11"/>
      <c r="J25" s="11">
        <v>551</v>
      </c>
    </row>
    <row r="26" spans="1:13">
      <c r="A26" s="10" t="s">
        <v>165</v>
      </c>
      <c r="B26" s="10" t="s">
        <v>51</v>
      </c>
      <c r="C26" s="10" t="s">
        <v>49</v>
      </c>
      <c r="D26" s="10" t="s">
        <v>82</v>
      </c>
      <c r="E26" s="11"/>
      <c r="F26" s="11"/>
      <c r="G26" s="11"/>
      <c r="H26" s="11"/>
      <c r="I26" s="11"/>
      <c r="J26" s="11">
        <v>4670</v>
      </c>
    </row>
    <row r="27" spans="1:13">
      <c r="A27" s="10" t="s">
        <v>165</v>
      </c>
      <c r="B27" s="10" t="s">
        <v>51</v>
      </c>
      <c r="C27" s="10" t="s">
        <v>49</v>
      </c>
      <c r="D27" s="10" t="s">
        <v>83</v>
      </c>
      <c r="E27" s="11"/>
      <c r="F27" s="11"/>
      <c r="G27" s="11"/>
      <c r="H27" s="11"/>
      <c r="I27" s="11"/>
      <c r="J27" s="11">
        <v>0</v>
      </c>
    </row>
    <row r="28" spans="1:13">
      <c r="A28" s="10" t="s">
        <v>165</v>
      </c>
      <c r="B28" s="10" t="s">
        <v>51</v>
      </c>
      <c r="C28" s="10" t="s">
        <v>49</v>
      </c>
      <c r="D28" s="10" t="s">
        <v>84</v>
      </c>
      <c r="E28" s="11"/>
      <c r="F28" s="11"/>
      <c r="G28" s="11"/>
      <c r="H28" s="11"/>
      <c r="I28" s="11"/>
      <c r="J28" s="11">
        <v>0</v>
      </c>
    </row>
    <row r="29" spans="1:13">
      <c r="A29" s="10" t="s">
        <v>165</v>
      </c>
      <c r="B29" s="10" t="s">
        <v>51</v>
      </c>
      <c r="C29" s="10" t="s">
        <v>49</v>
      </c>
      <c r="D29" s="10" t="s">
        <v>85</v>
      </c>
      <c r="E29" s="11"/>
      <c r="F29" s="11"/>
      <c r="G29" s="11"/>
      <c r="H29" s="11"/>
      <c r="I29" s="11"/>
      <c r="J29" s="11">
        <v>0</v>
      </c>
    </row>
    <row r="30" spans="1:13">
      <c r="A30" s="10" t="s">
        <v>165</v>
      </c>
      <c r="B30" s="10" t="s">
        <v>51</v>
      </c>
      <c r="C30" s="10" t="s">
        <v>49</v>
      </c>
      <c r="D30" s="10" t="s">
        <v>86</v>
      </c>
      <c r="E30" s="11"/>
      <c r="F30" s="11"/>
      <c r="G30" s="11"/>
      <c r="H30" s="11"/>
      <c r="I30" s="11"/>
      <c r="J30" s="11">
        <v>0</v>
      </c>
    </row>
    <row r="31" spans="1:13">
      <c r="A31" s="10" t="s">
        <v>165</v>
      </c>
      <c r="B31" s="10" t="s">
        <v>51</v>
      </c>
      <c r="C31" s="10" t="s">
        <v>49</v>
      </c>
      <c r="D31" s="10" t="s">
        <v>87</v>
      </c>
      <c r="E31" s="11"/>
      <c r="F31" s="11"/>
      <c r="G31" s="11"/>
      <c r="H31" s="11"/>
      <c r="I31" s="11"/>
      <c r="J31" s="11">
        <v>0</v>
      </c>
    </row>
    <row r="32" spans="1:13" s="10" customFormat="1">
      <c r="A32" t="s">
        <v>155</v>
      </c>
      <c r="B32" s="10" t="s">
        <v>51</v>
      </c>
      <c r="C32" s="10" t="s">
        <v>49</v>
      </c>
      <c r="D32" s="10" t="s">
        <v>345</v>
      </c>
      <c r="E32" s="11"/>
      <c r="F32" s="11"/>
      <c r="G32" s="11"/>
      <c r="H32" s="11"/>
      <c r="I32" s="11"/>
      <c r="J32" s="11"/>
      <c r="K32" s="10">
        <v>201</v>
      </c>
      <c r="M32" s="96"/>
    </row>
    <row r="33" spans="1:13" s="10" customFormat="1">
      <c r="A33" t="s">
        <v>155</v>
      </c>
      <c r="B33" s="10" t="s">
        <v>51</v>
      </c>
      <c r="C33" s="10" t="s">
        <v>49</v>
      </c>
      <c r="D33" s="10" t="s">
        <v>338</v>
      </c>
      <c r="E33" s="11"/>
      <c r="F33" s="11"/>
      <c r="G33" s="11"/>
      <c r="H33" s="11"/>
      <c r="I33" s="11"/>
      <c r="J33" s="11"/>
      <c r="K33" s="10">
        <v>396</v>
      </c>
      <c r="M33" s="96"/>
    </row>
    <row r="34" spans="1:13" s="10" customFormat="1">
      <c r="A34" t="s">
        <v>155</v>
      </c>
      <c r="B34" s="10" t="s">
        <v>51</v>
      </c>
      <c r="C34" s="10" t="s">
        <v>49</v>
      </c>
      <c r="D34" s="10" t="s">
        <v>339</v>
      </c>
      <c r="E34" s="11"/>
      <c r="F34" s="11"/>
      <c r="G34" s="11"/>
      <c r="H34" s="11"/>
      <c r="I34" s="11"/>
      <c r="J34" s="11"/>
      <c r="K34" s="10">
        <v>240</v>
      </c>
      <c r="M34" s="96"/>
    </row>
    <row r="35" spans="1:13" s="10" customFormat="1">
      <c r="A35" t="s">
        <v>155</v>
      </c>
      <c r="B35" s="10" t="s">
        <v>51</v>
      </c>
      <c r="C35" s="10" t="s">
        <v>49</v>
      </c>
      <c r="D35" s="10" t="s">
        <v>145</v>
      </c>
      <c r="E35" s="11"/>
      <c r="F35" s="11"/>
      <c r="H35" s="11"/>
      <c r="I35" s="11"/>
      <c r="J35" s="11"/>
      <c r="L35" s="11">
        <v>368</v>
      </c>
      <c r="M35" s="96"/>
    </row>
    <row r="36" spans="1:13" s="10" customFormat="1">
      <c r="A36" s="10" t="s">
        <v>155</v>
      </c>
      <c r="B36" s="10" t="s">
        <v>51</v>
      </c>
      <c r="C36" s="10" t="s">
        <v>49</v>
      </c>
      <c r="D36" s="10" t="s">
        <v>166</v>
      </c>
      <c r="E36" s="11">
        <v>0</v>
      </c>
      <c r="F36" s="11">
        <v>0</v>
      </c>
      <c r="G36" s="11">
        <v>512410</v>
      </c>
      <c r="H36" s="11">
        <v>0</v>
      </c>
      <c r="I36" s="11">
        <v>0</v>
      </c>
      <c r="J36" s="11"/>
      <c r="K36" s="11"/>
      <c r="L36" s="11"/>
      <c r="M36" s="96"/>
    </row>
    <row r="37" spans="1:13" s="10" customFormat="1">
      <c r="A37" s="10" t="s">
        <v>155</v>
      </c>
      <c r="B37" s="10" t="s">
        <v>51</v>
      </c>
      <c r="C37" s="10" t="s">
        <v>49</v>
      </c>
      <c r="D37" s="10" t="s">
        <v>167</v>
      </c>
      <c r="E37" s="11">
        <v>0</v>
      </c>
      <c r="F37" s="11">
        <v>0</v>
      </c>
      <c r="G37" s="11">
        <v>453949</v>
      </c>
      <c r="H37" s="11">
        <v>0</v>
      </c>
      <c r="I37" s="11">
        <v>0</v>
      </c>
      <c r="J37" s="11"/>
      <c r="K37" s="11"/>
      <c r="L37" s="11"/>
      <c r="M37" s="96"/>
    </row>
    <row r="38" spans="1:13" s="10" customFormat="1">
      <c r="A38" s="10" t="s">
        <v>155</v>
      </c>
      <c r="B38" s="10" t="s">
        <v>51</v>
      </c>
      <c r="C38" s="10" t="s">
        <v>49</v>
      </c>
      <c r="D38" s="10" t="s">
        <v>168</v>
      </c>
      <c r="E38" s="11">
        <v>0</v>
      </c>
      <c r="F38" s="11">
        <v>0</v>
      </c>
      <c r="G38" s="11">
        <v>486922</v>
      </c>
      <c r="H38" s="11">
        <v>0</v>
      </c>
      <c r="I38" s="11">
        <v>0</v>
      </c>
      <c r="J38" s="11"/>
      <c r="K38" s="11"/>
      <c r="L38" s="11"/>
      <c r="M38" s="96"/>
    </row>
    <row r="39" spans="1:13" s="10" customFormat="1">
      <c r="A39" s="10" t="s">
        <v>155</v>
      </c>
      <c r="B39" s="10" t="s">
        <v>51</v>
      </c>
      <c r="C39" s="10" t="s">
        <v>49</v>
      </c>
      <c r="D39" s="10" t="s">
        <v>169</v>
      </c>
      <c r="E39" s="11">
        <v>0</v>
      </c>
      <c r="F39" s="11">
        <v>0</v>
      </c>
      <c r="G39" s="11">
        <v>1049317074</v>
      </c>
      <c r="H39" s="11">
        <v>0</v>
      </c>
      <c r="I39" s="11">
        <v>0</v>
      </c>
      <c r="J39" s="11"/>
      <c r="K39" s="11"/>
      <c r="L39" s="11"/>
      <c r="M39" s="96"/>
    </row>
    <row r="40" spans="1:13" s="10" customFormat="1">
      <c r="A40" s="10" t="s">
        <v>155</v>
      </c>
      <c r="B40" s="10" t="s">
        <v>51</v>
      </c>
      <c r="C40" s="10" t="s">
        <v>49</v>
      </c>
      <c r="D40" s="10" t="s">
        <v>170</v>
      </c>
      <c r="E40" s="11"/>
      <c r="F40" s="11"/>
      <c r="G40" s="11"/>
      <c r="H40" s="11"/>
      <c r="I40" s="11"/>
      <c r="J40" s="11"/>
      <c r="K40" s="11"/>
      <c r="L40" s="11">
        <v>2155</v>
      </c>
      <c r="M40" s="96"/>
    </row>
    <row r="41" spans="1:13" s="10" customFormat="1">
      <c r="A41" s="10" t="s">
        <v>155</v>
      </c>
      <c r="B41" s="10" t="s">
        <v>51</v>
      </c>
      <c r="C41" s="10" t="s">
        <v>49</v>
      </c>
      <c r="D41" s="10" t="s">
        <v>171</v>
      </c>
      <c r="E41" s="11">
        <v>1</v>
      </c>
      <c r="F41" s="11">
        <v>0</v>
      </c>
      <c r="G41" s="11">
        <v>9765848</v>
      </c>
      <c r="H41" s="11">
        <v>0</v>
      </c>
      <c r="I41" s="11">
        <v>0</v>
      </c>
      <c r="J41" s="11"/>
      <c r="K41" s="11"/>
      <c r="L41" s="11"/>
      <c r="M41" s="96"/>
    </row>
    <row r="42" spans="1:13" s="10" customFormat="1">
      <c r="A42" s="10" t="s">
        <v>155</v>
      </c>
      <c r="B42" s="10" t="s">
        <v>51</v>
      </c>
      <c r="C42" s="10" t="s">
        <v>49</v>
      </c>
      <c r="D42" s="10" t="s">
        <v>172</v>
      </c>
      <c r="E42" s="11">
        <v>0</v>
      </c>
      <c r="F42" s="11">
        <v>0</v>
      </c>
      <c r="G42" s="11">
        <v>9121895</v>
      </c>
      <c r="H42" s="11">
        <v>0</v>
      </c>
      <c r="I42" s="11">
        <v>0</v>
      </c>
      <c r="J42" s="11"/>
      <c r="K42" s="11"/>
      <c r="L42" s="11"/>
      <c r="M42" s="96"/>
    </row>
    <row r="43" spans="1:13" s="10" customFormat="1">
      <c r="A43" s="10" t="s">
        <v>155</v>
      </c>
      <c r="B43" s="10" t="s">
        <v>51</v>
      </c>
      <c r="C43" s="10" t="s">
        <v>49</v>
      </c>
      <c r="D43" s="10" t="s">
        <v>173</v>
      </c>
      <c r="E43" s="11">
        <v>0</v>
      </c>
      <c r="F43" s="11">
        <v>0</v>
      </c>
      <c r="G43" s="11">
        <v>9456449</v>
      </c>
      <c r="H43" s="11">
        <v>0</v>
      </c>
      <c r="I43" s="11">
        <v>0</v>
      </c>
      <c r="J43" s="11"/>
      <c r="K43" s="11"/>
      <c r="L43" s="11"/>
      <c r="M43" s="96"/>
    </row>
    <row r="44" spans="1:13" s="10" customFormat="1">
      <c r="A44" s="10" t="s">
        <v>155</v>
      </c>
      <c r="B44" s="10" t="s">
        <v>51</v>
      </c>
      <c r="C44" s="10" t="s">
        <v>49</v>
      </c>
      <c r="D44" s="10" t="s">
        <v>174</v>
      </c>
      <c r="E44" s="11">
        <v>28</v>
      </c>
      <c r="F44" s="11">
        <v>0</v>
      </c>
      <c r="G44" s="11">
        <v>20378648728</v>
      </c>
      <c r="H44" s="11">
        <v>0</v>
      </c>
      <c r="I44" s="11">
        <v>0</v>
      </c>
      <c r="J44" s="11"/>
      <c r="K44" s="11"/>
      <c r="L44" s="11"/>
      <c r="M44" s="96"/>
    </row>
    <row r="45" spans="1:13" s="10" customFormat="1">
      <c r="A45" s="10" t="s">
        <v>155</v>
      </c>
      <c r="B45" s="10" t="s">
        <v>51</v>
      </c>
      <c r="C45" s="10" t="s">
        <v>49</v>
      </c>
      <c r="D45" s="10" t="s">
        <v>175</v>
      </c>
      <c r="E45" s="11"/>
      <c r="F45" s="11"/>
      <c r="G45" s="11"/>
      <c r="H45" s="11"/>
      <c r="I45" s="11"/>
      <c r="J45" s="11"/>
      <c r="K45" s="11"/>
      <c r="L45" s="11">
        <v>2155</v>
      </c>
      <c r="M45" s="96"/>
    </row>
    <row r="46" spans="1:13" s="10" customFormat="1">
      <c r="A46" s="10" t="s">
        <v>155</v>
      </c>
      <c r="B46" s="10" t="s">
        <v>51</v>
      </c>
      <c r="C46" s="10" t="s">
        <v>49</v>
      </c>
      <c r="D46" s="10" t="s">
        <v>176</v>
      </c>
      <c r="E46" s="11">
        <v>0</v>
      </c>
      <c r="F46" s="11">
        <v>1</v>
      </c>
      <c r="G46" s="11">
        <v>36018563</v>
      </c>
      <c r="H46" s="11">
        <v>0</v>
      </c>
      <c r="I46" s="11">
        <v>0</v>
      </c>
      <c r="J46" s="11"/>
      <c r="K46" s="11"/>
      <c r="L46" s="11"/>
      <c r="M46" s="96"/>
    </row>
    <row r="47" spans="1:13" s="10" customFormat="1">
      <c r="A47" s="10" t="s">
        <v>155</v>
      </c>
      <c r="B47" s="10" t="s">
        <v>51</v>
      </c>
      <c r="C47" s="10" t="s">
        <v>49</v>
      </c>
      <c r="D47" s="10" t="s">
        <v>177</v>
      </c>
      <c r="E47" s="11">
        <v>0</v>
      </c>
      <c r="F47" s="11">
        <v>0</v>
      </c>
      <c r="G47" s="11">
        <v>33047357</v>
      </c>
      <c r="H47" s="11">
        <v>0</v>
      </c>
      <c r="I47" s="11">
        <v>0</v>
      </c>
      <c r="J47" s="11"/>
      <c r="K47" s="11"/>
      <c r="L47" s="11"/>
      <c r="M47" s="96"/>
    </row>
    <row r="48" spans="1:13" s="10" customFormat="1">
      <c r="A48" s="10" t="s">
        <v>155</v>
      </c>
      <c r="B48" s="10" t="s">
        <v>51</v>
      </c>
      <c r="C48" s="10" t="s">
        <v>49</v>
      </c>
      <c r="D48" s="10" t="s">
        <v>178</v>
      </c>
      <c r="E48" s="11">
        <v>0</v>
      </c>
      <c r="F48" s="11">
        <v>0</v>
      </c>
      <c r="G48" s="11">
        <v>34592870</v>
      </c>
      <c r="H48" s="11">
        <v>0</v>
      </c>
      <c r="I48" s="11">
        <v>0</v>
      </c>
      <c r="J48" s="11"/>
      <c r="K48" s="11"/>
      <c r="L48" s="11"/>
      <c r="M48" s="96"/>
    </row>
    <row r="49" spans="1:13" s="10" customFormat="1">
      <c r="A49" s="10" t="s">
        <v>155</v>
      </c>
      <c r="B49" s="10" t="s">
        <v>51</v>
      </c>
      <c r="C49" s="10" t="s">
        <v>49</v>
      </c>
      <c r="D49" s="10" t="s">
        <v>179</v>
      </c>
      <c r="E49" s="11">
        <v>0</v>
      </c>
      <c r="F49" s="11">
        <v>10</v>
      </c>
      <c r="G49" s="11">
        <v>74547636444</v>
      </c>
      <c r="H49" s="11">
        <v>0</v>
      </c>
      <c r="I49" s="11">
        <v>0</v>
      </c>
      <c r="J49" s="11"/>
      <c r="K49" s="11"/>
      <c r="L49" s="11"/>
      <c r="M49" s="96"/>
    </row>
    <row r="50" spans="1:13" s="10" customFormat="1">
      <c r="A50" s="10" t="s">
        <v>155</v>
      </c>
      <c r="B50" s="10" t="s">
        <v>51</v>
      </c>
      <c r="C50" s="10" t="s">
        <v>49</v>
      </c>
      <c r="D50" s="10" t="s">
        <v>180</v>
      </c>
      <c r="E50" s="11"/>
      <c r="F50" s="11"/>
      <c r="G50" s="11"/>
      <c r="H50" s="11"/>
      <c r="I50" s="11"/>
      <c r="J50" s="11"/>
      <c r="K50" s="11"/>
      <c r="L50" s="11">
        <v>2155</v>
      </c>
      <c r="M50" s="96"/>
    </row>
    <row r="51" spans="1:13" s="10" customFormat="1">
      <c r="A51" s="10" t="s">
        <v>155</v>
      </c>
      <c r="B51" s="10" t="s">
        <v>51</v>
      </c>
      <c r="C51" s="10" t="s">
        <v>49</v>
      </c>
      <c r="D51" s="10" t="s">
        <v>181</v>
      </c>
      <c r="E51" s="11">
        <v>0</v>
      </c>
      <c r="F51" s="11">
        <v>0</v>
      </c>
      <c r="G51" s="11">
        <v>581445</v>
      </c>
      <c r="H51" s="11">
        <v>0</v>
      </c>
      <c r="I51" s="11">
        <v>0</v>
      </c>
      <c r="J51" s="11"/>
      <c r="K51" s="11"/>
      <c r="L51" s="11"/>
      <c r="M51" s="96"/>
    </row>
    <row r="52" spans="1:13" s="10" customFormat="1">
      <c r="A52" s="10" t="s">
        <v>155</v>
      </c>
      <c r="B52" s="10" t="s">
        <v>51</v>
      </c>
      <c r="C52" s="10" t="s">
        <v>49</v>
      </c>
      <c r="D52" s="10" t="s">
        <v>182</v>
      </c>
      <c r="E52" s="11">
        <v>0</v>
      </c>
      <c r="F52" s="11">
        <v>0</v>
      </c>
      <c r="G52" s="11">
        <v>535049</v>
      </c>
      <c r="H52" s="11">
        <v>0</v>
      </c>
      <c r="I52" s="11">
        <v>0</v>
      </c>
      <c r="J52" s="11"/>
      <c r="K52" s="11"/>
      <c r="L52" s="11"/>
      <c r="M52" s="96"/>
    </row>
    <row r="53" spans="1:13" s="10" customFormat="1">
      <c r="A53" s="10" t="s">
        <v>155</v>
      </c>
      <c r="B53" s="10" t="s">
        <v>51</v>
      </c>
      <c r="C53" s="10" t="s">
        <v>49</v>
      </c>
      <c r="D53" s="10" t="s">
        <v>183</v>
      </c>
      <c r="E53" s="11">
        <v>0</v>
      </c>
      <c r="F53" s="11">
        <v>0</v>
      </c>
      <c r="G53" s="11">
        <v>559378</v>
      </c>
      <c r="H53" s="11">
        <v>0</v>
      </c>
      <c r="I53" s="11">
        <v>0</v>
      </c>
      <c r="J53" s="11"/>
      <c r="K53" s="11"/>
      <c r="L53" s="11"/>
      <c r="M53" s="96"/>
    </row>
    <row r="54" spans="1:13" s="10" customFormat="1">
      <c r="A54" s="10" t="s">
        <v>155</v>
      </c>
      <c r="B54" s="10" t="s">
        <v>51</v>
      </c>
      <c r="C54" s="10" t="s">
        <v>49</v>
      </c>
      <c r="D54" s="10" t="s">
        <v>184</v>
      </c>
      <c r="E54" s="11">
        <v>0</v>
      </c>
      <c r="F54" s="11">
        <v>0</v>
      </c>
      <c r="G54" s="11">
        <v>1205459904</v>
      </c>
      <c r="H54" s="11">
        <v>0</v>
      </c>
      <c r="I54" s="11">
        <v>0</v>
      </c>
      <c r="J54" s="11"/>
      <c r="K54" s="11"/>
      <c r="L54" s="11"/>
      <c r="M54" s="96"/>
    </row>
    <row r="55" spans="1:13" s="10" customFormat="1">
      <c r="A55" s="10" t="s">
        <v>155</v>
      </c>
      <c r="B55" s="10" t="s">
        <v>51</v>
      </c>
      <c r="C55" s="10" t="s">
        <v>49</v>
      </c>
      <c r="D55" s="10" t="s">
        <v>185</v>
      </c>
      <c r="E55" s="11"/>
      <c r="F55" s="11"/>
      <c r="G55" s="11"/>
      <c r="H55" s="11"/>
      <c r="I55" s="11"/>
      <c r="J55" s="11"/>
      <c r="K55" s="11"/>
      <c r="L55" s="11">
        <v>2155</v>
      </c>
      <c r="M55" s="96"/>
    </row>
    <row r="56" spans="1:13" s="10" customFormat="1">
      <c r="A56" s="10" t="s">
        <v>155</v>
      </c>
      <c r="B56" s="10" t="s">
        <v>51</v>
      </c>
      <c r="C56" s="10" t="s">
        <v>49</v>
      </c>
      <c r="D56" s="10" t="s">
        <v>186</v>
      </c>
      <c r="E56" s="11">
        <v>32</v>
      </c>
      <c r="F56" s="11">
        <v>169</v>
      </c>
      <c r="G56" s="11">
        <v>46678042</v>
      </c>
      <c r="H56" s="11">
        <v>0</v>
      </c>
      <c r="I56" s="11">
        <v>0</v>
      </c>
      <c r="J56" s="11"/>
      <c r="K56" s="11"/>
      <c r="L56" s="11"/>
      <c r="M56" s="96"/>
    </row>
    <row r="57" spans="1:13" s="10" customFormat="1">
      <c r="A57" s="10" t="s">
        <v>155</v>
      </c>
      <c r="B57" s="10" t="s">
        <v>51</v>
      </c>
      <c r="C57" s="10" t="s">
        <v>49</v>
      </c>
      <c r="D57" s="10" t="s">
        <v>187</v>
      </c>
      <c r="E57" s="11">
        <v>0</v>
      </c>
      <c r="F57" s="11">
        <v>0</v>
      </c>
      <c r="G57" s="11">
        <v>42828661</v>
      </c>
      <c r="H57" s="11">
        <v>0</v>
      </c>
      <c r="I57" s="11">
        <v>0</v>
      </c>
      <c r="J57" s="11"/>
      <c r="K57" s="11"/>
      <c r="L57" s="11"/>
      <c r="M57" s="96"/>
    </row>
    <row r="58" spans="1:13" s="10" customFormat="1">
      <c r="A58" s="10" t="s">
        <v>155</v>
      </c>
      <c r="B58" s="10" t="s">
        <v>51</v>
      </c>
      <c r="C58" s="10" t="s">
        <v>49</v>
      </c>
      <c r="D58" s="10" t="s">
        <v>188</v>
      </c>
      <c r="E58" s="11">
        <v>0</v>
      </c>
      <c r="F58" s="11">
        <v>0</v>
      </c>
      <c r="G58" s="11">
        <v>44826543</v>
      </c>
      <c r="H58" s="11">
        <v>0</v>
      </c>
      <c r="I58" s="11">
        <v>0</v>
      </c>
      <c r="J58" s="11"/>
      <c r="K58" s="11"/>
      <c r="L58" s="11"/>
      <c r="M58" s="96"/>
    </row>
    <row r="59" spans="1:13" s="10" customFormat="1">
      <c r="A59" s="10" t="s">
        <v>155</v>
      </c>
      <c r="B59" s="10" t="s">
        <v>51</v>
      </c>
      <c r="C59" s="10" t="s">
        <v>49</v>
      </c>
      <c r="D59" s="10" t="s">
        <v>189</v>
      </c>
      <c r="E59" s="11">
        <v>45</v>
      </c>
      <c r="F59" s="11">
        <v>175</v>
      </c>
      <c r="G59" s="11">
        <v>96601201700</v>
      </c>
      <c r="H59" s="11">
        <v>0</v>
      </c>
      <c r="I59" s="11">
        <v>0</v>
      </c>
      <c r="J59" s="11"/>
      <c r="K59" s="11"/>
      <c r="L59" s="11"/>
      <c r="M59" s="96"/>
    </row>
    <row r="60" spans="1:13" s="10" customFormat="1">
      <c r="A60" s="10" t="s">
        <v>155</v>
      </c>
      <c r="B60" s="10" t="s">
        <v>51</v>
      </c>
      <c r="C60" s="10" t="s">
        <v>49</v>
      </c>
      <c r="D60" s="10" t="s">
        <v>190</v>
      </c>
      <c r="E60" s="11"/>
      <c r="F60" s="11"/>
      <c r="G60" s="11"/>
      <c r="H60" s="11"/>
      <c r="I60" s="11"/>
      <c r="J60" s="11"/>
      <c r="K60" s="11"/>
      <c r="L60" s="11">
        <v>2155</v>
      </c>
      <c r="M60" s="96"/>
    </row>
    <row r="61" spans="1:13" s="10" customFormat="1">
      <c r="A61" s="10" t="s">
        <v>155</v>
      </c>
      <c r="B61" s="10" t="s">
        <v>51</v>
      </c>
      <c r="C61" s="10" t="s">
        <v>49</v>
      </c>
      <c r="D61" s="10" t="s">
        <v>191</v>
      </c>
      <c r="E61" s="11">
        <v>0</v>
      </c>
      <c r="F61" s="11">
        <v>0</v>
      </c>
      <c r="G61" s="11">
        <v>3486421</v>
      </c>
      <c r="H61" s="11">
        <v>0</v>
      </c>
      <c r="I61" s="11">
        <v>0</v>
      </c>
      <c r="J61" s="11"/>
      <c r="K61" s="11"/>
      <c r="L61" s="11"/>
      <c r="M61" s="96"/>
    </row>
    <row r="62" spans="1:13" s="10" customFormat="1">
      <c r="A62" s="10" t="s">
        <v>155</v>
      </c>
      <c r="B62" s="10" t="s">
        <v>51</v>
      </c>
      <c r="C62" s="10" t="s">
        <v>49</v>
      </c>
      <c r="D62" s="10" t="s">
        <v>192</v>
      </c>
      <c r="E62" s="11">
        <v>0</v>
      </c>
      <c r="F62" s="11">
        <v>0</v>
      </c>
      <c r="G62" s="11">
        <v>3212148</v>
      </c>
      <c r="H62" s="11">
        <v>0</v>
      </c>
      <c r="I62" s="11">
        <v>0</v>
      </c>
      <c r="J62" s="11"/>
      <c r="K62" s="11"/>
      <c r="L62" s="11"/>
      <c r="M62" s="96"/>
    </row>
    <row r="63" spans="1:13" s="10" customFormat="1">
      <c r="A63" s="10" t="s">
        <v>155</v>
      </c>
      <c r="B63" s="10" t="s">
        <v>51</v>
      </c>
      <c r="C63" s="10" t="s">
        <v>49</v>
      </c>
      <c r="D63" s="10" t="s">
        <v>193</v>
      </c>
      <c r="E63" s="11">
        <v>0</v>
      </c>
      <c r="F63" s="11">
        <v>0</v>
      </c>
      <c r="G63" s="11">
        <v>3352628</v>
      </c>
      <c r="H63" s="11">
        <v>0</v>
      </c>
      <c r="I63" s="11">
        <v>0</v>
      </c>
      <c r="J63" s="11"/>
      <c r="K63" s="11"/>
      <c r="L63" s="11"/>
      <c r="M63" s="96"/>
    </row>
    <row r="64" spans="1:13" s="10" customFormat="1">
      <c r="A64" s="10" t="s">
        <v>155</v>
      </c>
      <c r="B64" s="10" t="s">
        <v>51</v>
      </c>
      <c r="C64" s="10" t="s">
        <v>49</v>
      </c>
      <c r="D64" s="10" t="s">
        <v>194</v>
      </c>
      <c r="E64" s="11">
        <v>0</v>
      </c>
      <c r="F64" s="11">
        <v>0</v>
      </c>
      <c r="G64" s="11">
        <v>7224914051</v>
      </c>
      <c r="H64" s="11">
        <v>0</v>
      </c>
      <c r="I64" s="11">
        <v>0</v>
      </c>
      <c r="J64" s="11"/>
      <c r="K64" s="11"/>
      <c r="L64" s="11"/>
      <c r="M64" s="96"/>
    </row>
    <row r="65" spans="1:13" s="10" customFormat="1">
      <c r="A65" s="10" t="s">
        <v>155</v>
      </c>
      <c r="B65" s="10" t="s">
        <v>51</v>
      </c>
      <c r="C65" s="10" t="s">
        <v>49</v>
      </c>
      <c r="D65" s="10" t="s">
        <v>195</v>
      </c>
      <c r="E65" s="11"/>
      <c r="F65" s="11"/>
      <c r="G65" s="11"/>
      <c r="H65" s="11"/>
      <c r="I65" s="11"/>
      <c r="J65" s="11"/>
      <c r="K65" s="11"/>
      <c r="L65" s="11">
        <v>2155</v>
      </c>
      <c r="M65" s="96"/>
    </row>
    <row r="66" spans="1:13" s="10" customFormat="1">
      <c r="A66" s="10" t="s">
        <v>155</v>
      </c>
      <c r="B66" s="10" t="s">
        <v>51</v>
      </c>
      <c r="C66" s="10" t="s">
        <v>49</v>
      </c>
      <c r="D66" s="10" t="s">
        <v>196</v>
      </c>
      <c r="E66" s="11">
        <v>0</v>
      </c>
      <c r="F66" s="11">
        <v>0</v>
      </c>
      <c r="G66" s="11">
        <v>18</v>
      </c>
      <c r="H66" s="11">
        <v>0</v>
      </c>
      <c r="I66" s="11">
        <v>0</v>
      </c>
      <c r="J66" s="11"/>
      <c r="K66" s="11"/>
      <c r="L66" s="11"/>
      <c r="M66" s="96"/>
    </row>
    <row r="67" spans="1:13" s="10" customFormat="1">
      <c r="A67" s="10" t="s">
        <v>155</v>
      </c>
      <c r="B67" s="10" t="s">
        <v>51</v>
      </c>
      <c r="C67" s="10" t="s">
        <v>49</v>
      </c>
      <c r="D67" s="10" t="s">
        <v>197</v>
      </c>
      <c r="E67" s="11">
        <v>0</v>
      </c>
      <c r="F67" s="11">
        <v>0</v>
      </c>
      <c r="G67" s="11">
        <v>6</v>
      </c>
      <c r="H67" s="11">
        <v>0</v>
      </c>
      <c r="I67" s="11">
        <v>0</v>
      </c>
      <c r="J67" s="11"/>
      <c r="K67" s="11"/>
      <c r="L67" s="11"/>
      <c r="M67" s="96"/>
    </row>
    <row r="68" spans="1:13" s="10" customFormat="1">
      <c r="A68" s="10" t="s">
        <v>155</v>
      </c>
      <c r="B68" s="10" t="s">
        <v>51</v>
      </c>
      <c r="C68" s="10" t="s">
        <v>49</v>
      </c>
      <c r="D68" s="10" t="s">
        <v>198</v>
      </c>
      <c r="E68" s="11">
        <v>0</v>
      </c>
      <c r="F68" s="11">
        <v>0</v>
      </c>
      <c r="G68" s="11">
        <v>14</v>
      </c>
      <c r="H68" s="11">
        <v>0</v>
      </c>
      <c r="I68" s="11">
        <v>0</v>
      </c>
      <c r="J68" s="11"/>
      <c r="K68" s="11"/>
      <c r="L68" s="11"/>
      <c r="M68" s="96"/>
    </row>
    <row r="69" spans="1:13" s="10" customFormat="1">
      <c r="A69" s="10" t="s">
        <v>155</v>
      </c>
      <c r="B69" s="10" t="s">
        <v>51</v>
      </c>
      <c r="C69" s="10" t="s">
        <v>49</v>
      </c>
      <c r="D69" s="10" t="s">
        <v>199</v>
      </c>
      <c r="E69" s="11">
        <v>0</v>
      </c>
      <c r="F69" s="11">
        <v>0</v>
      </c>
      <c r="G69" s="11">
        <v>30372</v>
      </c>
      <c r="H69" s="11">
        <v>0</v>
      </c>
      <c r="I69" s="11">
        <v>0</v>
      </c>
      <c r="J69" s="11"/>
      <c r="K69" s="11"/>
      <c r="L69" s="11"/>
      <c r="M69" s="96"/>
    </row>
    <row r="70" spans="1:13" s="10" customFormat="1">
      <c r="A70" s="10" t="s">
        <v>155</v>
      </c>
      <c r="B70" s="10" t="s">
        <v>51</v>
      </c>
      <c r="C70" s="10" t="s">
        <v>49</v>
      </c>
      <c r="D70" s="10" t="s">
        <v>200</v>
      </c>
      <c r="E70" s="11"/>
      <c r="F70" s="11"/>
      <c r="G70" s="11"/>
      <c r="H70" s="11"/>
      <c r="I70" s="11"/>
      <c r="J70" s="11"/>
      <c r="K70" s="11"/>
      <c r="L70" s="11">
        <v>2155</v>
      </c>
      <c r="M70" s="96"/>
    </row>
    <row r="71" spans="1:13" s="10" customFormat="1">
      <c r="A71" s="10" t="s">
        <v>155</v>
      </c>
      <c r="B71" s="10" t="s">
        <v>51</v>
      </c>
      <c r="C71" s="10" t="s">
        <v>49</v>
      </c>
      <c r="D71" s="10" t="s">
        <v>201</v>
      </c>
      <c r="E71" s="11">
        <v>1</v>
      </c>
      <c r="F71" s="11">
        <v>1</v>
      </c>
      <c r="G71" s="11">
        <v>7356</v>
      </c>
      <c r="H71" s="11">
        <v>0</v>
      </c>
      <c r="I71" s="11">
        <v>0</v>
      </c>
      <c r="J71" s="11"/>
      <c r="K71" s="11"/>
      <c r="L71" s="11"/>
      <c r="M71" s="96"/>
    </row>
    <row r="72" spans="1:13" s="10" customFormat="1">
      <c r="A72" s="10" t="s">
        <v>155</v>
      </c>
      <c r="B72" s="10" t="s">
        <v>51</v>
      </c>
      <c r="C72" s="10" t="s">
        <v>49</v>
      </c>
      <c r="D72" s="10" t="s">
        <v>202</v>
      </c>
      <c r="E72" s="11">
        <v>0</v>
      </c>
      <c r="F72" s="11">
        <v>0</v>
      </c>
      <c r="G72" s="11">
        <v>6780</v>
      </c>
      <c r="H72" s="11">
        <v>0</v>
      </c>
      <c r="I72" s="11">
        <v>0</v>
      </c>
      <c r="J72" s="11"/>
      <c r="K72" s="11"/>
      <c r="L72" s="11"/>
      <c r="M72" s="96"/>
    </row>
    <row r="73" spans="1:13" s="10" customFormat="1">
      <c r="A73" s="10" t="s">
        <v>155</v>
      </c>
      <c r="B73" s="10" t="s">
        <v>51</v>
      </c>
      <c r="C73" s="10" t="s">
        <v>49</v>
      </c>
      <c r="D73" s="10" t="s">
        <v>203</v>
      </c>
      <c r="E73" s="11">
        <v>0</v>
      </c>
      <c r="F73" s="11">
        <v>0</v>
      </c>
      <c r="G73" s="11">
        <v>7069</v>
      </c>
      <c r="H73" s="11">
        <v>0</v>
      </c>
      <c r="I73" s="11">
        <v>0</v>
      </c>
      <c r="J73" s="11"/>
      <c r="K73" s="11"/>
      <c r="L73" s="11"/>
      <c r="M73" s="96"/>
    </row>
    <row r="74" spans="1:13" s="10" customFormat="1">
      <c r="A74" s="10" t="s">
        <v>155</v>
      </c>
      <c r="B74" s="10" t="s">
        <v>51</v>
      </c>
      <c r="C74" s="10" t="s">
        <v>49</v>
      </c>
      <c r="D74" s="10" t="s">
        <v>204</v>
      </c>
      <c r="E74" s="11">
        <v>19</v>
      </c>
      <c r="F74" s="11">
        <v>19</v>
      </c>
      <c r="G74" s="11">
        <v>15234400</v>
      </c>
      <c r="H74" s="11">
        <v>0</v>
      </c>
      <c r="I74" s="11">
        <v>0</v>
      </c>
      <c r="J74" s="11"/>
      <c r="K74" s="11"/>
      <c r="L74" s="11"/>
      <c r="M74" s="96"/>
    </row>
    <row r="75" spans="1:13" s="10" customFormat="1">
      <c r="A75" s="10" t="s">
        <v>155</v>
      </c>
      <c r="B75" s="10" t="s">
        <v>51</v>
      </c>
      <c r="C75" s="10" t="s">
        <v>49</v>
      </c>
      <c r="D75" s="10" t="s">
        <v>205</v>
      </c>
      <c r="E75" s="11"/>
      <c r="F75" s="11"/>
      <c r="G75" s="11"/>
      <c r="H75" s="11"/>
      <c r="I75" s="11"/>
      <c r="J75" s="11"/>
      <c r="K75" s="11"/>
      <c r="L75" s="11">
        <v>2155</v>
      </c>
      <c r="M75" s="96"/>
    </row>
    <row r="76" spans="1:13" s="10" customFormat="1">
      <c r="A76" s="10" t="s">
        <v>155</v>
      </c>
      <c r="B76" s="10" t="s">
        <v>51</v>
      </c>
      <c r="C76" s="10" t="s">
        <v>49</v>
      </c>
      <c r="D76" s="10" t="s">
        <v>206</v>
      </c>
      <c r="E76" s="11">
        <v>0</v>
      </c>
      <c r="F76" s="11">
        <v>0</v>
      </c>
      <c r="G76" s="11">
        <v>5</v>
      </c>
      <c r="H76" s="11">
        <v>0</v>
      </c>
      <c r="I76" s="11">
        <v>0</v>
      </c>
      <c r="J76" s="11"/>
      <c r="K76" s="11"/>
      <c r="L76" s="11"/>
      <c r="M76" s="96"/>
    </row>
    <row r="77" spans="1:13" s="10" customFormat="1">
      <c r="A77" s="10" t="s">
        <v>155</v>
      </c>
      <c r="B77" s="10" t="s">
        <v>51</v>
      </c>
      <c r="C77" s="10" t="s">
        <v>49</v>
      </c>
      <c r="D77" s="10" t="s">
        <v>207</v>
      </c>
      <c r="E77" s="11">
        <v>0</v>
      </c>
      <c r="F77" s="11">
        <v>0</v>
      </c>
      <c r="G77" s="11">
        <v>5</v>
      </c>
      <c r="H77" s="11">
        <v>0</v>
      </c>
      <c r="I77" s="11">
        <v>0</v>
      </c>
      <c r="J77" s="11"/>
      <c r="K77" s="11"/>
      <c r="L77" s="11"/>
      <c r="M77" s="96"/>
    </row>
    <row r="78" spans="1:13" s="10" customFormat="1">
      <c r="A78" s="10" t="s">
        <v>155</v>
      </c>
      <c r="B78" s="10" t="s">
        <v>51</v>
      </c>
      <c r="C78" s="10" t="s">
        <v>49</v>
      </c>
      <c r="D78" s="10" t="s">
        <v>208</v>
      </c>
      <c r="E78" s="11">
        <v>0</v>
      </c>
      <c r="F78" s="11">
        <v>0</v>
      </c>
      <c r="G78" s="11">
        <v>5</v>
      </c>
      <c r="H78" s="11">
        <v>0</v>
      </c>
      <c r="I78" s="11">
        <v>0</v>
      </c>
      <c r="J78" s="11"/>
      <c r="K78" s="11"/>
      <c r="L78" s="11"/>
      <c r="M78" s="96"/>
    </row>
    <row r="79" spans="1:13" s="10" customFormat="1">
      <c r="A79" s="10" t="s">
        <v>155</v>
      </c>
      <c r="B79" s="10" t="s">
        <v>51</v>
      </c>
      <c r="C79" s="10" t="s">
        <v>49</v>
      </c>
      <c r="D79" s="10" t="s">
        <v>209</v>
      </c>
      <c r="E79" s="11">
        <v>0</v>
      </c>
      <c r="F79" s="11">
        <v>0</v>
      </c>
      <c r="G79" s="11">
        <v>10775</v>
      </c>
      <c r="H79" s="11">
        <v>0</v>
      </c>
      <c r="I79" s="11">
        <v>0</v>
      </c>
      <c r="J79" s="11"/>
      <c r="K79" s="11"/>
      <c r="L79" s="11"/>
      <c r="M79" s="96"/>
    </row>
    <row r="80" spans="1:13" s="10" customFormat="1">
      <c r="A80" s="10" t="s">
        <v>155</v>
      </c>
      <c r="B80" s="10" t="s">
        <v>51</v>
      </c>
      <c r="C80" s="10" t="s">
        <v>49</v>
      </c>
      <c r="D80" s="10" t="s">
        <v>210</v>
      </c>
      <c r="E80" s="11"/>
      <c r="F80" s="11"/>
      <c r="G80" s="11"/>
      <c r="H80" s="11"/>
      <c r="I80" s="11"/>
      <c r="J80" s="11"/>
      <c r="K80" s="11"/>
      <c r="L80" s="11">
        <v>2155</v>
      </c>
      <c r="M80" s="96"/>
    </row>
    <row r="81" spans="1:13" s="10" customFormat="1">
      <c r="A81" s="10" t="s">
        <v>155</v>
      </c>
      <c r="B81" s="10" t="s">
        <v>51</v>
      </c>
      <c r="C81" s="10" t="s">
        <v>49</v>
      </c>
      <c r="D81" s="10" t="s">
        <v>211</v>
      </c>
      <c r="E81" s="11">
        <v>0</v>
      </c>
      <c r="F81" s="11">
        <v>0</v>
      </c>
      <c r="G81" s="11">
        <v>7356</v>
      </c>
      <c r="H81" s="11">
        <v>0</v>
      </c>
      <c r="I81" s="11">
        <v>0</v>
      </c>
      <c r="J81" s="11"/>
      <c r="K81" s="11"/>
      <c r="L81" s="11"/>
      <c r="M81" s="96"/>
    </row>
    <row r="82" spans="1:13" s="10" customFormat="1">
      <c r="A82" s="10" t="s">
        <v>155</v>
      </c>
      <c r="B82" s="10" t="s">
        <v>51</v>
      </c>
      <c r="C82" s="10" t="s">
        <v>49</v>
      </c>
      <c r="D82" s="10" t="s">
        <v>212</v>
      </c>
      <c r="E82" s="11">
        <v>0</v>
      </c>
      <c r="F82" s="11">
        <v>0</v>
      </c>
      <c r="G82" s="11">
        <v>6780</v>
      </c>
      <c r="H82" s="11">
        <v>0</v>
      </c>
      <c r="I82" s="11">
        <v>0</v>
      </c>
      <c r="J82" s="11"/>
      <c r="K82" s="11"/>
      <c r="L82" s="11"/>
      <c r="M82" s="96"/>
    </row>
    <row r="83" spans="1:13" s="10" customFormat="1">
      <c r="A83" s="10" t="s">
        <v>155</v>
      </c>
      <c r="B83" s="10" t="s">
        <v>51</v>
      </c>
      <c r="C83" s="10" t="s">
        <v>49</v>
      </c>
      <c r="D83" s="10" t="s">
        <v>213</v>
      </c>
      <c r="E83" s="11">
        <v>0</v>
      </c>
      <c r="F83" s="11">
        <v>0</v>
      </c>
      <c r="G83" s="11">
        <v>7069</v>
      </c>
      <c r="H83" s="11">
        <v>0</v>
      </c>
      <c r="I83" s="11">
        <v>0</v>
      </c>
      <c r="J83" s="11"/>
      <c r="K83" s="11"/>
      <c r="L83" s="11"/>
      <c r="M83" s="96"/>
    </row>
    <row r="84" spans="1:13" s="10" customFormat="1">
      <c r="A84" s="10" t="s">
        <v>155</v>
      </c>
      <c r="B84" s="10" t="s">
        <v>51</v>
      </c>
      <c r="C84" s="10" t="s">
        <v>49</v>
      </c>
      <c r="D84" s="10" t="s">
        <v>214</v>
      </c>
      <c r="E84" s="11">
        <v>0</v>
      </c>
      <c r="F84" s="11">
        <v>0</v>
      </c>
      <c r="G84" s="11">
        <v>15234400</v>
      </c>
      <c r="H84" s="11">
        <v>0</v>
      </c>
      <c r="I84" s="11">
        <v>0</v>
      </c>
      <c r="J84" s="11"/>
      <c r="K84" s="11"/>
      <c r="L84" s="11"/>
      <c r="M84" s="96"/>
    </row>
    <row r="85" spans="1:13" s="10" customFormat="1">
      <c r="A85" s="10" t="s">
        <v>155</v>
      </c>
      <c r="B85" s="10" t="s">
        <v>51</v>
      </c>
      <c r="C85" s="10" t="s">
        <v>49</v>
      </c>
      <c r="D85" s="10" t="s">
        <v>215</v>
      </c>
      <c r="E85" s="11"/>
      <c r="F85" s="11"/>
      <c r="G85" s="11"/>
      <c r="H85" s="11"/>
      <c r="I85" s="11"/>
      <c r="J85" s="11"/>
      <c r="K85" s="11"/>
      <c r="L85" s="11">
        <v>2155</v>
      </c>
      <c r="M85" s="96"/>
    </row>
    <row r="86" spans="1:13" s="10" customFormat="1">
      <c r="A86" s="10" t="s">
        <v>155</v>
      </c>
      <c r="B86" s="10" t="s">
        <v>51</v>
      </c>
      <c r="C86" s="10" t="s">
        <v>49</v>
      </c>
      <c r="D86" s="10" t="s">
        <v>216</v>
      </c>
      <c r="E86" s="11">
        <v>1</v>
      </c>
      <c r="F86" s="11">
        <v>2</v>
      </c>
      <c r="G86" s="11">
        <v>37626</v>
      </c>
      <c r="H86" s="11">
        <v>0</v>
      </c>
      <c r="I86" s="11">
        <v>0</v>
      </c>
      <c r="J86" s="11"/>
      <c r="K86" s="11"/>
      <c r="L86" s="11"/>
      <c r="M86" s="96"/>
    </row>
    <row r="87" spans="1:13" s="10" customFormat="1">
      <c r="A87" s="10" t="s">
        <v>155</v>
      </c>
      <c r="B87" s="10" t="s">
        <v>51</v>
      </c>
      <c r="C87" s="10" t="s">
        <v>49</v>
      </c>
      <c r="D87" s="10" t="s">
        <v>217</v>
      </c>
      <c r="E87" s="11">
        <v>0</v>
      </c>
      <c r="F87" s="11">
        <v>0</v>
      </c>
      <c r="G87" s="11">
        <v>34684</v>
      </c>
      <c r="H87" s="11">
        <v>0</v>
      </c>
      <c r="I87" s="11">
        <v>0</v>
      </c>
      <c r="J87" s="11"/>
      <c r="K87" s="11"/>
      <c r="L87" s="11"/>
      <c r="M87" s="96"/>
    </row>
    <row r="88" spans="1:13" s="10" customFormat="1">
      <c r="A88" s="10" t="s">
        <v>155</v>
      </c>
      <c r="B88" s="10" t="s">
        <v>51</v>
      </c>
      <c r="C88" s="10" t="s">
        <v>49</v>
      </c>
      <c r="D88" s="10" t="s">
        <v>218</v>
      </c>
      <c r="E88" s="11">
        <v>0</v>
      </c>
      <c r="F88" s="11">
        <v>0</v>
      </c>
      <c r="G88" s="11">
        <v>36180</v>
      </c>
      <c r="H88" s="11">
        <v>0</v>
      </c>
      <c r="I88" s="11">
        <v>0</v>
      </c>
      <c r="J88" s="11"/>
      <c r="K88" s="11"/>
      <c r="L88" s="11"/>
      <c r="M88" s="96"/>
    </row>
    <row r="89" spans="1:13" s="10" customFormat="1">
      <c r="A89" s="10" t="s">
        <v>155</v>
      </c>
      <c r="B89" s="10" t="s">
        <v>51</v>
      </c>
      <c r="C89" s="10" t="s">
        <v>49</v>
      </c>
      <c r="D89" s="10" t="s">
        <v>219</v>
      </c>
      <c r="E89" s="11">
        <v>19</v>
      </c>
      <c r="F89" s="11">
        <v>22</v>
      </c>
      <c r="G89" s="11">
        <v>77968557</v>
      </c>
      <c r="H89" s="11">
        <v>0</v>
      </c>
      <c r="I89" s="11">
        <v>0</v>
      </c>
      <c r="J89" s="11"/>
      <c r="K89" s="11"/>
      <c r="L89" s="11"/>
      <c r="M89" s="96"/>
    </row>
    <row r="90" spans="1:13" s="10" customFormat="1">
      <c r="A90" s="10" t="s">
        <v>155</v>
      </c>
      <c r="B90" s="10" t="s">
        <v>51</v>
      </c>
      <c r="C90" s="10" t="s">
        <v>49</v>
      </c>
      <c r="D90" s="10" t="s">
        <v>220</v>
      </c>
      <c r="E90" s="11"/>
      <c r="F90" s="11"/>
      <c r="G90" s="11"/>
      <c r="H90" s="11"/>
      <c r="I90" s="11"/>
      <c r="J90" s="11"/>
      <c r="K90" s="11"/>
      <c r="L90" s="11">
        <v>2155</v>
      </c>
      <c r="M90" s="96"/>
    </row>
    <row r="91" spans="1:13" s="10" customFormat="1">
      <c r="A91" s="10" t="s">
        <v>155</v>
      </c>
      <c r="B91" s="10" t="s">
        <v>51</v>
      </c>
      <c r="C91" s="10" t="s">
        <v>49</v>
      </c>
      <c r="D91" s="10" t="s">
        <v>221</v>
      </c>
      <c r="E91" s="11">
        <v>2</v>
      </c>
      <c r="F91" s="11">
        <v>11</v>
      </c>
      <c r="G91" s="11">
        <v>825851</v>
      </c>
      <c r="H91" s="11">
        <v>0</v>
      </c>
      <c r="I91" s="11">
        <v>0</v>
      </c>
      <c r="J91" s="11"/>
      <c r="K91" s="11"/>
      <c r="L91" s="11"/>
      <c r="M91" s="96"/>
    </row>
    <row r="92" spans="1:13" s="10" customFormat="1">
      <c r="A92" s="10" t="s">
        <v>155</v>
      </c>
      <c r="B92" s="10" t="s">
        <v>51</v>
      </c>
      <c r="C92" s="10" t="s">
        <v>49</v>
      </c>
      <c r="D92" s="10" t="s">
        <v>222</v>
      </c>
      <c r="E92" s="11">
        <v>0</v>
      </c>
      <c r="F92" s="11">
        <v>0</v>
      </c>
      <c r="G92" s="11">
        <v>760949</v>
      </c>
      <c r="H92" s="11">
        <v>0</v>
      </c>
      <c r="I92" s="11">
        <v>0</v>
      </c>
      <c r="J92" s="11"/>
      <c r="K92" s="11"/>
      <c r="L92" s="11"/>
      <c r="M92" s="96"/>
    </row>
    <row r="93" spans="1:13" s="10" customFormat="1">
      <c r="A93" s="10" t="s">
        <v>155</v>
      </c>
      <c r="B93" s="10" t="s">
        <v>51</v>
      </c>
      <c r="C93" s="10" t="s">
        <v>49</v>
      </c>
      <c r="D93" s="10" t="s">
        <v>223</v>
      </c>
      <c r="E93" s="11">
        <v>0</v>
      </c>
      <c r="F93" s="11">
        <v>0</v>
      </c>
      <c r="G93" s="11">
        <v>794121</v>
      </c>
      <c r="H93" s="11">
        <v>0</v>
      </c>
      <c r="I93" s="11">
        <v>0</v>
      </c>
      <c r="J93" s="11"/>
      <c r="K93" s="11"/>
      <c r="L93" s="11"/>
      <c r="M93" s="96"/>
    </row>
    <row r="94" spans="1:13" s="10" customFormat="1">
      <c r="A94" s="10" t="s">
        <v>155</v>
      </c>
      <c r="B94" s="10" t="s">
        <v>51</v>
      </c>
      <c r="C94" s="10" t="s">
        <v>49</v>
      </c>
      <c r="D94" s="10" t="s">
        <v>224</v>
      </c>
      <c r="E94" s="11">
        <v>36</v>
      </c>
      <c r="F94" s="11">
        <v>115</v>
      </c>
      <c r="G94" s="11">
        <v>1711330880</v>
      </c>
      <c r="H94" s="11">
        <v>0</v>
      </c>
      <c r="I94" s="11">
        <v>0</v>
      </c>
      <c r="J94" s="11"/>
      <c r="K94" s="11"/>
      <c r="L94" s="11"/>
      <c r="M94" s="96"/>
    </row>
    <row r="95" spans="1:13" s="10" customFormat="1">
      <c r="A95" s="10" t="s">
        <v>155</v>
      </c>
      <c r="B95" s="10" t="s">
        <v>51</v>
      </c>
      <c r="C95" s="10" t="s">
        <v>49</v>
      </c>
      <c r="D95" s="10" t="s">
        <v>225</v>
      </c>
      <c r="E95" s="11"/>
      <c r="F95" s="11"/>
      <c r="G95" s="11"/>
      <c r="H95" s="11"/>
      <c r="I95" s="11"/>
      <c r="J95" s="11"/>
      <c r="K95" s="11"/>
      <c r="L95" s="11">
        <v>2155</v>
      </c>
      <c r="M95" s="96"/>
    </row>
    <row r="96" spans="1:13" s="10" customFormat="1">
      <c r="A96" s="10" t="s">
        <v>155</v>
      </c>
      <c r="B96" s="10" t="s">
        <v>51</v>
      </c>
      <c r="C96" s="10" t="s">
        <v>49</v>
      </c>
      <c r="D96" s="10" t="s">
        <v>226</v>
      </c>
      <c r="E96" s="11">
        <v>0</v>
      </c>
      <c r="F96" s="11">
        <v>0</v>
      </c>
      <c r="G96" s="11">
        <v>18</v>
      </c>
      <c r="H96" s="11">
        <v>0</v>
      </c>
      <c r="I96" s="11">
        <v>0</v>
      </c>
      <c r="J96" s="11"/>
      <c r="K96" s="11"/>
      <c r="L96" s="11"/>
      <c r="M96" s="96"/>
    </row>
    <row r="97" spans="1:13" s="10" customFormat="1">
      <c r="A97" s="10" t="s">
        <v>155</v>
      </c>
      <c r="B97" s="10" t="s">
        <v>51</v>
      </c>
      <c r="C97" s="10" t="s">
        <v>49</v>
      </c>
      <c r="D97" s="10" t="s">
        <v>227</v>
      </c>
      <c r="E97" s="11">
        <v>0</v>
      </c>
      <c r="F97" s="11">
        <v>0</v>
      </c>
      <c r="G97" s="11">
        <v>6</v>
      </c>
      <c r="H97" s="11">
        <v>0</v>
      </c>
      <c r="I97" s="11">
        <v>0</v>
      </c>
      <c r="J97" s="11"/>
      <c r="K97" s="11"/>
      <c r="L97" s="11"/>
      <c r="M97" s="96"/>
    </row>
    <row r="98" spans="1:13" s="10" customFormat="1">
      <c r="A98" s="10" t="s">
        <v>155</v>
      </c>
      <c r="B98" s="10" t="s">
        <v>51</v>
      </c>
      <c r="C98" s="10" t="s">
        <v>49</v>
      </c>
      <c r="D98" s="10" t="s">
        <v>228</v>
      </c>
      <c r="E98" s="11">
        <v>0</v>
      </c>
      <c r="F98" s="11">
        <v>0</v>
      </c>
      <c r="G98" s="11">
        <v>14</v>
      </c>
      <c r="H98" s="11">
        <v>0</v>
      </c>
      <c r="I98" s="11">
        <v>0</v>
      </c>
      <c r="J98" s="11"/>
      <c r="K98" s="11"/>
      <c r="L98" s="11"/>
      <c r="M98" s="96"/>
    </row>
    <row r="99" spans="1:13" s="10" customFormat="1">
      <c r="A99" s="10" t="s">
        <v>155</v>
      </c>
      <c r="B99" s="10" t="s">
        <v>51</v>
      </c>
      <c r="C99" s="10" t="s">
        <v>49</v>
      </c>
      <c r="D99" s="10" t="s">
        <v>229</v>
      </c>
      <c r="E99" s="11">
        <v>0</v>
      </c>
      <c r="F99" s="11">
        <v>0</v>
      </c>
      <c r="G99" s="11">
        <v>30372</v>
      </c>
      <c r="H99" s="11">
        <v>0</v>
      </c>
      <c r="I99" s="11">
        <v>0</v>
      </c>
      <c r="J99" s="11"/>
      <c r="K99" s="11"/>
      <c r="L99" s="11"/>
      <c r="M99" s="96"/>
    </row>
    <row r="100" spans="1:13" s="10" customFormat="1">
      <c r="A100" s="10" t="s">
        <v>155</v>
      </c>
      <c r="B100" s="10" t="s">
        <v>51</v>
      </c>
      <c r="C100" s="10" t="s">
        <v>49</v>
      </c>
      <c r="D100" s="10" t="s">
        <v>230</v>
      </c>
      <c r="E100" s="11"/>
      <c r="F100" s="11"/>
      <c r="G100" s="11"/>
      <c r="H100" s="11"/>
      <c r="I100" s="11"/>
      <c r="J100" s="11"/>
      <c r="K100" s="11"/>
      <c r="L100" s="11">
        <v>2155</v>
      </c>
      <c r="M100" s="96"/>
    </row>
    <row r="101" spans="1:13" s="10" customFormat="1">
      <c r="A101" s="10" t="s">
        <v>155</v>
      </c>
      <c r="B101" s="10" t="s">
        <v>51</v>
      </c>
      <c r="C101" s="10" t="s">
        <v>49</v>
      </c>
      <c r="D101" s="10" t="s">
        <v>231</v>
      </c>
      <c r="E101" s="11">
        <v>0</v>
      </c>
      <c r="F101" s="11">
        <v>0</v>
      </c>
      <c r="G101" s="11">
        <v>24</v>
      </c>
      <c r="H101" s="11">
        <v>0</v>
      </c>
      <c r="I101" s="11">
        <v>0</v>
      </c>
      <c r="J101" s="11"/>
      <c r="K101" s="11"/>
      <c r="L101" s="11"/>
      <c r="M101" s="96"/>
    </row>
    <row r="102" spans="1:13" s="10" customFormat="1">
      <c r="A102" s="10" t="s">
        <v>155</v>
      </c>
      <c r="B102" s="10" t="s">
        <v>51</v>
      </c>
      <c r="C102" s="10" t="s">
        <v>49</v>
      </c>
      <c r="D102" s="10" t="s">
        <v>232</v>
      </c>
      <c r="E102" s="11">
        <v>0</v>
      </c>
      <c r="F102" s="11">
        <v>0</v>
      </c>
      <c r="G102" s="11">
        <v>24</v>
      </c>
      <c r="H102" s="11">
        <v>0</v>
      </c>
      <c r="I102" s="11">
        <v>0</v>
      </c>
      <c r="J102" s="11"/>
      <c r="K102" s="11"/>
      <c r="L102" s="11"/>
      <c r="M102" s="96"/>
    </row>
    <row r="103" spans="1:13" s="10" customFormat="1">
      <c r="A103" s="10" t="s">
        <v>155</v>
      </c>
      <c r="B103" s="10" t="s">
        <v>51</v>
      </c>
      <c r="C103" s="10" t="s">
        <v>49</v>
      </c>
      <c r="D103" s="10" t="s">
        <v>233</v>
      </c>
      <c r="E103" s="11">
        <v>0</v>
      </c>
      <c r="F103" s="11">
        <v>0</v>
      </c>
      <c r="G103" s="11">
        <v>24</v>
      </c>
      <c r="H103" s="11">
        <v>0</v>
      </c>
      <c r="I103" s="11">
        <v>0</v>
      </c>
      <c r="J103" s="11"/>
      <c r="K103" s="11"/>
      <c r="L103" s="11"/>
      <c r="M103" s="96"/>
    </row>
    <row r="104" spans="1:13" s="10" customFormat="1">
      <c r="A104" s="10" t="s">
        <v>155</v>
      </c>
      <c r="B104" s="10" t="s">
        <v>51</v>
      </c>
      <c r="C104" s="10" t="s">
        <v>49</v>
      </c>
      <c r="D104" s="10" t="s">
        <v>234</v>
      </c>
      <c r="E104" s="11">
        <v>0</v>
      </c>
      <c r="F104" s="11">
        <v>0</v>
      </c>
      <c r="G104" s="11">
        <v>51720</v>
      </c>
      <c r="H104" s="11">
        <v>0</v>
      </c>
      <c r="I104" s="11">
        <v>0</v>
      </c>
      <c r="J104" s="11"/>
      <c r="K104" s="11"/>
      <c r="L104" s="11"/>
      <c r="M104" s="96"/>
    </row>
    <row r="105" spans="1:13" s="10" customFormat="1">
      <c r="A105" s="10" t="s">
        <v>155</v>
      </c>
      <c r="B105" s="10" t="s">
        <v>51</v>
      </c>
      <c r="C105" s="10" t="s">
        <v>49</v>
      </c>
      <c r="D105" s="10" t="s">
        <v>235</v>
      </c>
      <c r="E105" s="11"/>
      <c r="F105" s="11"/>
      <c r="G105" s="11"/>
      <c r="H105" s="11"/>
      <c r="I105" s="11"/>
      <c r="J105" s="11"/>
      <c r="K105" s="11"/>
      <c r="L105" s="11">
        <v>2155</v>
      </c>
      <c r="M105" s="96"/>
    </row>
    <row r="106" spans="1:13" s="10" customFormat="1">
      <c r="A106" t="s">
        <v>155</v>
      </c>
      <c r="B106" s="10" t="s">
        <v>51</v>
      </c>
      <c r="C106" s="10" t="s">
        <v>49</v>
      </c>
      <c r="D106" s="10" t="s">
        <v>346</v>
      </c>
      <c r="E106" s="11"/>
      <c r="F106" s="11"/>
      <c r="G106" s="11"/>
      <c r="H106" s="11"/>
      <c r="I106" s="11"/>
      <c r="J106" s="11"/>
      <c r="K106" s="10">
        <v>201</v>
      </c>
      <c r="M106" s="96"/>
    </row>
    <row r="107" spans="1:13" s="10" customFormat="1">
      <c r="A107" t="s">
        <v>155</v>
      </c>
      <c r="B107" s="10" t="s">
        <v>51</v>
      </c>
      <c r="C107" s="10" t="s">
        <v>49</v>
      </c>
      <c r="D107" s="10" t="s">
        <v>336</v>
      </c>
      <c r="E107" s="11"/>
      <c r="F107" s="11"/>
      <c r="G107" s="11"/>
      <c r="H107" s="11"/>
      <c r="I107" s="11"/>
      <c r="J107" s="11"/>
      <c r="K107" s="10">
        <v>396</v>
      </c>
      <c r="M107" s="96"/>
    </row>
    <row r="108" spans="1:13" s="10" customFormat="1">
      <c r="A108" t="s">
        <v>155</v>
      </c>
      <c r="B108" s="10" t="s">
        <v>51</v>
      </c>
      <c r="C108" s="10" t="s">
        <v>49</v>
      </c>
      <c r="D108" s="10" t="s">
        <v>337</v>
      </c>
      <c r="E108" s="11"/>
      <c r="F108" s="11"/>
      <c r="G108" s="11"/>
      <c r="H108" s="11"/>
      <c r="I108" s="11"/>
      <c r="J108" s="11"/>
      <c r="K108" s="10">
        <v>240</v>
      </c>
      <c r="M108" s="96"/>
    </row>
    <row r="109" spans="1:13" s="10" customFormat="1">
      <c r="A109" t="s">
        <v>155</v>
      </c>
      <c r="B109" s="10" t="s">
        <v>51</v>
      </c>
      <c r="C109" s="10" t="s">
        <v>49</v>
      </c>
      <c r="D109" s="10" t="s">
        <v>294</v>
      </c>
      <c r="E109" s="11"/>
      <c r="F109" s="11"/>
      <c r="H109" s="11"/>
      <c r="I109" s="11"/>
      <c r="J109" s="11"/>
      <c r="L109" s="11">
        <v>368</v>
      </c>
      <c r="M109" s="96"/>
    </row>
    <row r="110" spans="1:13" s="10" customFormat="1">
      <c r="A110" s="10" t="s">
        <v>155</v>
      </c>
      <c r="B110" s="10" t="s">
        <v>51</v>
      </c>
      <c r="C110" s="10" t="s">
        <v>49</v>
      </c>
      <c r="D110" s="22" t="s">
        <v>320</v>
      </c>
      <c r="E110" s="11">
        <v>1</v>
      </c>
      <c r="F110" s="11">
        <v>0</v>
      </c>
      <c r="G110" s="11">
        <v>9765848</v>
      </c>
      <c r="H110" s="11">
        <v>0</v>
      </c>
      <c r="I110" s="11">
        <v>0</v>
      </c>
      <c r="J110" s="11"/>
      <c r="K110" s="11"/>
      <c r="L110" s="11"/>
      <c r="M110" s="96"/>
    </row>
    <row r="111" spans="1:13" s="10" customFormat="1">
      <c r="A111" s="10" t="s">
        <v>155</v>
      </c>
      <c r="B111" s="10" t="s">
        <v>51</v>
      </c>
      <c r="C111" s="10" t="s">
        <v>49</v>
      </c>
      <c r="D111" s="22" t="s">
        <v>321</v>
      </c>
      <c r="E111" s="11">
        <v>0</v>
      </c>
      <c r="F111" s="11">
        <v>0</v>
      </c>
      <c r="G111" s="11">
        <v>9121895</v>
      </c>
      <c r="H111" s="11">
        <v>0</v>
      </c>
      <c r="I111" s="11">
        <v>0</v>
      </c>
      <c r="J111" s="11"/>
      <c r="K111" s="11"/>
      <c r="L111" s="11"/>
      <c r="M111" s="96"/>
    </row>
    <row r="112" spans="1:13" s="10" customFormat="1">
      <c r="A112" s="10" t="s">
        <v>155</v>
      </c>
      <c r="B112" s="10" t="s">
        <v>51</v>
      </c>
      <c r="C112" s="10" t="s">
        <v>49</v>
      </c>
      <c r="D112" s="22" t="s">
        <v>322</v>
      </c>
      <c r="E112" s="11">
        <v>0</v>
      </c>
      <c r="F112" s="11">
        <v>0</v>
      </c>
      <c r="G112" s="11">
        <v>9456449</v>
      </c>
      <c r="H112" s="11">
        <v>0</v>
      </c>
      <c r="I112" s="11">
        <v>0</v>
      </c>
      <c r="J112" s="11"/>
      <c r="K112" s="11"/>
      <c r="L112" s="11"/>
      <c r="M112" s="96"/>
    </row>
    <row r="113" spans="1:13" s="10" customFormat="1">
      <c r="A113" s="10" t="s">
        <v>155</v>
      </c>
      <c r="B113" s="10" t="s">
        <v>51</v>
      </c>
      <c r="C113" s="10" t="s">
        <v>49</v>
      </c>
      <c r="D113" s="22" t="s">
        <v>323</v>
      </c>
      <c r="E113" s="11">
        <v>28</v>
      </c>
      <c r="F113" s="11">
        <v>0</v>
      </c>
      <c r="G113" s="11">
        <v>20378648728</v>
      </c>
      <c r="H113" s="11">
        <v>0</v>
      </c>
      <c r="I113" s="11">
        <v>0</v>
      </c>
      <c r="J113" s="11"/>
      <c r="K113" s="11"/>
      <c r="L113" s="11"/>
      <c r="M113" s="96"/>
    </row>
    <row r="114" spans="1:13" s="10" customFormat="1">
      <c r="A114" s="10" t="s">
        <v>155</v>
      </c>
      <c r="B114" s="10" t="s">
        <v>51</v>
      </c>
      <c r="C114" s="10" t="s">
        <v>49</v>
      </c>
      <c r="D114" s="22" t="s">
        <v>324</v>
      </c>
      <c r="E114" s="11"/>
      <c r="F114" s="11"/>
      <c r="G114" s="11"/>
      <c r="H114" s="11"/>
      <c r="I114" s="11"/>
      <c r="J114" s="11"/>
      <c r="K114" s="11"/>
      <c r="L114" s="11">
        <v>2155</v>
      </c>
      <c r="M114" s="96"/>
    </row>
    <row r="115" spans="1:13" s="10" customFormat="1">
      <c r="A115" s="10" t="s">
        <v>155</v>
      </c>
      <c r="B115" s="10" t="s">
        <v>51</v>
      </c>
      <c r="C115" s="10" t="s">
        <v>49</v>
      </c>
      <c r="D115" s="10" t="s">
        <v>350</v>
      </c>
      <c r="E115" s="11"/>
      <c r="F115" s="11"/>
      <c r="G115" s="11"/>
      <c r="H115" s="11"/>
      <c r="I115" s="11"/>
      <c r="J115" s="11"/>
      <c r="K115" s="11">
        <v>1161690624</v>
      </c>
      <c r="L115" s="11"/>
      <c r="M115" s="96"/>
    </row>
    <row r="116" spans="1:13" s="10" customFormat="1">
      <c r="A116" s="10" t="s">
        <v>155</v>
      </c>
      <c r="B116" s="10" t="s">
        <v>51</v>
      </c>
      <c r="C116" s="10" t="s">
        <v>49</v>
      </c>
      <c r="D116" s="10" t="s">
        <v>351</v>
      </c>
      <c r="E116" s="11"/>
      <c r="F116" s="11"/>
      <c r="G116" s="11"/>
      <c r="H116" s="11"/>
      <c r="I116" s="11"/>
      <c r="J116" s="11"/>
      <c r="K116" s="11">
        <v>1890334750</v>
      </c>
      <c r="L116" s="11"/>
      <c r="M116" s="96"/>
    </row>
    <row r="117" spans="1:13" s="10" customFormat="1">
      <c r="A117" s="10" t="s">
        <v>155</v>
      </c>
      <c r="B117" s="10" t="s">
        <v>51</v>
      </c>
      <c r="C117" s="10" t="s">
        <v>49</v>
      </c>
      <c r="D117" s="10" t="s">
        <v>352</v>
      </c>
      <c r="E117" s="11"/>
      <c r="F117" s="11"/>
      <c r="G117" s="11"/>
      <c r="H117" s="11"/>
      <c r="I117" s="11"/>
      <c r="J117" s="11"/>
      <c r="K117" s="11">
        <v>1526012687</v>
      </c>
      <c r="L117" s="11"/>
      <c r="M117" s="96"/>
    </row>
    <row r="118" spans="1:13" s="10" customFormat="1">
      <c r="A118" s="10" t="s">
        <v>155</v>
      </c>
      <c r="B118" s="10" t="s">
        <v>51</v>
      </c>
      <c r="C118" s="10" t="s">
        <v>49</v>
      </c>
      <c r="D118" s="10" t="s">
        <v>353</v>
      </c>
      <c r="E118" s="11"/>
      <c r="F118" s="11"/>
      <c r="G118" s="11"/>
      <c r="H118" s="11"/>
      <c r="I118" s="11"/>
      <c r="J118" s="11"/>
      <c r="K118" s="11"/>
      <c r="L118" s="11">
        <v>2</v>
      </c>
      <c r="M118" s="96"/>
    </row>
    <row r="119" spans="1:13">
      <c r="A119" s="10" t="s">
        <v>155</v>
      </c>
      <c r="B119" s="10" t="s">
        <v>51</v>
      </c>
      <c r="C119" s="10" t="s">
        <v>49</v>
      </c>
      <c r="D119" t="s">
        <v>437</v>
      </c>
      <c r="L119">
        <v>1</v>
      </c>
    </row>
    <row r="120" spans="1:13">
      <c r="A120" s="10" t="s">
        <v>155</v>
      </c>
      <c r="B120" s="10" t="s">
        <v>51</v>
      </c>
      <c r="C120" s="10" t="s">
        <v>49</v>
      </c>
      <c r="D120" s="10" t="s">
        <v>440</v>
      </c>
      <c r="L120">
        <v>1</v>
      </c>
    </row>
    <row r="121" spans="1:13">
      <c r="A121" s="10" t="s">
        <v>155</v>
      </c>
      <c r="B121" s="10" t="s">
        <v>51</v>
      </c>
      <c r="C121" s="10" t="s">
        <v>49</v>
      </c>
      <c r="D121" t="s">
        <v>446</v>
      </c>
      <c r="J121">
        <v>12</v>
      </c>
    </row>
    <row r="122" spans="1:13">
      <c r="A122" s="10" t="s">
        <v>155</v>
      </c>
      <c r="B122" s="10" t="s">
        <v>51</v>
      </c>
      <c r="C122" s="10" t="s">
        <v>49</v>
      </c>
      <c r="D122" t="s">
        <v>447</v>
      </c>
      <c r="J122">
        <v>8</v>
      </c>
    </row>
    <row r="123" spans="1:13">
      <c r="A123" s="10" t="s">
        <v>155</v>
      </c>
      <c r="B123" s="10" t="s">
        <v>51</v>
      </c>
      <c r="C123" s="10" t="s">
        <v>49</v>
      </c>
      <c r="D123" t="s">
        <v>448</v>
      </c>
      <c r="J123">
        <v>6</v>
      </c>
    </row>
    <row r="124" spans="1:13">
      <c r="A124" s="10" t="s">
        <v>155</v>
      </c>
      <c r="B124" s="10" t="s">
        <v>51</v>
      </c>
      <c r="C124" s="10" t="s">
        <v>49</v>
      </c>
      <c r="D124" t="s">
        <v>449</v>
      </c>
      <c r="J124">
        <v>4</v>
      </c>
    </row>
    <row r="125" spans="1:13">
      <c r="A125" s="10" t="s">
        <v>155</v>
      </c>
      <c r="B125" s="10" t="s">
        <v>51</v>
      </c>
      <c r="C125" s="10" t="s">
        <v>49</v>
      </c>
      <c r="D125" t="s">
        <v>450</v>
      </c>
      <c r="L125">
        <v>3</v>
      </c>
    </row>
    <row r="126" spans="1:13">
      <c r="A126" s="10" t="s">
        <v>155</v>
      </c>
      <c r="B126" s="10" t="s">
        <v>51</v>
      </c>
      <c r="C126" s="10" t="s">
        <v>49</v>
      </c>
      <c r="D126" t="s">
        <v>462</v>
      </c>
      <c r="M126" s="9">
        <v>23.45</v>
      </c>
    </row>
    <row r="127" spans="1:13">
      <c r="A127" s="10" t="s">
        <v>155</v>
      </c>
      <c r="B127" s="10" t="s">
        <v>51</v>
      </c>
      <c r="C127" s="10" t="s">
        <v>49</v>
      </c>
      <c r="D127" t="s">
        <v>463</v>
      </c>
      <c r="M127" s="9">
        <v>12.5</v>
      </c>
    </row>
    <row r="128" spans="1:13">
      <c r="A128" s="10" t="s">
        <v>155</v>
      </c>
      <c r="B128" s="10" t="s">
        <v>51</v>
      </c>
      <c r="C128" s="10" t="s">
        <v>49</v>
      </c>
      <c r="D128" t="s">
        <v>464</v>
      </c>
      <c r="M128" s="9">
        <v>8.4</v>
      </c>
    </row>
    <row r="129" spans="1:13">
      <c r="A129" s="10" t="s">
        <v>155</v>
      </c>
      <c r="B129" s="10" t="s">
        <v>51</v>
      </c>
      <c r="C129" s="10" t="s">
        <v>49</v>
      </c>
      <c r="D129" t="s">
        <v>465</v>
      </c>
      <c r="M129" s="9">
        <v>4.5999999999999996</v>
      </c>
    </row>
    <row r="130" spans="1:13">
      <c r="A130" s="10" t="s">
        <v>155</v>
      </c>
      <c r="B130" s="10" t="s">
        <v>51</v>
      </c>
      <c r="C130" s="10" t="s">
        <v>49</v>
      </c>
      <c r="D130" t="s">
        <v>466</v>
      </c>
      <c r="L130">
        <v>3</v>
      </c>
    </row>
    <row r="131" spans="1:13">
      <c r="A131" s="10" t="s">
        <v>155</v>
      </c>
      <c r="B131" s="10" t="s">
        <v>51</v>
      </c>
      <c r="C131" s="10" t="s">
        <v>49</v>
      </c>
      <c r="D131" t="s">
        <v>478</v>
      </c>
      <c r="J131" s="91">
        <v>12</v>
      </c>
    </row>
    <row r="132" spans="1:13">
      <c r="A132" s="10" t="s">
        <v>155</v>
      </c>
      <c r="B132" s="10" t="s">
        <v>51</v>
      </c>
      <c r="C132" s="10" t="s">
        <v>49</v>
      </c>
      <c r="D132" t="s">
        <v>479</v>
      </c>
      <c r="J132" s="91">
        <v>8</v>
      </c>
    </row>
    <row r="133" spans="1:13">
      <c r="A133" s="10" t="s">
        <v>155</v>
      </c>
      <c r="B133" s="10" t="s">
        <v>51</v>
      </c>
      <c r="C133" s="10" t="s">
        <v>49</v>
      </c>
      <c r="D133" t="s">
        <v>480</v>
      </c>
      <c r="J133" s="91">
        <v>6</v>
      </c>
    </row>
    <row r="134" spans="1:13">
      <c r="A134" s="10" t="s">
        <v>155</v>
      </c>
      <c r="B134" s="10" t="s">
        <v>51</v>
      </c>
      <c r="C134" s="10" t="s">
        <v>49</v>
      </c>
      <c r="D134" t="s">
        <v>481</v>
      </c>
      <c r="J134" s="91">
        <v>4</v>
      </c>
    </row>
    <row r="135" spans="1:13">
      <c r="A135" s="10" t="s">
        <v>155</v>
      </c>
      <c r="B135" s="10" t="s">
        <v>51</v>
      </c>
      <c r="C135" s="10" t="s">
        <v>49</v>
      </c>
      <c r="D135" t="s">
        <v>482</v>
      </c>
      <c r="J135" s="91"/>
      <c r="L135">
        <v>3</v>
      </c>
    </row>
  </sheetData>
  <autoFilter ref="A1:M130"/>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B3" sqref="B3:B6"/>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354</v>
      </c>
      <c r="H1" s="25" t="s">
        <v>355</v>
      </c>
      <c r="I1" s="25" t="s">
        <v>356</v>
      </c>
      <c r="J1" s="25" t="s">
        <v>357</v>
      </c>
      <c r="K1" s="25" t="s">
        <v>358</v>
      </c>
      <c r="L1" s="25" t="s">
        <v>359</v>
      </c>
      <c r="M1" s="25" t="s">
        <v>360</v>
      </c>
    </row>
    <row r="2" spans="1:13">
      <c r="A2" s="10" t="s">
        <v>361</v>
      </c>
      <c r="B2" s="10" t="s">
        <v>51</v>
      </c>
      <c r="C2" s="22" t="s">
        <v>49</v>
      </c>
      <c r="D2" s="22" t="s">
        <v>48</v>
      </c>
      <c r="E2" s="10" t="s">
        <v>50</v>
      </c>
      <c r="F2" s="10" t="s">
        <v>362</v>
      </c>
      <c r="G2" s="27">
        <v>1</v>
      </c>
      <c r="H2" s="27">
        <v>3</v>
      </c>
      <c r="I2" s="27">
        <v>10</v>
      </c>
      <c r="J2" s="27">
        <v>20</v>
      </c>
      <c r="K2" s="27">
        <v>29</v>
      </c>
      <c r="L2" s="27">
        <v>0</v>
      </c>
      <c r="M2" s="27">
        <v>35</v>
      </c>
    </row>
    <row r="3" spans="1:13">
      <c r="A3" s="10" t="s">
        <v>361</v>
      </c>
      <c r="B3" s="10" t="s">
        <v>51</v>
      </c>
      <c r="C3" s="22" t="s">
        <v>49</v>
      </c>
      <c r="D3" s="22" t="s">
        <v>48</v>
      </c>
      <c r="E3" s="10" t="s">
        <v>50</v>
      </c>
      <c r="F3" s="10" t="s">
        <v>363</v>
      </c>
      <c r="G3" s="27">
        <v>0.17899999999999999</v>
      </c>
      <c r="H3" s="27">
        <v>0.44600000000000001</v>
      </c>
      <c r="I3" s="27">
        <v>1.109</v>
      </c>
      <c r="J3" s="27">
        <v>1.597</v>
      </c>
      <c r="K3" s="27">
        <v>2.2989999999999999</v>
      </c>
      <c r="L3" s="27">
        <v>1.4999999999999999E-2</v>
      </c>
      <c r="M3" s="27">
        <v>4055.2689999999998</v>
      </c>
    </row>
    <row r="4" spans="1:13">
      <c r="A4" s="10" t="s">
        <v>361</v>
      </c>
      <c r="B4" s="10" t="s">
        <v>51</v>
      </c>
      <c r="C4" s="22" t="s">
        <v>49</v>
      </c>
      <c r="D4" s="22" t="s">
        <v>48</v>
      </c>
      <c r="E4" s="10" t="s">
        <v>50</v>
      </c>
      <c r="F4" s="10" t="s">
        <v>364</v>
      </c>
      <c r="G4" s="27">
        <v>150.04499999999999</v>
      </c>
      <c r="H4" s="27">
        <v>178</v>
      </c>
      <c r="I4" s="27">
        <v>195</v>
      </c>
      <c r="J4" s="27">
        <v>210</v>
      </c>
      <c r="K4" s="27">
        <v>220</v>
      </c>
      <c r="L4" s="27">
        <v>75.23</v>
      </c>
      <c r="M4" s="27">
        <v>235.67</v>
      </c>
    </row>
    <row r="5" spans="1:13">
      <c r="A5" s="10" t="s">
        <v>361</v>
      </c>
      <c r="B5" s="10" t="s">
        <v>51</v>
      </c>
      <c r="C5" s="22" t="s">
        <v>49</v>
      </c>
      <c r="D5" s="22" t="s">
        <v>48</v>
      </c>
      <c r="E5" s="10" t="s">
        <v>50</v>
      </c>
      <c r="F5" s="10" t="s">
        <v>365</v>
      </c>
      <c r="G5" s="27">
        <v>8.4064483642578125E-2</v>
      </c>
      <c r="H5" s="27">
        <v>0.12105369567871094</v>
      </c>
      <c r="I5" s="27">
        <v>0.20918083190917969</v>
      </c>
      <c r="J5" s="27">
        <v>0.30121994018554688</v>
      </c>
      <c r="K5" s="27">
        <v>0.36146354675292969</v>
      </c>
      <c r="L5" s="27">
        <v>1.828193664550781E-3</v>
      </c>
      <c r="M5" s="27">
        <v>1.8650684356689453</v>
      </c>
    </row>
    <row r="6" spans="1:13">
      <c r="A6" s="10" t="s">
        <v>361</v>
      </c>
      <c r="B6" s="10" t="s">
        <v>51</v>
      </c>
      <c r="C6" s="22" t="s">
        <v>49</v>
      </c>
      <c r="D6" s="22" t="s">
        <v>48</v>
      </c>
      <c r="E6" s="10" t="s">
        <v>50</v>
      </c>
      <c r="F6" s="10" t="s">
        <v>366</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35</vt:i4>
      </vt:variant>
    </vt:vector>
  </HeadingPairs>
  <TitlesOfParts>
    <vt:vector size="35" baseType="lpstr">
      <vt:lpstr>Global Filters</vt:lpstr>
      <vt:lpstr>OS-Machine Info</vt:lpstr>
      <vt:lpstr>Node Information</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Partitions</vt:lpstr>
      <vt:lpstr>Partitions by Node</vt:lpstr>
      <vt:lpstr>GC</vt:lpstr>
      <vt:lpstr>Pauses-JVM</vt:lpstr>
      <vt:lpstr>Compaction</vt:lpstr>
      <vt:lpstr>Compaction by Node</vt:lpstr>
      <vt:lpstr>Droppable</vt:lpstr>
      <vt:lpstr>Storage-Size</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Application</vt:lpstr>
      <vt:lpstr>--Marker--</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2016-10-24T14:52:27Z</dcterms:modified>
</cp:coreProperties>
</file>