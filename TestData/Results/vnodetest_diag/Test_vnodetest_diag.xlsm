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CacheDefinition+xml" PartName="/xl/pivotCache/pivotCacheDefinition2.xml"/>
  <Override ContentType="application/vnd.openxmlformats-officedocument.spreadsheetml.pivotCacheRecords+xml" PartName="/xl/pivotCache/pivotCacheRecords2.xml"/>
  <Override ContentType="application/vnd.openxmlformats-officedocument.spreadsheetml.pivotCacheDefinition+xml" PartName="/xl/pivotCache/pivotCacheDefinition3.xml"/>
  <Override ContentType="application/vnd.openxmlformats-officedocument.spreadsheetml.pivotCacheRecords+xml" PartName="/xl/pivotCache/pivotCacheRecords3.xml"/>
  <Override ContentType="application/vnd.openxmlformats-officedocument.spreadsheetml.pivotCacheDefinition+xml" PartName="/xl/pivotCache/pivotCacheDefinition4.xml"/>
  <Override ContentType="application/vnd.openxmlformats-officedocument.spreadsheetml.pivotCacheRecords+xml" PartName="/xl/pivotCache/pivotCacheRecords4.xml"/>
  <Override ContentType="application/vnd.openxmlformats-officedocument.spreadsheetml.pivotCacheDefinition+xml" PartName="/xl/pivotCache/pivotCacheDefinition5.xml"/>
  <Override ContentType="application/vnd.openxmlformats-officedocument.spreadsheetml.pivotCacheRecords+xml" PartName="/xl/pivotCache/pivotCacheRecords5.xml"/>
  <Override ContentType="application/vnd.openxmlformats-officedocument.spreadsheetml.pivotCacheDefinition+xml" PartName="/xl/pivotCache/pivotCacheDefinition6.xml"/>
  <Override ContentType="application/vnd.openxmlformats-officedocument.spreadsheetml.pivotCacheRecords+xml" PartName="/xl/pivotCache/pivotCacheRecords6.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Cache+xml" PartName="/xl/slicerCaches/slicerCache4.xml"/>
  <Override ContentType="application/vnd.ms-excel.slicerCache+xml" PartName="/xl/slicerCaches/slicerCache5.xml"/>
  <Override ContentType="application/vnd.ms-excel.slicerCache+xml" PartName="/xl/slicerCaches/slicerCache6.xml"/>
  <Override ContentType="application/vnd.ms-excel.slicerCache+xml" PartName="/xl/slicerCaches/slicerCache7.xml"/>
  <Override ContentType="application/vnd.ms-excel.slicerCache+xml" PartName="/xl/slicerCaches/slicerCache8.xml"/>
  <Override ContentType="application/vnd.ms-excel.slicerCache+xml" PartName="/xl/slicerCaches/slicerCache9.xml"/>
  <Override ContentType="application/vnd.ms-excel.slicerCache+xml" PartName="/xl/slicerCaches/slicerCache10.xml"/>
  <Override ContentType="application/vnd.ms-excel.slicerCache+xml" PartName="/xl/slicerCaches/slicerCache11.xml"/>
  <Override ContentType="application/vnd.ms-excel.slicerCache+xml" PartName="/xl/slicerCaches/slicerCache12.xml"/>
  <Override ContentType="application/vnd.ms-excel.slicerCache+xml" PartName="/xl/slicerCaches/slicerCache13.xml"/>
  <Override ContentType="application/vnd.ms-excel.slicerCache+xml" PartName="/xl/slicerCaches/slicerCache14.xml"/>
  <Override ContentType="application/vnd.ms-excel.slicerCache+xml" PartName="/xl/slicerCaches/slicerCache15.xml"/>
  <Override ContentType="application/vnd.ms-excel.slicerCache+xml" PartName="/xl/slicerCaches/slicerCache16.xml"/>
  <Override ContentType="application/vnd.ms-excel.slicerCache+xml" PartName="/xl/slicerCaches/slicerCache17.xml"/>
  <Override ContentType="application/vnd.ms-excel.slicerCache+xml" PartName="/xl/slicerCaches/slicerCache18.xml"/>
  <Override ContentType="application/vnd.ms-excel.slicerCache+xml" PartName="/xl/slicerCaches/slicerCache19.xml"/>
  <Override ContentType="application/vnd.ms-excel.slicerCache+xml" PartName="/xl/slicerCaches/slicerCache20.xml"/>
  <Override ContentType="application/vnd.ms-excel.slicerCache+xml" PartName="/xl/slicerCaches/slicerCache21.xml"/>
  <Override ContentType="application/vnd.ms-excel.slicerCache+xml" PartName="/xl/slicerCaches/slicerCache22.xml"/>
  <Override ContentType="application/vnd.ms-excel.slicerCache+xml" PartName="/xl/slicerCaches/slicerCache23.xml"/>
  <Override ContentType="application/vnd.ms-excel.slicerCache+xml" PartName="/xl/slicerCaches/slicerCache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worksheet+xml" PartName="/xl/worksheets/sheet49.xml"/>
  <Override ContentType="application/vnd.openxmlformats-officedocument.drawing+xml" PartName="/xl/drawings/drawing1.xml"/>
  <Override ContentType="application/vnd.ms-excel.controlproperties+xml" PartName="/xl/ctrlProps/ctrlProp1.xml"/>
  <Override ContentType="application/vnd.ms-excel.slicer+xml" PartName="/xl/slicers/slicer1.xml"/>
  <Override ContentType="application/vnd.openxmlformats-officedocument.spreadsheetml.comments+xml" PartName="/xl/comments1.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pivotTable+xml" PartName="/xl/pivotTables/pivotTable4.xml"/>
  <Override ContentType="application/vnd.openxmlformats-officedocument.spreadsheetml.pivotTable+xml" PartName="/xl/pivotTables/pivotTable5.xml"/>
  <Override ContentType="application/vnd.openxmlformats-officedocument.spreadsheetml.pivotTable+xml" PartName="/xl/pivotTables/pivotTable6.xml"/>
  <Override ContentType="application/vnd.openxmlformats-officedocument.spreadsheetml.pivotTable+xml" PartName="/xl/pivotTables/pivotTable7.xml"/>
  <Override ContentType="application/vnd.openxmlformats-officedocument.spreadsheetml.pivotTable+xml" PartName="/xl/pivotTables/pivotTable8.xml"/>
  <Override ContentType="application/vnd.openxmlformats-officedocument.spreadsheetml.pivotTable+xml" PartName="/xl/pivotTables/pivotTable9.xml"/>
  <Override ContentType="application/vnd.openxmlformats-officedocument.spreadsheetml.pivotTable+xml" PartName="/xl/pivotTables/pivotTable10.xml"/>
  <Override ContentType="application/vnd.openxmlformats-officedocument.spreadsheetml.pivotTable+xml" PartName="/xl/pivotTables/pivotTable11.xml"/>
  <Override ContentType="application/vnd.openxmlformats-officedocument.spreadsheetml.pivotTable+xml" PartName="/xl/pivotTables/pivotTable12.xml"/>
  <Override ContentType="application/vnd.openxmlformats-officedocument.spreadsheetml.pivotTable+xml" PartName="/xl/pivotTables/pivotTable13.xml"/>
  <Override ContentType="application/vnd.openxmlformats-officedocument.spreadsheetml.pivotTable+xml" PartName="/xl/pivotTables/pivotTable14.xml"/>
  <Override ContentType="application/vnd.openxmlformats-officedocument.spreadsheetml.pivotTable+xml" PartName="/xl/pivotTables/pivotTable15.xml"/>
  <Override ContentType="application/vnd.openxmlformats-officedocument.spreadsheetml.pivotTable+xml" PartName="/xl/pivotTables/pivotTable16.xml"/>
  <Override ContentType="application/vnd.openxmlformats-officedocument.spreadsheetml.pivotTable+xml" PartName="/xl/pivotTables/pivotTable17.xml"/>
  <Override ContentType="application/vnd.openxmlformats-officedocument.spreadsheetml.pivotTable+xml" PartName="/xl/pivotTables/pivotTable18.xml"/>
  <Override ContentType="application/vnd.openxmlformats-officedocument.spreadsheetml.pivotTable+xml" PartName="/xl/pivotTables/pivotTable19.xml"/>
  <Override ContentType="application/vnd.openxmlformats-officedocument.spreadsheetml.pivotTable+xml" PartName="/xl/pivotTables/pivotTable20.xml"/>
  <Override ContentType="application/vnd.openxmlformats-officedocument.spreadsheetml.pivotTable+xml" PartName="/xl/pivotTables/pivotTable21.xml"/>
  <Override ContentType="application/vnd.openxmlformats-officedocument.spreadsheetml.pivotTable+xml" PartName="/xl/pivotTables/pivotTable22.xml"/>
  <Override ContentType="application/vnd.openxmlformats-officedocument.spreadsheetml.pivotTable+xml" PartName="/xl/pivotTables/pivotTable23.xml"/>
  <Override ContentType="application/vnd.openxmlformats-officedocument.spreadsheetml.pivotTable+xml" PartName="/xl/pivotTables/pivotTable24.xml"/>
  <Override ContentType="application/vnd.openxmlformats-officedocument.spreadsheetml.pivotTable+xml" PartName="/xl/pivotTables/pivotTable25.xml"/>
  <Override ContentType="application/vnd.openxmlformats-officedocument.spreadsheetml.pivotTable+xml" PartName="/xl/pivotTables/pivotTable26.xml"/>
  <Override ContentType="application/vnd.openxmlformats-officedocument.spreadsheetml.pivotTable+xml" PartName="/xl/pivotTables/pivotTable27.xml"/>
  <Override ContentType="application/vnd.openxmlformats-officedocument.spreadsheetml.pivotTable+xml" PartName="/xl/pivotTables/pivotTable28.xml"/>
  <Override ContentType="application/vnd.openxmlformats-officedocument.spreadsheetml.pivotTable+xml" PartName="/xl/pivotTables/pivotTable29.xml"/>
  <Override ContentType="application/vnd.openxmlformats-officedocument.spreadsheetml.pivotTable+xml" PartName="/xl/pivotTables/pivotTable30.xml"/>
  <Override ContentType="application/vnd.openxmlformats-officedocument.spreadsheetml.pivotTable+xml" PartName="/xl/pivotTables/pivotTable31.xml"/>
  <Override ContentType="application/vnd.openxmlformats-officedocument.spreadsheetml.pivotTable+xml" PartName="/xl/pivotTables/pivotTable32.xml"/>
  <Override ContentType="application/vnd.openxmlformats-officedocument.spreadsheetml.pivotTable+xml" PartName="/xl/pivotTables/pivotTable33.xml"/>
  <Override ContentType="application/vnd.openxmlformats-officedocument.spreadsheetml.pivotTable+xml" PartName="/xl/pivotTables/pivotTable34.xml"/>
  <Override ContentType="application/vnd.openxmlformats-officedocument.spreadsheetml.pivotTable+xml" PartName="/xl/pivotTables/pivotTable35.xml"/>
  <Override ContentType="application/vnd.openxmlformats-officedocument.spreadsheetml.pivotTable+xml" PartName="/xl/pivotTables/pivotTable36.xml"/>
  <Override ContentType="application/vnd.openxmlformats-officedocument.spreadsheetml.pivotTable+xml" PartName="/xl/pivotTables/pivotTable37.xml"/>
  <Override ContentType="application/vnd.openxmlformats-officedocument.spreadsheetml.pivotTable+xml" PartName="/xl/pivotTables/pivotTable38.xml"/>
  <Override ContentType="application/vnd.openxmlformats-officedocument.spreadsheetml.pivotTable+xml" PartName="/xl/pivotTables/pivotTable39.xml"/>
  <Override ContentType="application/vnd.openxmlformats-officedocument.spreadsheetml.pivotTable+xml" PartName="/xl/pivotTables/pivotTable40.xml"/>
  <Override ContentType="application/vnd.openxmlformats-officedocument.spreadsheetml.pivotTable+xml" PartName="/xl/pivotTables/pivotTable41.xml"/>
  <Override ContentType="application/vnd.openxmlformats-officedocument.spreadsheetml.pivotTable+xml" PartName="/xl/pivotTables/pivotTable42.xml"/>
  <Override ContentType="application/vnd.openxmlformats-officedocument.spreadsheetml.pivotTable+xml" PartName="/xl/pivotTables/pivotTable43.xml"/>
  <Override ContentType="application/vnd.openxmlformats-officedocument.spreadsheetml.pivotTable+xml" PartName="/xl/pivotTables/pivotTable44.xml"/>
  <Override ContentType="application/vnd.openxmlformats-officedocument.spreadsheetml.pivotTable+xml" PartName="/xl/pivotTables/pivotTable45.xml"/>
  <Override ContentType="application/vnd.openxmlformats-officedocument.spreadsheetml.pivotTable+xml" PartName="/xl/pivotTables/pivotTable46.xml"/>
  <Override ContentType="application/vnd.openxmlformats-officedocument.spreadsheetml.pivotTable+xml" PartName="/xl/pivotTables/pivotTable47.xml"/>
  <Override ContentType="application/vnd.openxmlformats-officedocument.spreadsheetml.pivotTable+xml" PartName="/xl/pivotTables/pivotTable48.xml"/>
  <Override ContentType="application/vnd.openxmlformats-officedocument.spreadsheetml.pivotTable+xml" PartName="/xl/pivotTables/pivotTable49.xml"/>
  <Override ContentType="application/vnd.openxmlformats-officedocument.spreadsheetml.pivotTable+xml" PartName="/xl/pivotTables/pivotTable50.xml"/>
  <Override ContentType="application/vnd.openxmlformats-officedocument.spreadsheetml.pivotTable+xml" PartName="/xl/pivotTables/pivotTable51.xml"/>
  <Override ContentType="application/vnd.openxmlformats-officedocument.spreadsheetml.pivotTable+xml" PartName="/xl/pivotTables/pivotTable52.xml"/>
  <Override ContentType="application/vnd.openxmlformats-officedocument.spreadsheetml.pivotTable+xml" PartName="/xl/pivotTables/pivotTable53.xml"/>
  <Override ContentType="application/vnd.openxmlformats-officedocument.spreadsheetml.pivotTable+xml" PartName="/xl/pivotTables/pivotTable54.xml"/>
  <Override ContentType="application/vnd.openxmlformats-officedocument.spreadsheetml.pivotTable+xml" PartName="/xl/pivotTables/pivotTable55.xml"/>
  <Override ContentType="application/vnd.openxmlformats-officedocument.spreadsheetml.pivotTable+xml" PartName="/xl/pivotTables/pivotTable56.xml"/>
  <Override ContentType="application/vnd.openxmlformats-officedocument.spreadsheetml.pivotTable+xml" PartName="/xl/pivotTables/pivotTable57.xml"/>
  <Override ContentType="application/vnd.openxmlformats-officedocument.spreadsheetml.pivotTable+xml" PartName="/xl/pivotTables/pivotTable58.xml"/>
  <Override ContentType="application/vnd.openxmlformats-officedocument.spreadsheetml.pivotTable+xml" PartName="/xl/pivotTables/pivotTable59.xml"/>
  <Override ContentType="application/vnd.openxmlformats-officedocument.spreadsheetml.pivotTable+xml" PartName="/xl/pivotTables/pivotTable60.xml"/>
  <Override ContentType="application/vnd.openxmlformats-officedocument.spreadsheetml.pivotTable+xml" PartName="/xl/pivotTables/pivotTable61.xml"/>
  <Override ContentType="application/vnd.openxmlformats-officedocument.spreadsheetml.pivotTable+xml" PartName="/xl/pivotTables/pivotTable62.xml"/>
  <Override ContentType="application/vnd.openxmlformats-officedocument.spreadsheetml.pivotTable+xml" PartName="/xl/pivotTables/pivotTable63.xml"/>
  <Override ContentType="application/vnd.openxmlformats-officedocument.spreadsheetml.pivotTable+xml" PartName="/xl/pivotTables/pivotTable64.xml"/>
  <Override ContentType="application/vnd.openxmlformats-officedocument.spreadsheetml.pivotTable+xml" PartName="/xl/pivotTables/pivotTable65.xml"/>
  <Override ContentType="application/vnd.openxmlformats-officedocument.spreadsheetml.pivotTable+xml" PartName="/xl/pivotTables/pivotTable66.xml"/>
  <Override ContentType="application/vnd.openxmlformats-officedocument.spreadsheetml.pivotTable+xml" PartName="/xl/pivotTables/pivotTable67.xml"/>
  <Override ContentType="application/vnd.openxmlformats-officedocument.spreadsheetml.pivotTable+xml" PartName="/xl/pivotTables/pivotTable68.xml"/>
  <Override ContentType="application/vnd.openxmlformats-officedocument.spreadsheetml.pivotTable+xml" PartName="/xl/pivotTables/pivotTable69.xml"/>
  <Override ContentType="application/vnd.openxmlformats-officedocument.spreadsheetml.pivotTable+xml" PartName="/xl/pivotTables/pivotTable70.xml"/>
  <Override ContentType="application/vnd.openxmlformats-officedocument.spreadsheetml.pivotTable+xml" PartName="/xl/pivotTables/pivotTable71.xml"/>
  <Override ContentType="application/vnd.openxmlformats-officedocument.spreadsheetml.pivotTable+xml" PartName="/xl/pivotTables/pivotTable72.xml"/>
  <Override ContentType="application/vnd.openxmlformats-officedocument.spreadsheetml.pivotTable+xml" PartName="/xl/pivotTables/pivotTable73.xml"/>
  <Override ContentType="application/vnd.openxmlformats-officedocument.spreadsheetml.pivotTable+xml" PartName="/xl/pivotTables/pivotTable74.xml"/>
  <Override ContentType="application/vnd.openxmlformats-officedocument.spreadsheetml.pivotTable+xml" PartName="/xl/pivotTables/pivotTable75.xml"/>
  <Override ContentType="application/vnd.openxmlformats-officedocument.spreadsheetml.pivotTable+xml" PartName="/xl/pivotTables/pivotTable76.xml"/>
  <Override ContentType="application/vnd.openxmlformats-officedocument.spreadsheetml.pivotTable+xml" PartName="/xl/pivotTables/pivotTable77.xml"/>
  <Override ContentType="application/vnd.openxmlformats-officedocument.spreadsheetml.pivotTable+xml" PartName="/xl/pivotTables/pivotTable78.xml"/>
  <Override ContentType="application/vnd.openxmlformats-officedocument.spreadsheetml.pivotTable+xml" PartName="/xl/pivotTables/pivotTable79.xml"/>
  <Override ContentType="application/vnd.openxmlformats-officedocument.spreadsheetml.pivotTable+xml" PartName="/xl/pivotTables/pivotTable80.xml"/>
  <Override ContentType="application/vnd.openxmlformats-officedocument.spreadsheetml.pivotTable+xml" PartName="/xl/pivotTables/pivotTable81.xml"/>
  <Override ContentType="application/vnd.openxmlformats-officedocument.spreadsheetml.pivotTable+xml" PartName="/xl/pivotTables/pivotTable82.xml"/>
  <Override ContentType="application/vnd.openxmlformats-officedocument.spreadsheetml.pivotTable+xml" PartName="/xl/pivotTables/pivotTable83.xml"/>
  <Override ContentType="application/vnd.openxmlformats-officedocument.spreadsheetml.pivotTable+xml" PartName="/xl/pivotTables/pivotTable84.xml"/>
  <Override ContentType="application/vnd.openxmlformats-officedocument.spreadsheetml.pivotTable+xml" PartName="/xl/pivotTables/pivotTable85.xml"/>
  <Override ContentType="application/vnd.openxmlformats-officedocument.spreadsheetml.pivotTable+xml" PartName="/xl/pivotTables/pivotTable86.xml"/>
  <Override ContentType="application/vnd.openxmlformats-officedocument.spreadsheetml.pivotTable+xml" PartName="/xl/pivotTables/pivotTable87.xml"/>
  <Override ContentType="application/vnd.openxmlformats-officedocument.spreadsheetml.pivotTable+xml" PartName="/xl/pivotTables/pivotTable88.xml"/>
  <Override ContentType="application/vnd.openxmlformats-officedocument.spreadsheetml.pivotTable+xml" PartName="/xl/pivotTables/pivotTable89.xml"/>
  <Override ContentType="application/vnd.openxmlformats-officedocument.spreadsheetml.pivotTable+xml" PartName="/xl/pivotTables/pivotTable90.xml"/>
  <Override ContentType="application/vnd.openxmlformats-officedocument.spreadsheetml.pivotTable+xml" PartName="/xl/pivotTables/pivotTable91.xml"/>
  <Override ContentType="application/vnd.openxmlformats-officedocument.spreadsheetml.pivotTable+xml" PartName="/xl/pivotTables/pivotTable92.xml"/>
  <Override ContentType="application/vnd.openxmlformats-officedocument.spreadsheetml.pivotTable+xml" PartName="/xl/pivotTables/pivotTable93.xml"/>
  <Override ContentType="application/vnd.openxmlformats-officedocument.spreadsheetml.pivotTable+xml" PartName="/xl/pivotTables/pivotTable94.xml"/>
  <Override ContentType="application/vnd.openxmlformats-officedocument.spreadsheetml.pivotTable+xml" PartName="/xl/pivotTables/pivotTable95.xml"/>
  <Override ContentType="application/vnd.openxmlformats-officedocument.spreadsheetml.pivotTable+xml" PartName="/xl/pivotTables/pivotTable96.xml"/>
  <Override ContentType="application/vnd.openxmlformats-officedocument.spreadsheetml.pivotTable+xml" PartName="/xl/pivotTables/pivotTable97.xml"/>
  <Override ContentType="application/vnd.openxmlformats-officedocument.spreadsheetml.pivotTable+xml" PartName="/xl/pivotTables/pivotTable98.xml"/>
  <Override ContentType="application/vnd.openxmlformats-officedocument.spreadsheetml.pivotTable+xml" PartName="/xl/pivotTables/pivotTable99.xml"/>
  <Override ContentType="application/vnd.openxmlformats-officedocument.spreadsheetml.pivotTable+xml" PartName="/xl/pivotTables/pivotTable100.xml"/>
  <Override ContentType="application/vnd.openxmlformats-officedocument.spreadsheetml.comments+xml" PartName="/xl/comments2.xml"/>
  <Override ContentType="application/vnd.openxmlformats-officedocument.spreadsheetml.comments+xml" PartName="/xl/comments3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vmlDrawing" PartName="/xl/drawings/vmlDrawing4.vml"/>
  <Override ContentType="application/vnd.openxmlformats-officedocument.spreadsheetml.comments+xml" PartName="/xl/comments49.xml"/>
  <Override ContentType="application/vnd.openxmlformats-officedocument.vmlDrawing" PartName="/xl/drawings/vmlDrawing5.vml"/>
  <Override ContentType="application/vnd.openxmlformats-officedocument.spreadsheetml.sharedStrings+xml" PartName="/xl/sharedString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 name="Compaction History" sheetId="49" r:id="rId72"/>
  </sheets>
  <definedNames>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 name="_xlnm._FilterDatabase" localSheetId="1" hidden="1">'OS-Machine Info'!$A$2:$AT$2</definedName>
    <definedName name="_xlnm._FilterDatabase" localSheetId="2" hidden="1">'Node Information'!$A$1:$P$1</definedName>
    <definedName name="_xlnm._FilterDatabase" localSheetId="3" hidden="1">'Ring Token Ranges'!$A$1:$F$1</definedName>
    <definedName name="_xlnm._FilterDatabase" localSheetId="4" hidden="1">'Settings-Yamls'!$A$1:$E$1</definedName>
    <definedName name="_xlnm._FilterDatabase" localSheetId="5" hidden="1">'DDL Keyspaces'!$A$1:$E$1</definedName>
    <definedName name="_xlnm._FilterDatabase" localSheetId="6" hidden="1">'DDL Tables'!$A$2:$R$2</definedName>
    <definedName name="_xlnm._FilterDatabase" localSheetId="30" hidden="1">'Cassandra Summary Logs'!$A$2:$N$2</definedName>
    <definedName name="_xlnm._FilterDatabase" localSheetId="33" hidden="1">'CFStats'!$A$1:$L$1</definedName>
    <definedName name="_xlnm._FilterDatabase" localSheetId="34" hidden="1">'NodeStats'!$A$1:$N$1</definedName>
    <definedName name="_xlnm._FilterDatabase" localSheetId="35" hidden="1">'TableHistogram'!$A$1:$M$1</definedName>
    <definedName name="_xlnm._FilterDatabase" localSheetId="36" hidden="1">'Compaction History'!$A$1:$J$1</definedName>
  </definedNames>
  <calcPr calcId="152511" fullCalcOnLoad="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omments1.xml><?xml version="1.0" encoding="utf-8"?>
<comments xmlns="http://schemas.openxmlformats.org/spreadsheetml/2006/main">
  <authors>
    <author>Richard Andersen</author>
  </authors>
  <commentList>
    <comment ref="L2" authorId="0">
      <text>
        <d:r xmlns:d="http://schemas.openxmlformats.org/spreadsheetml/2006/main">
          <rPr>
            <sz val="11"/>
            <rFont val="Calibri"/>
          </rPr>
          <t xml:space="preserve">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d:r>
      </text>
    </comment>
    <comment ref="I2" authorId="0">
      <text>
        <d:r xmlns:d="http://schemas.openxmlformats.org/spreadsheetml/2006/main">
          <rPr>
            <sz val="11"/>
            <rFont val="Calibri"/>
          </rPr>
          <t xml:space="preserve">read_repair_chance -- Specifies the basis for invoking read repairs on reads in clusters. The value must be between 0 and 1. Default Values are: 0.0 (Cassandra 2.1, Cassandra 2.0.9 and later) 0.1 (Cassandra 2.0.8 and earlier)</t>
        </d:r>
      </text>
    </comment>
    <comment ref="J2" authorId="0">
      <text>
        <d:r xmlns:d="http://schemas.openxmlformats.org/spreadsheetml/2006/main">
          <rPr>
            <sz val="11"/>
            <rFont val="Calibri"/>
          </rPr>
          <t xml:space="preserve">dclocal_read_repair_chance -- Specifies the probability of read repairs being invoked over all replicas in the current data center. Defaults are: 0.1 (Cassandra 2.1, Cassandra 2.0.9 and later) 0.0 (Cassandra 2.0.8 and earlier)</t>
        </d:r>
      </text>
    </comment>
    <comment ref="K2" authorId="0">
      <text>
        <d:r xmlns:d="http://schemas.openxmlformats.org/spreadsheetml/2006/main">
          <rPr>
            <sz val="11"/>
            <rFont val="Calibri"/>
          </rPr>
          <t xml:space="preserve">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d:r>
      </text>
    </comment>
  </commentList>
</comments>
</file>

<file path=xl/comments2.xml><?xml version="1.0" encoding="utf-8"?>
<comments xmlns="http://schemas.openxmlformats.org/spreadsheetml/2006/main">
  <authors>
    <author>Rich Andersen</author>
  </authors>
  <commentList>
    <comment ref="I1" authorId="0">
      <text>
        <d:r xmlns:d="http://schemas.openxmlformats.org/spreadsheetml/2006/main">
          <rPr>
            <sz val="11"/>
            <rFont val="Calibri"/>
          </rPr>
          <t xml:space="preserve">Change Numeric Format to Display Decimals</t>
        </d:r>
      </text>
    </comment>
  </commentList>
</comments>
</file>

<file path=xl/comments39.xml><?xml version="1.0" encoding="utf-8"?>
<comments xmlns="http://schemas.openxmlformats.org/spreadsheetml/2006/main">
  <authors>
    <d:author xmlns:d="http://schemas.openxmlformats.org/spreadsheetml/2006/main">LogRange</d:author>
  </authors>
  <commentList>
    <comment ref="H1" authorId="0">
      <text>
        <d:r xmlns:d="http://schemas.openxmlformats.org/spreadsheetml/2006/main">
          <rPr>
            <sz val="11"/>
            <rFont val="Calibri"/>
          </rPr>
          <t xml:space="preserve">Complete Log range is from "8/23/2016 6:39:30 PM" (Tuesday) to "8/24/2016 7:09:15 PM" (Wednesday) (1 00:29).</t>
        </d:r>
      </text>
    </comment>
  </commentList>
</comments>
</file>

<file path=xl/comments49.xml><?xml version="1.0" encoding="utf-8"?>
<comments xmlns="http://schemas.openxmlformats.org/spreadsheetml/2006/main">
  <authors>
    <d:author xmlns:d="http://schemas.openxmlformats.org/spreadsheetml/2006/main">Rich Andersen</d:author>
  </authors>
  <commentList>
    <comment ref="K1" authorId="0">
      <text>
        <d:r xmlns:d="http://schemas.openxmlformats.org/spreadsheetml/2006/main">
          <rPr>
            <sz val="11"/>
            <rFont val="Calibri"/>
          </rPr>
          <t xml:space="preserve">The notation means {sstables:rows}. For example {1:3, 3:1} means 3 rows were taken from one sstable (1:3) and 1 row taken from 3 (3:1) sstables, all to make the one sstable in that compaction operation.</t>
        </d:r>
      </text>
    </comment>
  </commentList>
</comments>
</file>

<file path=xl/sharedStrings.xml><?xml version="1.0" encoding="utf-8"?>
<sst xmlns="http://schemas.openxmlformats.org/spreadsheetml/2006/main" count="999" uniqueCount="999">
  <si>
    <t>Data Center</t>
  </si>
  <si>
    <t>Node IPAddress</t>
  </si>
  <si>
    <t>Start Token (exclusive)</t>
  </si>
  <si>
    <t>End Token (inclusive)</t>
  </si>
  <si>
    <t>Slots</t>
  </si>
  <si>
    <t>Load(MB)</t>
  </si>
  <si>
    <t>dc1</t>
  </si>
  <si>
    <t>10.200.178.74</t>
  </si>
  <si>
    <t>-1083373865952184847</t>
  </si>
  <si>
    <t>-965763752715067691</t>
  </si>
  <si>
    <t>117,610,113,237,117,156</t>
  </si>
  <si>
    <t>-1112920735894060632</t>
  </si>
  <si>
    <t>29,546,869,941,875,785</t>
  </si>
  <si>
    <t>-1368626044486952009</t>
  </si>
  <si>
    <t>255,705,308,592,891,377</t>
  </si>
  <si>
    <t>-1506050438236125221</t>
  </si>
  <si>
    <t>-1470113670375072780</t>
  </si>
  <si>
    <t>35,936,767,861,052,441</t>
  </si>
  <si>
    <t>-1730960894203779787</t>
  </si>
  <si>
    <t>224,910,455,967,654,566</t>
  </si>
  <si>
    <t>1763767447542813094</t>
  </si>
  <si>
    <t>2022732189513931917</t>
  </si>
  <si>
    <t>258,964,741,971,118,823</t>
  </si>
  <si>
    <t>203282880324534722</t>
  </si>
  <si>
    <t>239454701118417907</t>
  </si>
  <si>
    <t>36,171,820,793,883,185</t>
  </si>
  <si>
    <t>-2279959320468795867</t>
  </si>
  <si>
    <t>548,998,426,265,016,080</t>
  </si>
  <si>
    <t>-2463632414017809560</t>
  </si>
  <si>
    <t>183,673,093,549,013,693</t>
  </si>
  <si>
    <t>-3006317470014490810</t>
  </si>
  <si>
    <t>-2575488700080790401</t>
  </si>
  <si>
    <t>430,828,769,933,700,409</t>
  </si>
  <si>
    <t>3048553508947468467</t>
  </si>
  <si>
    <t>3266909403382341224</t>
  </si>
  <si>
    <t>218,355,894,434,872,757</t>
  </si>
  <si>
    <t>3717489182436782379</t>
  </si>
  <si>
    <t>450,579,779,054,441,155</t>
  </si>
  <si>
    <t>-353100281439590974</t>
  </si>
  <si>
    <t>154515779690888689</t>
  </si>
  <si>
    <t>507,616,061,130,479,663</t>
  </si>
  <si>
    <t>3794309999731608428</t>
  </si>
  <si>
    <t>76,820,817,294,826,049</t>
  </si>
  <si>
    <t>4228964099000353465</t>
  </si>
  <si>
    <t>4584902046999481602</t>
  </si>
  <si>
    <t>355,937,947,999,128,137</t>
  </si>
  <si>
    <t>-4292986704066024394</t>
  </si>
  <si>
    <t>-3946730409737055830</t>
  </si>
  <si>
    <t>346,256,294,328,968,564</t>
  </si>
  <si>
    <t>-5118402251389082817</t>
  </si>
  <si>
    <t>-4900739061213732624</t>
  </si>
  <si>
    <t>217,663,190,175,350,193</t>
  </si>
  <si>
    <t>5208649451595639985</t>
  </si>
  <si>
    <t>5242935500403106067</t>
  </si>
  <si>
    <t>34,286,048,807,466,082</t>
  </si>
  <si>
    <t>5560250058873300196</t>
  </si>
  <si>
    <t>317,314,558,470,194,129</t>
  </si>
  <si>
    <t>-5644769638868238538</t>
  </si>
  <si>
    <t>-5571848993490178553</t>
  </si>
  <si>
    <t>72,920,645,378,059,985</t>
  </si>
  <si>
    <t>-578154918815829969</t>
  </si>
  <si>
    <t>-528946041777526784</t>
  </si>
  <si>
    <t>49,208,877,038,303,185</t>
  </si>
  <si>
    <t>-5857247546451422336</t>
  </si>
  <si>
    <t>-5788746938939792033</t>
  </si>
  <si>
    <t>68,500,607,511,630,303</t>
  </si>
  <si>
    <t>-5989845423659207061</t>
  </si>
  <si>
    <t>132,597,877,207,784,725</t>
  </si>
  <si>
    <t>6298327985305896698</t>
  </si>
  <si>
    <t>6675735803548339657</t>
  </si>
  <si>
    <t>377,407,818,242,442,959</t>
  </si>
  <si>
    <t>6816507526820608313</t>
  </si>
  <si>
    <t>140,771,723,272,268,656</t>
  </si>
  <si>
    <t>-731931675929160537</t>
  </si>
  <si>
    <t>153,776,757,113,330,568</t>
  </si>
  <si>
    <t>7352790127201496177</t>
  </si>
  <si>
    <t>7447479707727866972</t>
  </si>
  <si>
    <t>94,689,580,526,370,795</t>
  </si>
  <si>
    <t>-8013358369907789138</t>
  </si>
  <si>
    <t>-7745168681817421550</t>
  </si>
  <si>
    <t>268,189,688,090,367,588</t>
  </si>
  <si>
    <t>-8753908492519893302</t>
  </si>
  <si>
    <t>740,550,122,612,104,164</t>
  </si>
  <si>
    <t>8835789021078012982</t>
  </si>
  <si>
    <t>857,046,560,111,645,331</t>
  </si>
  <si>
    <t>943467100045591220</t>
  </si>
  <si>
    <t>1148479494057528005</t>
  </si>
  <si>
    <t>205,012,394,011,936,785</t>
  </si>
  <si>
    <t>233,832,076,785,907,154</t>
  </si>
  <si>
    <t>10.200.178.76</t>
  </si>
  <si>
    <t>1432683046422975370</t>
  </si>
  <si>
    <t>284,203,552,365,447,365</t>
  </si>
  <si>
    <t>1649092665078691276</t>
  </si>
  <si>
    <t>216,409,618,655,715,906</t>
  </si>
  <si>
    <t>101,487,625,888,120,771</t>
  </si>
  <si>
    <t>48,767,100,633,646,033</t>
  </si>
  <si>
    <t>114,674,782,464,121,818</t>
  </si>
  <si>
    <t>2558861423993070838</t>
  </si>
  <si>
    <t>536,129,234,479,138,921</t>
  </si>
  <si>
    <t>704,012,398,927,173,313</t>
  </si>
  <si>
    <t>-2471336168167454986</t>
  </si>
  <si>
    <t>7,703,754,149,645,426</t>
  </si>
  <si>
    <t>2663280165863293488</t>
  </si>
  <si>
    <t>104,418,741,870,222,650</t>
  </si>
  <si>
    <t>104,152,531,913,335,415</t>
  </si>
  <si>
    <t>385,273,343,084,174,979</t>
  </si>
  <si>
    <t>-3373899998667164804</t>
  </si>
  <si>
    <t>367,582,528,652,673,994</t>
  </si>
  <si>
    <t>434,654,099,268,745,037</t>
  </si>
  <si>
    <t>572,830,411,069,891,026</t>
  </si>
  <si>
    <t>4772644154635062275</t>
  </si>
  <si>
    <t>187,742,107,635,580,673</t>
  </si>
  <si>
    <t>436,005,296,960,577,710</t>
  </si>
  <si>
    <t>607,752,357,147,708,230</t>
  </si>
  <si>
    <t>175,845,760,337,935,810</t>
  </si>
  <si>
    <t>-5364441815966441079</t>
  </si>
  <si>
    <t>246,039,564,577,358,262</t>
  </si>
  <si>
    <t>6200127108037683931</t>
  </si>
  <si>
    <t>639,877,049,164,383,735</t>
  </si>
  <si>
    <t>207,407,177,523,737,474</t>
  </si>
  <si>
    <t>143,977,300,071,553,495</t>
  </si>
  <si>
    <t>98,200,877,268,212,767</t>
  </si>
  <si>
    <t>-6545971465203459485</t>
  </si>
  <si>
    <t>556,126,041,544,252,424</t>
  </si>
  <si>
    <t>-6811191397262822630</t>
  </si>
  <si>
    <t>265,219,932,059,363,145</t>
  </si>
  <si>
    <t>7067995988714817054</t>
  </si>
  <si>
    <t>251,488,461,894,208,741</t>
  </si>
  <si>
    <t>284,794,138,486,679,123</t>
  </si>
  <si>
    <t>7711935736998765415</t>
  </si>
  <si>
    <t>264,456,029,270,898,443</t>
  </si>
  <si>
    <t>-7527335103752339234</t>
  </si>
  <si>
    <t>716,143,706,489,516,604</t>
  </si>
  <si>
    <t>7763697054294217748</t>
  </si>
  <si>
    <t>51,761,317,295,452,333</t>
  </si>
  <si>
    <t>217,833,578,065,082,316</t>
  </si>
  <si>
    <t>1,072,091,966,783,795,234</t>
  </si>
  <si>
    <t>Table Data</t>
  </si>
  <si>
    <t>Node Data</t>
  </si>
  <si>
    <t>TableHistogram</t>
  </si>
  <si>
    <t>Summary Log</t>
  </si>
  <si>
    <t>Rack</t>
  </si>
  <si>
    <t>Status</t>
  </si>
  <si>
    <t>Instance Type</t>
  </si>
  <si>
    <t>Cluster Name</t>
  </si>
  <si>
    <t>Storage Used (MB)</t>
  </si>
  <si>
    <t>Storage Utilization</t>
  </si>
  <si>
    <t>Health Rating</t>
  </si>
  <si>
    <t>Uptime</t>
  </si>
  <si>
    <t>Heap Memory (MB)</t>
  </si>
  <si>
    <t>Off Heap Memory (MB)</t>
  </si>
  <si>
    <t>Nbr VNodes</t>
  </si>
  <si>
    <t>Nbr of Exceptions</t>
  </si>
  <si>
    <t>Read-Repair Service Enabled</t>
  </si>
  <si>
    <t>Gossip Enabled</t>
  </si>
  <si>
    <t>Thrift Enabled</t>
  </si>
  <si>
    <t>Native Transport Enabled</t>
  </si>
  <si>
    <t>Key Cache Information</t>
  </si>
  <si>
    <t>Row Cache Information</t>
  </si>
  <si>
    <t>Counter Cache Information</t>
  </si>
  <si>
    <t>rack1</t>
  </si>
  <si>
    <t>Up</t>
  </si>
  <si>
    <t>Cassandra</t>
  </si>
  <si>
    <t>vnodetest</t>
  </si>
  <si>
    <t>1440.00 / 1996.00</t>
  </si>
  <si>
    <t>entries 533, size 405.77 KB, capacity 99 MB, 7238 hits, 8100 requests, 0.894 recent hit rate, 14400 save period in seconds</t>
  </si>
  <si>
    <t>entries 0, size 0 bytes, capacity 0 bytes, 0 hits, 0 requests, NaN recent hit rate, 0 save period in seconds</t>
  </si>
  <si>
    <t>entries 0, size 0 bytes, capacity 49 MB, 0 hits, 0 requests, NaN recent hit rate, 7200 save period in seconds</t>
  </si>
  <si>
    <t>1413.50 / 1996.00</t>
  </si>
  <si>
    <t>entries 552, size 329.38 KB, capacity 99 MB, 12004 hits, 12954 requests, 0.927 recent hit rate, 14400 save period in seconds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</si>
  <si>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</si>
  <si>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</si>
  <si>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</si>
  <si>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</si>
  <si>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</si>
  <si>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</si>
  <si>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</si>
  <si>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</si>
  <si>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</si>
  <si>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</si>
  <si>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</si>
  <si>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</si>
  <si>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</si>
  <si>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</si>
  <si>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</si>
  <si>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</si>
  <si>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</si>
  <si>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</si>
  <si>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</si>
  <si>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</si>
  <si>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</si>
  <si>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</si>
  <si>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</si>
  <si>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</si>
  <si>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</si>
  <si>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</si>
  <si>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</si>
  <si>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</si>
  <si>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</si>
  <si>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</si>
  <si>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</si>
  <si>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</si>
  <si>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</si>
  <si>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</si>
  <si>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</si>
  <si>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</si>
  <si>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</si>
  <si>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</si>
  <si>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</si>
  <si>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</si>
  <si>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</si>
  <si>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</si>
  <si>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</si>
  <si>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</si>
  <si>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</si>
  <si>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</si>
  <si>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</si>
  <si>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</si>
  <si>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</si>
  <si>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m3.large</t>
  </si>
  <si>
    <t>amd64</t>
  </si>
  <si>
    <t>Ubuntu</t>
  </si>
  <si>
    <t>14.04</t>
  </si>
  <si>
    <t>Etc/UTC</t>
  </si>
  <si>
    <t>Oracle Corporation</t>
  </si>
  <si>
    <t>64</t>
  </si>
  <si>
    <t>Java(TM) SE Runtime Environment</t>
  </si>
  <si>
    <t>1.8.0_102-b14</t>
  </si>
  <si>
    <t>GC-G1</t>
  </si>
  <si>
    <t>5.0.1</t>
  </si>
  <si>
    <t>3.0.7.1159</t>
  </si>
  <si>
    <t>6.0.2</t>
  </si>
  <si>
    <t>Yaml Type</t>
  </si>
  <si>
    <t>Property</t>
  </si>
  <si>
    <t>Value</t>
  </si>
  <si>
    <t>&lt;Common&gt;</t>
  </si>
  <si>
    <t>cassandra</t>
  </si>
  <si>
    <t>authenticator</t>
  </si>
  <si>
    <t>DseAuthenticator</t>
  </si>
  <si>
    <t>authorizer</t>
  </si>
  <si>
    <t>AllowAllAuthorizer</t>
  </si>
  <si>
    <t>auto_bootstrap</t>
  </si>
  <si>
    <t>auto_snapshot</t>
  </si>
  <si>
    <t>batch_size_fail_threshold_in_kb</t>
  </si>
  <si>
    <t>batch_size_warn_threshold_in_kb</t>
  </si>
  <si>
    <t>batchlog_replay_throttle_in_kb</t>
  </si>
  <si>
    <t>buffer_pool_use_heap_if_exhausted</t>
  </si>
  <si>
    <t>cas_contention_timeout_in_ms</t>
  </si>
  <si>
    <t>client_encryption_options.enabled</t>
  </si>
  <si>
    <t>cluster_name</t>
  </si>
  <si>
    <t>column_index_size_in_kb</t>
  </si>
  <si>
    <t>commit_failure_policy</t>
  </si>
  <si>
    <t>stop</t>
  </si>
  <si>
    <t>commitlog_directory</t>
  </si>
  <si>
    <t>/var/lib/cassandra/commitlog</t>
  </si>
  <si>
    <t>commitlog_segment_size_in_mb</t>
  </si>
  <si>
    <t>commitlog_sync</t>
  </si>
  <si>
    <t>periodic</t>
  </si>
  <si>
    <t>commitlog_sync_period_in_ms</t>
  </si>
  <si>
    <t>commitlog_total_space_in_mb</t>
  </si>
  <si>
    <t>compaction_large_partition_warning_threshold_mb</t>
  </si>
  <si>
    <t>compaction_throughput_mb_per_sec</t>
  </si>
  <si>
    <t>concurrent_counter_writes</t>
  </si>
  <si>
    <t>concurrent_materialized_view_writes</t>
  </si>
  <si>
    <t>concurrent_reads</t>
  </si>
  <si>
    <t>concurrent_writes</t>
  </si>
  <si>
    <t>counter_cache_save_period</t>
  </si>
  <si>
    <t>counter_write_request_timeout_in_ms</t>
  </si>
  <si>
    <t>cross_node_timeout</t>
  </si>
  <si>
    <t>data_file_directories</t>
  </si>
  <si>
    <t xml:space="preserve"> /var/lib/cassandra/data</t>
  </si>
  <si>
    <t>disk_failure_policy</t>
  </si>
  <si>
    <t>disk_optimization_strategy</t>
  </si>
  <si>
    <t>ssd</t>
  </si>
  <si>
    <t>dynamic_snitch_badness_threshold</t>
  </si>
  <si>
    <t>dynamic_snitch_reset_interval_in_ms</t>
  </si>
  <si>
    <t>dynamic_snitch_update_interval_in_ms</t>
  </si>
  <si>
    <t>enable_scripted_user_defined_functions</t>
  </si>
  <si>
    <t>enable_user_defined_functions</t>
  </si>
  <si>
    <t>endpoint_snitch</t>
  </si>
  <si>
    <t>GossipingPropertyFileSnitch</t>
  </si>
  <si>
    <t>gc_warn_threshold_in_ms</t>
  </si>
  <si>
    <t>hinted_handoff_enabled</t>
  </si>
  <si>
    <t>hinted_handoff_throttle_in_kb</t>
  </si>
  <si>
    <t>hints_directory</t>
  </si>
  <si>
    <t>/var/lib/cassandra/hints</t>
  </si>
  <si>
    <t>hints_flush_period_in_ms</t>
  </si>
  <si>
    <t>incremental_backups</t>
  </si>
  <si>
    <t>index_summary_resize_interval_in_minutes</t>
  </si>
  <si>
    <t>inter_dc_tcp_nodelay</t>
  </si>
  <si>
    <t>internode_authenticator</t>
  </si>
  <si>
    <t>AllowAllInternodeAuthenticator</t>
  </si>
  <si>
    <t>internode_compression</t>
  </si>
  <si>
    <t>dc</t>
  </si>
  <si>
    <t>key_cache_save_period</t>
  </si>
  <si>
    <t>max_hint_window_in_ms</t>
  </si>
  <si>
    <t>max_hints_delivery_threads</t>
  </si>
  <si>
    <t>max_hints_file_size_in_mb</t>
  </si>
  <si>
    <t>max_value_size_in_mb</t>
  </si>
  <si>
    <t>memtable_allocation_type</t>
  </si>
  <si>
    <t>heap_buffers</t>
  </si>
  <si>
    <t>memtable_heap_space_in_mb</t>
  </si>
  <si>
    <t>memtable_offheap_space_in_mb</t>
  </si>
  <si>
    <t>native_transport_max_concurrent_connections</t>
  </si>
  <si>
    <t>native_transport_max_concurrent_connections_per_ip</t>
  </si>
  <si>
    <t>native_transport_max_frame_size_in_mb</t>
  </si>
  <si>
    <t>native_transport_max_threads</t>
  </si>
  <si>
    <t>native_transport_port</t>
  </si>
  <si>
    <t>num_tokens</t>
  </si>
  <si>
    <t>partitioner</t>
  </si>
  <si>
    <t>Murmur3Partitioner</t>
  </si>
  <si>
    <t>permissions_validity_in_ms</t>
  </si>
  <si>
    <t>phi_convict_threshold</t>
  </si>
  <si>
    <t>range_request_timeout_in_ms</t>
  </si>
  <si>
    <t>read_request_timeout_in_ms</t>
  </si>
  <si>
    <t>request_scheduler</t>
  </si>
  <si>
    <t>NoScheduler</t>
  </si>
  <si>
    <t>request_scheduler_options.default_weight</t>
  </si>
  <si>
    <t>request_scheduler_options.throttle_limit</t>
  </si>
  <si>
    <t>request_timeout_in_ms</t>
  </si>
  <si>
    <t>role_manager</t>
  </si>
  <si>
    <t>DseRoleManager</t>
  </si>
  <si>
    <t>roles_update_interval_in_ms</t>
  </si>
  <si>
    <t>roles_validity_in_ms</t>
  </si>
  <si>
    <t>row_cache_class_name</t>
  </si>
  <si>
    <t>OHCProvider</t>
  </si>
  <si>
    <t>row_cache_save_period</t>
  </si>
  <si>
    <t>row_cache_size_in_mb</t>
  </si>
  <si>
    <t>rpc_keepalive</t>
  </si>
  <si>
    <t>rpc_port</t>
  </si>
  <si>
    <t>rpc_server_type</t>
  </si>
  <si>
    <t>sync</t>
  </si>
  <si>
    <t>saved_caches_directory</t>
  </si>
  <si>
    <t>/var/lib/cassandra/saved_caches</t>
  </si>
  <si>
    <t>seed_provider.class_name</t>
  </si>
  <si>
    <t>SimpleSeedProvider</t>
  </si>
  <si>
    <t>seed_provider.parameters.seeds</t>
  </si>
  <si>
    <t>10.200.178.74,10.200.178.76,10.200.178.77</t>
  </si>
  <si>
    <t>server_encryption_options.internode_encryption</t>
  </si>
  <si>
    <t>none</t>
  </si>
  <si>
    <t>snapshot_before_compaction</t>
  </si>
  <si>
    <t>ssl_storage_port</t>
  </si>
  <si>
    <t>sstable_preemptive_open_interval_in_mb</t>
  </si>
  <si>
    <t>start_native_transport</t>
  </si>
  <si>
    <t>start_rpc</t>
  </si>
  <si>
    <t>storage_port</t>
  </si>
  <si>
    <t>stream_throughput_outbound_megabits_per_sec</t>
  </si>
  <si>
    <t>streaming_socket_timeout_in_ms</t>
  </si>
  <si>
    <t>thrift_framed_transport_size_in_mb</t>
  </si>
  <si>
    <t>tombstone_failure_threshold</t>
  </si>
  <si>
    <t>tombstone_warn_threshold</t>
  </si>
  <si>
    <t>tracetype_query_ttl</t>
  </si>
  <si>
    <t>tracetype_repair_ttl</t>
  </si>
  <si>
    <t>trickle_fsync</t>
  </si>
  <si>
    <t>trickle_fsync_interval_in_kb</t>
  </si>
  <si>
    <t>truncate_request_timeout_in_ms</t>
  </si>
  <si>
    <t>unlogged_batch_across_partitions_warn_threshold</t>
  </si>
  <si>
    <t>write_request_timeout_in_ms</t>
  </si>
  <si>
    <t>dse yaml</t>
  </si>
  <si>
    <t>advanced_replication_options.enabled</t>
  </si>
  <si>
    <t>analytic_evaluation_timeout</t>
  </si>
  <si>
    <t>PT168H</t>
  </si>
  <si>
    <t>audit_logging_options.cassandra_audit_writer_options.day_partition_millis</t>
  </si>
  <si>
    <t>audit_logging_options.cassandra_audit_writer_options.dropped_event_log</t>
  </si>
  <si>
    <t>/var/log/cassandra/dropped_audit_events.log</t>
  </si>
  <si>
    <t>audit_logging_options.cassandra_audit_writer_options.mode</t>
  </si>
  <si>
    <t>audit_logging_options.cassandra_audit_writer_options.write_consistency</t>
  </si>
  <si>
    <t>QUORUM</t>
  </si>
  <si>
    <t>audit_logging_options.enabled</t>
  </si>
  <si>
    <t>authentication_options.default_scheme</t>
  </si>
  <si>
    <t>internal</t>
  </si>
  <si>
    <t>authentication_options.enabled</t>
  </si>
  <si>
    <t>authentication_options.other_schemes</t>
  </si>
  <si>
    <t>[],scheme_permissions:,true,allow_digest_with_kerberos:,true,plain_text_without_ssl:,warn,transitional_mode:,disabled</t>
  </si>
  <si>
    <t>authorization_options.enabled</t>
  </si>
  <si>
    <t>back_pressure_threshold_per_core</t>
  </si>
  <si>
    <t>block_renew</t>
  </si>
  <si>
    <t>CASSANDRA_CONF</t>
  </si>
  <si>
    <t>/etc/dse/cassandra</t>
  </si>
  <si>
    <t>CASSANDRA_GROUP</t>
  </si>
  <si>
    <t>CASSANDRA_USER</t>
  </si>
  <si>
    <t>CFS_ENABLED</t>
  </si>
  <si>
    <t>cluster_summary_stats_options.enabled</t>
  </si>
  <si>
    <t>community_reuse</t>
  </si>
  <si>
    <t>config_encryption_active</t>
  </si>
  <si>
    <t>cql_slow_log_options.enabled</t>
  </si>
  <si>
    <t>cql_slow_log_options.minimum_samples</t>
  </si>
  <si>
    <t>100,ttl_seconds:,259200</t>
  </si>
  <si>
    <t>cql_slow_log_options.threshold</t>
  </si>
  <si>
    <t>cql_solr_query_paging</t>
  </si>
  <si>
    <t>off</t>
  </si>
  <si>
    <t>cql_solr_query_row_timeout</t>
  </si>
  <si>
    <t>cql_system_info_options.enabled</t>
  </si>
  <si>
    <t>db_summary_stats_options.enabled</t>
  </si>
  <si>
    <t>dsefs_options.enabled</t>
  </si>
  <si>
    <t>dsefs_options.gossip_options.round_delay_ms</t>
  </si>
  <si>
    <t>5000,startup_delay_ms:,5000,shutdown_delay_ms:,30000,transaction_options:,transaction_timeout_ms:,3000,conflict_retry_delay_ms:,200,execution_retry_delay_ms:,1000,execution_retry_count:,3,rest_options:,request_timeout_ms:,330000,connection_open_timeout_ms:,55000,client_close_timeout_ms:,60000,server_request_timeout_ms:,300000</t>
  </si>
  <si>
    <t>enable_health_based_routing</t>
  </si>
  <si>
    <t>enable_index_disk_failure_policy</t>
  </si>
  <si>
    <t>enabled</t>
  </si>
  <si>
    <t>export DSE_HOME</t>
  </si>
  <si>
    <t>/usr/share/dse</t>
  </si>
  <si>
    <t>flush_max_time_per_core</t>
  </si>
  <si>
    <t>graph</t>
  </si>
  <si>
    <t>GRAPH_ENABLED</t>
  </si>
  <si>
    <t>graph_events</t>
  </si>
  <si>
    <t>graph_msg_timeout.5</t>
  </si>
  <si>
    <t>sec</t>
  </si>
  <si>
    <t>gremlin_server</t>
  </si>
  <si>
    <t>HADOOP_ENABLED</t>
  </si>
  <si>
    <t>hadoop_options.task_tracker_cores</t>
  </si>
  <si>
    <t>2,task_tracker_memory:,4g</t>
  </si>
  <si>
    <t>histogram_data_options.enabled</t>
  </si>
  <si>
    <t>hive_meta_store_enabled</t>
  </si>
  <si>
    <t>hive_options.insert_max_retries</t>
  </si>
  <si>
    <t>6,insert_retry_sleep_period:,50</t>
  </si>
  <si>
    <t>id_hash_modulus</t>
  </si>
  <si>
    <t>ids</t>
  </si>
  <si>
    <t>initial_spark_worker_resources</t>
  </si>
  <si>
    <t>internode_messaging_options.port</t>
  </si>
  <si>
    <t>internode_messaging_options.server_acceptor_threads</t>
  </si>
  <si>
    <t>8,server_worker_threads:,16,client_max_connections:,100,client_worker_threads:,16,handshake_timeout_seconds:,10</t>
  </si>
  <si>
    <t>kerberos_options.http_principal</t>
  </si>
  <si>
    <t>HTTP/_HOST@REALM</t>
  </si>
  <si>
    <t>kerberos_options.keytab</t>
  </si>
  <si>
    <t>/etc/dse/conf/dse.keytab</t>
  </si>
  <si>
    <t>kerberos_options.qop</t>
  </si>
  <si>
    <t>auth</t>
  </si>
  <si>
    <t>kerberos_options.service_principal</t>
  </si>
  <si>
    <t>dse/_HOST@REALM</t>
  </si>
  <si>
    <t>ldap_options.credentials_validity_in_ms</t>
  </si>
  <si>
    <t>0,truststore_path:,'',search_validity_in_seconds:,0,user_search_base:,'',user_search_filter:,(uid,{0}),server_host:,'',truststore_password:,'',group_name_attribute:,cn,server_port:,389,use_ssl:,false,truststore_type:,jks,connection_pool:,max_active:,8,max_idle:,8,search_dn:,'',group_search_filter:,(uniquemember,{0}),use_tls:,false</t>
  </si>
  <si>
    <t>ldap_options.group_search_type</t>
  </si>
  <si>
    <t>directory_search</t>
  </si>
  <si>
    <t>ldap_options.search_password</t>
  </si>
  <si>
    <t>**</t>
  </si>
  <si>
    <t>ldap_options.user_memberof_attribute</t>
  </si>
  <si>
    <t>memberof</t>
  </si>
  <si>
    <t>lease_metrics_options.enabled</t>
  </si>
  <si>
    <t>load_max_time_per_core</t>
  </si>
  <si>
    <t>max_memory_to_lock_fraction</t>
  </si>
  <si>
    <t>max_memory_to_lock_mb</t>
  </si>
  <si>
    <t>max_query_queue</t>
  </si>
  <si>
    <t>max_solr_concurrency_per_core</t>
  </si>
  <si>
    <t>maxChunkSize</t>
  </si>
  <si>
    <t>maxContentLength</t>
  </si>
  <si>
    <t>member_block_size</t>
  </si>
  <si>
    <t>msg</t>
  </si>
  <si>
    <t>node_health_options.refresh_rate_ms</t>
  </si>
  <si>
    <t>60000,uptime_ramp_up_period_seconds:,86400,dropped_mutation_window_minutes:,30</t>
  </si>
  <si>
    <t>OUTPUT_FILE</t>
  </si>
  <si>
    <t>/var/log/cassandra/output.log</t>
  </si>
  <si>
    <t>performance_max_threads</t>
  </si>
  <si>
    <t>PIDFILE</t>
  </si>
  <si>
    <t>/var/run/$NODEID/$NODEID.pid</t>
  </si>
  <si>
    <t>port</t>
  </si>
  <si>
    <t>realtime_evaluation_timeout.30</t>
  </si>
  <si>
    <t>refresh_interval</t>
  </si>
  <si>
    <t>PT1M</t>
  </si>
  <si>
    <t>resource_level_latency_tracking_options.enabled</t>
  </si>
  <si>
    <t>schema_agreement_timeout.10</t>
  </si>
  <si>
    <t>schema_mode</t>
  </si>
  <si>
    <t>Production</t>
  </si>
  <si>
    <t>shard_transport_options.netty_client_max_connections</t>
  </si>
  <si>
    <t>100,http_shard_client_conn_timeout:,0,type:,netty,http_shard_client_socket_timeout:,0,netty_server_port:,8984</t>
  </si>
  <si>
    <t>shard_transport_options.netty_client_request_timeout</t>
  </si>
  <si>
    <t>shared_data</t>
  </si>
  <si>
    <t>solr_cache_stats_options.enabled</t>
  </si>
  <si>
    <t>SOLR_ENABLED</t>
  </si>
  <si>
    <t>solr_encryption_options.decryption_cache_offheap_allocation</t>
  </si>
  <si>
    <t>solr_encryption_options.decryption_cache_size_in_mb</t>
  </si>
  <si>
    <t>solr_field_cache_enabled</t>
  </si>
  <si>
    <t>solr_index_stats_options.enabled</t>
  </si>
  <si>
    <t>solr_indexing_error_log_options.enabled</t>
  </si>
  <si>
    <t>solr_latency_snapshot_options.enabled</t>
  </si>
  <si>
    <t>solr_request_handler_metrics_options.enabled</t>
  </si>
  <si>
    <t>solr_slow_sub_query_log_options.enabled</t>
  </si>
  <si>
    <t>solr_update_handler_metrics_options.enabled</t>
  </si>
  <si>
    <t>spark_application_info_options.driver.connectorSource</t>
  </si>
  <si>
    <t>spark_application_info_options.driver.executor.connectorSource</t>
  </si>
  <si>
    <t>spark_application_info_options.driver.executor.jvmSource</t>
  </si>
  <si>
    <t>spark_application_info_options.driver.executor.sink</t>
  </si>
  <si>
    <t>spark_application_info_options.driver.jvmSource</t>
  </si>
  <si>
    <t>spark_application_info_options.driver.sink</t>
  </si>
  <si>
    <t>spark_application_info_options.driver.stateSource</t>
  </si>
  <si>
    <t>spark_application_info_options.enabled</t>
  </si>
  <si>
    <t>spark_cluster_info_options.enabled</t>
  </si>
  <si>
    <t>SPARK_CONF_DIR</t>
  </si>
  <si>
    <t>/etc/dse/spark</t>
  </si>
  <si>
    <t>spark_daemon_readiness_assertion_interval</t>
  </si>
  <si>
    <t>SPARK_ENABLED</t>
  </si>
  <si>
    <t>spark_encryption_options.cipher_suites</t>
  </si>
  <si>
    <t>TLS_RSA_WITH_AES_128_CBC_SHA,TLS_RSA_WITH_AES_256_CBC_SHA</t>
  </si>
  <si>
    <t>spark_encryption_options.enabled</t>
  </si>
  <si>
    <t>spark_encryption_options.key_password</t>
  </si>
  <si>
    <t>*********</t>
  </si>
  <si>
    <t>spark_encryption_options.keystore</t>
  </si>
  <si>
    <t>keystore</t>
  </si>
  <si>
    <t>spark_encryption_options.keystore_password</t>
  </si>
  <si>
    <t>spark_encryption_options.protocol</t>
  </si>
  <si>
    <t>TLS</t>
  </si>
  <si>
    <t>spark_encryption_options.truststore</t>
  </si>
  <si>
    <t>truststore</t>
  </si>
  <si>
    <t>spark_encryption_options.truststore_password</t>
  </si>
  <si>
    <t>spark_security_enabled</t>
  </si>
  <si>
    <t>spark_shared_secret_bit_length</t>
  </si>
  <si>
    <t>system_evaluation_timeout</t>
  </si>
  <si>
    <t>PT3M</t>
  </si>
  <si>
    <t>system_info_encryption</t>
  </si>
  <si>
    <t>system_key_directory</t>
  </si>
  <si>
    <t>/etc/dse/conf</t>
  </si>
  <si>
    <t>ttl_index_rebuild_options.fixed_rate_period</t>
  </si>
  <si>
    <t>ttl_index_rebuild_options.initial_delay</t>
  </si>
  <si>
    <t>ttl_index_rebuild_options.max_docs_per_batch</t>
  </si>
  <si>
    <t>ttl_index_rebuild_options.thread_pool_size</t>
  </si>
  <si>
    <t>ttl_seconds</t>
  </si>
  <si>
    <t>user_level_latency_tracking_options.enabled</t>
  </si>
  <si>
    <t>window_size</t>
  </si>
  <si>
    <t>broadcast_address</t>
  </si>
  <si>
    <t>broadcast_rpc_address</t>
  </si>
  <si>
    <t>listen_address</t>
  </si>
  <si>
    <t>rpc_address</t>
  </si>
  <si>
    <t>KeySpace</t>
  </si>
  <si>
    <t>Table</t>
  </si>
  <si>
    <t>Compaction Timestamp (UTC)</t>
  </si>
  <si>
    <t>SSTable Size Before</t>
  </si>
  <si>
    <t>Before Size (MB)</t>
  </si>
  <si>
    <t>SSTable Size After</t>
  </si>
  <si>
    <t>After Size (MB)</t>
  </si>
  <si>
    <t>Compaction Strategy</t>
  </si>
  <si>
    <t>Partitions Merged (tables:rows)</t>
  </si>
  <si>
    <t>backuptests</t>
  </si>
  <si>
    <t>table2</t>
  </si>
  <si>
    <t>SizeTieredCompactionStrategy</t>
  </si>
  <si>
    <t>{1:5}</t>
  </si>
  <si>
    <t>Log Stats (Large Partition/Rows Warnings)</t>
  </si>
  <si>
    <t>NodeTool CFStat</t>
  </si>
  <si>
    <t>Source</t>
  </si>
  <si>
    <t>(Multiple Items)</t>
  </si>
  <si>
    <t>(All)</t>
  </si>
  <si>
    <t>Active</t>
  </si>
  <si>
    <t>Attribute</t>
  </si>
  <si>
    <t>Partition large maximum</t>
  </si>
  <si>
    <t>Partition large occurrences</t>
  </si>
  <si>
    <t>Partition large mean</t>
  </si>
  <si>
    <t>Compacted partition maximum bytes</t>
  </si>
  <si>
    <t>Compacted partition mean bytes</t>
  </si>
  <si>
    <t>Number of keys (estimate)</t>
  </si>
  <si>
    <t>Keyspace</t>
  </si>
  <si>
    <t>Max Size in MB</t>
  </si>
  <si>
    <t>Nbr Warnings</t>
  </si>
  <si>
    <t>Average Size in MB</t>
  </si>
  <si>
    <t>Max of Size in MB</t>
  </si>
  <si>
    <t>Max StdDev Across Nodes</t>
  </si>
  <si>
    <t>Average of Size in MB</t>
  </si>
  <si>
    <t>Avg StdDev Across Nodes</t>
  </si>
  <si>
    <t>Total Nbr Keys</t>
  </si>
  <si>
    <t>Average Nbr Keys Across Nodes</t>
  </si>
  <si>
    <t>StdDev Across Nodes</t>
  </si>
  <si>
    <t>TestTbl</t>
  </si>
  <si>
    <t>Grand Total</t>
  </si>
  <si>
    <t>Log Stats (Large Partition/Rows Warnings) or TableHistogram</t>
  </si>
  <si>
    <t>0.0.0.0</t>
  </si>
  <si>
    <t>Log Stats (GC)</t>
  </si>
  <si>
    <t>GC Back-to-Back (Continuous)</t>
  </si>
  <si>
    <t>GCs within a TimeFrame that exceed a Percentage</t>
  </si>
  <si>
    <t>GC maximum latency2</t>
  </si>
  <si>
    <t>GC occurrences</t>
  </si>
  <si>
    <t>GC mean latency2</t>
  </si>
  <si>
    <t>GC Type</t>
  </si>
  <si>
    <t>Node</t>
  </si>
  <si>
    <t>Max GC latency (ms) over all Occurences</t>
  </si>
  <si>
    <t>Sum of Occurrences</t>
  </si>
  <si>
    <t>Average Latency (ms)</t>
  </si>
  <si>
    <t>GC Continuous Nbr Instances</t>
  </si>
  <si>
    <t>Total Individual GCs</t>
  </si>
  <si>
    <t>Max Instance latency (ms)</t>
  </si>
  <si>
    <t>Min</t>
  </si>
  <si>
    <t>StdDev</t>
  </si>
  <si>
    <t>GC TimeFrame Instances</t>
  </si>
  <si>
    <t>GC Average Percent</t>
  </si>
  <si>
    <t>Log Stats</t>
  </si>
  <si>
    <t>Pause occurrences</t>
  </si>
  <si>
    <t>OutOfMemoryError occurrences</t>
  </si>
  <si>
    <t>Allocation Failed Maximum Memory Reached occurrences</t>
  </si>
  <si>
    <t>CommitLogFlushFailure occurrences</t>
  </si>
  <si>
    <t>Total Occurrences of Pauses</t>
  </si>
  <si>
    <t>Total Occurrences OOM</t>
  </si>
  <si>
    <t>Total Occurrences of Allocation Failures</t>
  </si>
  <si>
    <t>Total Occurrences Commit Log Failures</t>
  </si>
  <si>
    <t>Compaction occurrences</t>
  </si>
  <si>
    <t>Compaction maximum rate</t>
  </si>
  <si>
    <t>Compaction minimum rate</t>
  </si>
  <si>
    <t>Compaction mean rate</t>
  </si>
  <si>
    <t>Compaction maximum latency2</t>
  </si>
  <si>
    <t>Compaction mean latency2</t>
  </si>
  <si>
    <t>Occurrences</t>
  </si>
  <si>
    <t>Max Compaction Rate (mb/sec) per Occurrence</t>
  </si>
  <si>
    <t>Min Compaction Rate (mb/sec) per Occurrence</t>
  </si>
  <si>
    <t>AverageRate (mb/sec)</t>
  </si>
  <si>
    <t>Max latency (ms)</t>
  </si>
  <si>
    <t>Row Labels</t>
  </si>
  <si>
    <t>Max StdDev Acroaa Nodes</t>
  </si>
  <si>
    <t>NodeTool TPStat</t>
  </si>
  <si>
    <t>Logs Stats</t>
  </si>
  <si>
    <t>READ_REPAIR</t>
  </si>
  <si>
    <t>READ</t>
  </si>
  <si>
    <t>RANGE_SLICE</t>
  </si>
  <si>
    <t>PAGED_RANGE</t>
  </si>
  <si>
    <t>REQUEST_RESPONSE</t>
  </si>
  <si>
    <t>Dropped Hints Total</t>
  </si>
  <si>
    <t>Dropped Hints occurrences</t>
  </si>
  <si>
    <t>Dropped Mutation Total</t>
  </si>
  <si>
    <t>Dropped Mutation occurrences</t>
  </si>
  <si>
    <t>Droppable Mutations</t>
  </si>
  <si>
    <t>Droppable Read-Repairs</t>
  </si>
  <si>
    <t>Dropped Reads</t>
  </si>
  <si>
    <t>Timeouts Range Request</t>
  </si>
  <si>
    <t>Timeouts Page Request</t>
  </si>
  <si>
    <t>Timeouts Request</t>
  </si>
  <si>
    <t>Total Nbr Dropped Hints</t>
  </si>
  <si>
    <t>Dropped Hints Occurencces</t>
  </si>
  <si>
    <t>Log Stats (digest query/read repair)</t>
  </si>
  <si>
    <t>Log Stats (nodrtool repair)</t>
  </si>
  <si>
    <t>Max Active in TP</t>
  </si>
  <si>
    <t>Max Active StdDev</t>
  </si>
  <si>
    <t>Max Pending in TP</t>
  </si>
  <si>
    <t>Max Pending StdDev</t>
  </si>
  <si>
    <t>Completed in TP</t>
  </si>
  <si>
    <t>Blocked in TP</t>
  </si>
  <si>
    <t>All time blocked in TP</t>
  </si>
  <si>
    <t>Log Stats (Sloq Query Warnings)</t>
  </si>
  <si>
    <t>Log Stats (Tombstone Aborted Queries)</t>
  </si>
  <si>
    <t>Slow Query occurrences</t>
  </si>
  <si>
    <t>Slow Query maximum latency</t>
  </si>
  <si>
    <t>Slow Query mean latency</t>
  </si>
  <si>
    <t>Tombstones query aborted Total</t>
  </si>
  <si>
    <t>Tombstones query aborted mean</t>
  </si>
  <si>
    <t>Total Slow Query Occurrences</t>
  </si>
  <si>
    <t>Max Query latency (ms)</t>
  </si>
  <si>
    <t>Avg Query Latency (ms)</t>
  </si>
  <si>
    <t>Total Aborted Queries</t>
  </si>
  <si>
    <t>Average Across Nodes</t>
  </si>
  <si>
    <t xml:space="preserve">Avgerage  StdDev Across Nodes</t>
  </si>
  <si>
    <t>Log Stats (Tombstone Warnings)</t>
  </si>
  <si>
    <t>Tombstones warning maximum</t>
  </si>
  <si>
    <t>Tombstones warning mean</t>
  </si>
  <si>
    <t>Tombstones warning occurrences</t>
  </si>
  <si>
    <t>Maximum tombstones per slice (last five minutes)</t>
  </si>
  <si>
    <t>Max TombStones Per Occurrence</t>
  </si>
  <si>
    <t>Average Nbr TombStones Per Occurrence</t>
  </si>
  <si>
    <t>Nbr Occurrence Warnings</t>
  </si>
  <si>
    <t>Max Nbr of TombStones per Slice at Snapshot (5 Mins)</t>
  </si>
  <si>
    <t>Name</t>
  </si>
  <si>
    <t>Replication Strategy</t>
  </si>
  <si>
    <t>Replication Factor</t>
  </si>
  <si>
    <t>DDL</t>
  </si>
  <si>
    <t>SimpleStrategy</t>
  </si>
  <si>
    <t>replication_factor</t>
  </si>
  <si>
    <t xml:space="preserve">CREATE KEYSPACE backuptests WITH replication = {'class': 'SimpleStrategy', 'replication_factor': '1'}  AND durable_writes = true;</t>
  </si>
  <si>
    <t>Read-Repair</t>
  </si>
  <si>
    <t>Column Counts</t>
  </si>
  <si>
    <t>Keyspace Name</t>
  </si>
  <si>
    <t>Partition Key</t>
  </si>
  <si>
    <t>Cluster Key</t>
  </si>
  <si>
    <t>Compression</t>
  </si>
  <si>
    <t>Index</t>
  </si>
  <si>
    <t>Chance</t>
  </si>
  <si>
    <t>DC Chance</t>
  </si>
  <si>
    <t>Policy</t>
  </si>
  <si>
    <t>GC Grace Period</t>
  </si>
  <si>
    <t>Collections</t>
  </si>
  <si>
    <t>Counters</t>
  </si>
  <si>
    <t>Blobs</t>
  </si>
  <si>
    <t>Static</t>
  </si>
  <si>
    <t>Frozen</t>
  </si>
  <si>
    <t>Total</t>
  </si>
  <si>
    <t>Associated Table</t>
  </si>
  <si>
    <t>table1</t>
  </si>
  <si>
    <t>a int</t>
  </si>
  <si>
    <t>LZ4Compressor</t>
  </si>
  <si>
    <t>99PERCENTILE</t>
  </si>
  <si>
    <t>CREATE TABLE backuptests.table1 ( a int PRIMARY KEY, b int ) WITH bloom_filter_fp_chance = 0.01 AND caching = {'keys': 'ALL', 'rows_per_partition': 'NONE'} AND comment = '' AND compaction = {'class': 'org.apache.cassandra.db.compaction.SizeTieredCompactionStrategy', 'max_threshold': '32', 'min_threshold': '4'} AND compression = {'chunk_length_in_kb': '64', 'class': 'org.apache.cassandra.io.compress.LZ4Compressor'} AND crc_check_chance = 1.0 AND dclocal_read_repair_chance = 0.1 AND default_time_to_live = 0 AND gc_grace_seconds = 864000 AND max_index_interval = 2048 AND memtable_flush_period_in_ms = 0 AND min_index_interval = 128 AND read_repair_chance = 0.0 AND speculative_retry = '99PERCENTILE';</t>
  </si>
  <si>
    <t>c int</t>
  </si>
  <si>
    <t>CREATE TABLE backuptests.table2 ( c int PRIMARY KEY, d int ) WITH bloom_filter_fp_chance = 0.01 AND caching = {'keys': 'ALL', 'rows_per_partition': 'NONE'} AND comment = '' AND compaction = {'class': 'org.apache.cassandra.db.compaction.SizeTieredCompactionStrategy', 'max_threshold': '32', 'min_threshold': '4'} AND compression = {'chunk_length_in_kb': '64', 'class': 'org.apache.cassandra.io.compress.LZ4Compressor'} AND crc_check_chance = 1.0 AND dclocal_read_repair_chance = 0.1 AND default_time_to_live = 0 AND gc_grace_seconds = 864000 AND max_index_interval = 2048 AND memtable_flush_period_in_ms = 0 AND min_index_interval = 128 AND read_repair_chance = 0.0 AND speculative_retry = '99PERCENTILE';</t>
  </si>
  <si>
    <t>Local read latency</t>
  </si>
  <si>
    <t>Local read count</t>
  </si>
  <si>
    <t>SSTable read maximum</t>
  </si>
  <si>
    <t>Read latency maximum</t>
  </si>
  <si>
    <t>Max Latency (ms)</t>
  </si>
  <si>
    <t>Total Cells Read</t>
  </si>
  <si>
    <t>Average Count Across Nodes</t>
  </si>
  <si>
    <t>Max Cells Read One Node</t>
  </si>
  <si>
    <t>Max Nbr SSTables Read</t>
  </si>
  <si>
    <t>Log Stats (ReadStage Thread Pool)</t>
  </si>
  <si>
    <t>Cells Read</t>
  </si>
  <si>
    <t>Max StdDev</t>
  </si>
  <si>
    <t>Nbr Completed in TP</t>
  </si>
  <si>
    <t>Nbr Blocked in TP</t>
  </si>
  <si>
    <t>Nbr All time blocked in TP</t>
  </si>
  <si>
    <t>Local write latency</t>
  </si>
  <si>
    <t>Local write count</t>
  </si>
  <si>
    <t>Write latency maximum</t>
  </si>
  <si>
    <t>Total Cells Written</t>
  </si>
  <si>
    <t>Average Written Across Nodes</t>
  </si>
  <si>
    <t>Max Cells Written One Node</t>
  </si>
  <si>
    <t>Log Stats (Mutation Stage Thread Pool)</t>
  </si>
  <si>
    <t>Cells Written</t>
  </si>
  <si>
    <t xml:space="preserve">Max  StdDev Across Nodes</t>
  </si>
  <si>
    <t>Space used (total)</t>
  </si>
  <si>
    <t>Sum of Size in MB(Formatted)</t>
  </si>
  <si>
    <t>Average of Size in MB(Formatted)</t>
  </si>
  <si>
    <t>Size in GB</t>
  </si>
  <si>
    <t>Size in TB</t>
  </si>
  <si>
    <t>Log Stats (Batch Warnings)</t>
  </si>
  <si>
    <t>Log Stats (UnLogged Batch Warnings)</t>
  </si>
  <si>
    <t>Batch size occurrences</t>
  </si>
  <si>
    <t>Batch size maximum</t>
  </si>
  <si>
    <t>Batch size mean</t>
  </si>
  <si>
    <t>Unlogged Batch Partitions Count occurrences</t>
  </si>
  <si>
    <t>Unlogged Batch Partitions Count Total</t>
  </si>
  <si>
    <t>Unlogged Batch Partitions Count mean</t>
  </si>
  <si>
    <t>Max Nbr Batches per Occurrence</t>
  </si>
  <si>
    <t>Average Nbr of Batches across Occurrences</t>
  </si>
  <si>
    <t>Unlogged Batch Warning</t>
  </si>
  <si>
    <t>Unlogged Batches Total Partitions</t>
  </si>
  <si>
    <t>Unlogged Batches Average Partitions across Nodes</t>
  </si>
  <si>
    <t>TableHistogram by Table</t>
  </si>
  <si>
    <t>TableHistogram by Node</t>
  </si>
  <si>
    <t>Read Latency</t>
  </si>
  <si>
    <t>50% Max Read Latency (ms)</t>
  </si>
  <si>
    <t>50% Avg</t>
  </si>
  <si>
    <t>50% StdDev</t>
  </si>
  <si>
    <t>75% Max</t>
  </si>
  <si>
    <t>75% Avg</t>
  </si>
  <si>
    <t>75% StdDev</t>
  </si>
  <si>
    <t>95% Max</t>
  </si>
  <si>
    <t>95% Avg</t>
  </si>
  <si>
    <t>95% StdDev</t>
  </si>
  <si>
    <t>98% Max</t>
  </si>
  <si>
    <t>98% Avg</t>
  </si>
  <si>
    <t>98% StdDev</t>
  </si>
  <si>
    <t>99% Max</t>
  </si>
  <si>
    <t>99% Avg</t>
  </si>
  <si>
    <t>99% StdDev</t>
  </si>
  <si>
    <t>Max Across Nodes</t>
  </si>
  <si>
    <t>Max Avg</t>
  </si>
  <si>
    <t>50%</t>
  </si>
  <si>
    <t>75%</t>
  </si>
  <si>
    <t>95%</t>
  </si>
  <si>
    <t>98%</t>
  </si>
  <si>
    <t>99%</t>
  </si>
  <si>
    <t>Max</t>
  </si>
  <si>
    <t>SSTables</t>
  </si>
  <si>
    <t>Write Latency</t>
  </si>
  <si>
    <t>Partition Size</t>
  </si>
  <si>
    <t>Cell Count</t>
  </si>
  <si>
    <t>Pending</t>
  </si>
  <si>
    <t>Completed</t>
  </si>
  <si>
    <t>Blocked</t>
  </si>
  <si>
    <t>All time blocked</t>
  </si>
  <si>
    <t>Dropped</t>
  </si>
  <si>
    <t>Latency (ms)</t>
  </si>
  <si>
    <t>Size (mb)</t>
  </si>
  <si>
    <t>Reconciliation Reference</t>
  </si>
  <si>
    <t>Cassandra Log</t>
  </si>
  <si>
    <t>GC minimum latency</t>
  </si>
  <si>
    <t>GC maximum latency</t>
  </si>
  <si>
    <t>GC mean latency</t>
  </si>
  <si>
    <t>TPStats</t>
  </si>
  <si>
    <t>MutationStage</t>
  </si>
  <si>
    <t>ViewMutationStage</t>
  </si>
  <si>
    <t>ReadStage</t>
  </si>
  <si>
    <t>RequestResponseStage</t>
  </si>
  <si>
    <t>ReadRepairStage</t>
  </si>
  <si>
    <t>CounterMutationStage</t>
  </si>
  <si>
    <t>MiscStage</t>
  </si>
  <si>
    <t>CompactionExecutor</t>
  </si>
  <si>
    <t>MemtableReclaimMemory</t>
  </si>
  <si>
    <t>PendingRangeCalculator</t>
  </si>
  <si>
    <t>GossipStage</t>
  </si>
  <si>
    <t>SecondaryIndexManagement</t>
  </si>
  <si>
    <t>HintsDispatcher</t>
  </si>
  <si>
    <t>MigrationStage</t>
  </si>
  <si>
    <t>MemtablePostFlush</t>
  </si>
  <si>
    <t>ValidationExecutor</t>
  </si>
  <si>
    <t>Sampler</t>
  </si>
  <si>
    <t>MemtableFlushWriter</t>
  </si>
  <si>
    <t>InternalResponseStage</t>
  </si>
  <si>
    <t>AntiEntropyStage</t>
  </si>
  <si>
    <t>CacheCleanupExecutor</t>
  </si>
  <si>
    <t>Native-Transport-Requests</t>
  </si>
  <si>
    <t>_TRACE</t>
  </si>
  <si>
    <t>HINT</t>
  </si>
  <si>
    <t>MUTATION</t>
  </si>
  <si>
    <t>COUNTER_MUTATION</t>
  </si>
  <si>
    <t>BATCH_STORE</t>
  </si>
  <si>
    <t>BATCH_REMOVE</t>
  </si>
  <si>
    <t>AntiEntropySessions</t>
  </si>
  <si>
    <t>AntiEntropyStage Total</t>
  </si>
  <si>
    <t>AntiEntropyStage maximum</t>
  </si>
  <si>
    <t>AntiEntropyStage mean</t>
  </si>
  <si>
    <t>AntiEntropyStage minimum</t>
  </si>
  <si>
    <t>AntiEntropyStage occurrences</t>
  </si>
  <si>
    <t>BINARY</t>
  </si>
  <si>
    <t>CommitLogArchiver</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</si>
  <si>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</si>
  <si>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</si>
  <si>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</si>
  <si>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</si>
  <si>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</si>
  <si>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</si>
  <si>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</si>
  <si>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</si>
  <si>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</si>
  <si>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</si>
  <si>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GossipStage Total</t>
  </si>
  <si>
    <t>GossipStage maximum</t>
  </si>
  <si>
    <t>GossipStage mean</t>
  </si>
  <si>
    <t>GossipStage minimum</t>
  </si>
  <si>
    <t>GossipStage occurrences</t>
  </si>
  <si>
    <t>HintedHandoff</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</si>
  <si>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</si>
  <si>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</si>
  <si>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</si>
  <si>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</si>
  <si>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</si>
  <si>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</si>
  <si>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</si>
  <si>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</si>
  <si>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</si>
  <si>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</si>
  <si>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</si>
  <si>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</si>
  <si>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</si>
  <si>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</si>
  <si>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</si>
  <si>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</si>
  <si>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</si>
  <si>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</si>
  <si>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</si>
  <si>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</si>
  <si>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</si>
  <si>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</si>
  <si>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</si>
  <si>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</si>
  <si>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</si>
  <si>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</si>
  <si>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</si>
  <si>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</si>
  <si>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</si>
  <si>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</si>
  <si>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</si>
  <si>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</si>
  <si>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</si>
  <si>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</si>
  <si>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</si>
  <si>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</si>
  <si>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</si>
  <si>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</si>
  <si>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</si>
  <si>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</si>
  <si>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</si>
  <si>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</si>
  <si>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</si>
  <si>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</si>
  <si>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</si>
  <si>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</si>
  <si>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</si>
  <si>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</si>
  <si>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</si>
  <si>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</si>
  <si>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</si>
  <si>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</si>
  <si>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</si>
  <si>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</si>
  <si>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</si>
  <si>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</si>
  <si>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</si>
  <si>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</si>
  <si>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minimum latency</t>
  </si>
  <si>
    <t>Dropped Hints maximum</t>
  </si>
  <si>
    <t>Dropped Hints mean</t>
  </si>
  <si>
    <t>Dropped Hints minimum</t>
  </si>
  <si>
    <t>Allocation Failed Maximum Memory Reached Total</t>
  </si>
  <si>
    <t>Allocation Failed Maximum Memory Reached maximum</t>
  </si>
  <si>
    <t>Allocation Failed Maximum Memory Reached minimum</t>
  </si>
  <si>
    <t>Allocation Failed Maximum Memory Reached mean</t>
  </si>
  <si>
    <t>Dropped Mutation maximum</t>
  </si>
  <si>
    <t>Dropped Mutation mean</t>
  </si>
  <si>
    <t>Dropped Mutation minimum</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</si>
  <si>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</si>
  <si>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</si>
  <si>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</si>
  <si>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</si>
  <si>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</si>
  <si>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</si>
  <si>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</si>
  <si>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</si>
  <si>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</si>
  <si>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</si>
  <si>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</si>
  <si>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</si>
  <si>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</si>
  <si>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Unit of Measure</t>
  </si>
  <si>
    <t>Size in MB(Formatted)</t>
  </si>
  <si>
    <t>(Value)</t>
  </si>
  <si>
    <t>CFStats</t>
  </si>
  <si>
    <t>Read Count</t>
  </si>
  <si>
    <t>NaN ms.</t>
  </si>
  <si>
    <t>Write Count</t>
  </si>
  <si>
    <t>ms.</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</si>
  <si>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</si>
  <si>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</si>
  <si>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</si>
  <si>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</si>
  <si>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</si>
  <si>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</si>
  <si>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</si>
  <si>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</si>
  <si>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</si>
  <si>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</si>
  <si>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</si>
  <si>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</si>
  <si>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</si>
  <si>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</si>
  <si>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</si>
  <si>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</si>
  <si>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</si>
  <si>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</si>
  <si>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</si>
  <si>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</si>
  <si>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</si>
  <si>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</si>
  <si>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ms</t>
  </si>
  <si>
    <t>Batch size minimum</t>
  </si>
  <si>
    <t>Compaction maximum latency</t>
  </si>
  <si>
    <t>Compaction mean latency</t>
  </si>
  <si>
    <t>Compaction minimum latency</t>
  </si>
  <si>
    <t>MemTable OPS maximum</t>
  </si>
  <si>
    <t>MemTable OPS mean</t>
  </si>
  <si>
    <t>MemTable OPS minimum</t>
  </si>
  <si>
    <t>MemTable Size maximum</t>
  </si>
  <si>
    <t>MemTable Size mean</t>
  </si>
  <si>
    <t>MemTable Size minimum</t>
  </si>
  <si>
    <t>MemTable occurrences</t>
  </si>
  <si>
    <t>Partition large minimum</t>
  </si>
  <si>
    <t>Read latency</t>
  </si>
  <si>
    <t xml:space="preserve">SSTable read maximum </t>
  </si>
  <si>
    <t>Tombstones warning Total</t>
  </si>
  <si>
    <t>Tombstones warning minimum</t>
  </si>
  <si>
    <t>Write latency</t>
  </si>
  <si>
    <t>Unlogged Batch Partitions Count maximum</t>
  </si>
  <si>
    <t>Unlogged Batch Partitions Count minimum</t>
  </si>
  <si>
    <t>Tombstones query aborted maximum</t>
  </si>
  <si>
    <t>Tombstones query aborted minimum</t>
  </si>
  <si>
    <t>Tombstones query aborted occurences</t>
  </si>
  <si>
    <t>50% Max Read SSTables</t>
  </si>
  <si>
    <t>50% Max Write Latency (ms)</t>
  </si>
  <si>
    <t>50% Max Cell Counts</t>
  </si>
  <si>
    <t>50% Max Partition Sizes</t>
  </si>
  <si>
    <t>50% Max Partition Size</t>
  </si>
  <si>
    <t>Cassandra Logs</t>
  </si>
  <si>
    <t>Timestamp Period</t>
  </si>
  <si>
    <t>Type</t>
  </si>
  <si>
    <t>Key</t>
  </si>
  <si>
    <t>Associated Item Type</t>
  </si>
  <si>
    <t>Associated Item</t>
  </si>
  <si>
    <t>Exception</t>
  </si>
  <si>
    <t>Total Occurrences</t>
  </si>
  <si>
    <t>Compacting large partition</t>
  </si>
  <si>
    <t>(blank)</t>
  </si>
  <si>
    <t>Assocated Items</t>
  </si>
  <si>
    <t>Compaction Latency Warning</t>
  </si>
  <si>
    <t>io.netty.channel.unix.Errors$NativeIoException</t>
  </si>
  <si>
    <t>TestKS.TestTbl</t>
  </si>
  <si>
    <t>Prepared Discarded</t>
  </si>
  <si>
    <t>0.0.0.8:43646-&gt;0.0.0.9:9042</t>
  </si>
  <si>
    <t>Query Tombstones Warning</t>
  </si>
  <si>
    <t>0.0.0.6:60565-&gt;0.0.0.8:9042</t>
  </si>
  <si>
    <t>Unlogged Batch Partitions</t>
  </si>
  <si>
    <t>0.0.0.7:44813-&gt;0.0.0.8:9042</t>
  </si>
  <si>
    <t>0.0.0.8:43193-&gt;0.0.0.8:9042</t>
  </si>
  <si>
    <t>0.0.0.8:46213-&gt;0.0.0.8:9042</t>
  </si>
  <si>
    <t>Log Timestamp range is from "8/24/2016 9:40:43 AM" (Wednesday) to "8/24/2016 7:09:15 PM" (Wednesday) (0 09:28). Note: Only Overlapping Date Ranges used</t>
  </si>
  <si>
    <t>Aggregation Period</t>
  </si>
  <si>
    <t>Path</t>
  </si>
  <si>
    <t>Last Occurrence</t>
  </si>
  <si>
    <t>Compaction IO Rate Warning</t>
  </si>
  <si>
    <t>java.util.concurrent.RejectedExecutionException</t>
  </si>
  <si>
    <t>ERROR=&gt;Error(performing periodic update of histogram table)=&gt;java.util.concurrent.RejectedExecutionException(Unable to keep up. Some tasks were not executed)</t>
  </si>
  <si>
    <t>Plain Text Authentication</t>
  </si>
  <si>
    <t>Workbook Version: 20161118</t>
  </si>
  <si>
    <t>Start Timestamp: 11/25/2016 9:34:05 PM Duration: 00:00:21.3970</t>
  </si>
  <si>
    <t xml:space="preserve">Program: DSEDiagnosticAnalyticParserConsole Version: 3.0.0.36443 Directory: </t>
  </si>
  <si>
    <t>Working Directory: E:\Libraries\Projects\DataStax\Git\DSEDiagnosticAnalyticParser\DSEDiagnosticAnalyticParserConsole\bin\x64\Release</t>
  </si>
  <si>
    <t xml:space="preserve">Values: 
	--MaxRowInExcelWork[S]heet 500000 
	--MaxRowInExcelWork[B]ook 1000000 
	--[G]CFlagThresholdInMS 5000 
	--[C]ompactionFlagThresholdInMS 10000 
	--CompactionFlagThresholdAsIORate|-R 3
	--SlowLog[Q]ueryThresholdInMS 2000 
	--LogStartDate|-Z "1/1/0001 12:00:00 AM" 
	--LogExcelWorkbook[F]ilter "" 
	--Parsing[E]xcelOptions {ParseLoadWorksheets} 
	--[L]ogParsingExcelOption {ParseLogs} 
	--Excel[T]emplateFilePath ".\dseTemplate.xlsm" 
	--ExcelFile[P]ath "C:\Users\Richard\Desktop\Test_vnodetest_diag.xlsm" 
	--DiagnosticNoSubFolders|-O False 
	--[D]iagnosticPath "E:\Users\richard.andersen\Documents\DSEData\vnodetest_diag" 
	--AlternativeLogFilePath|-l "" 
	--AlternativeDDLFilePath|-d "" 
	--[I]gnoreKeySpaces {dse_system, system_auth, system_traces, system_distributed, system_schema, system, dse_perf, dse_security, solr_admin, dse_auth, dse_leases, OpsCenter} 
	--IncludePerformanceKeyspaces|-i False 
	--IncludeOpsCenterKeyspace|-k False 
	--TableHistogramDirPath|-t "" 
	--ToleranceContinuousGCInMS|-g 250 
	--NbrGCInSeriesToConsiderContinuous|-v 3 
	--GCTimeFrameDetection|-f 00:05:00 
	--GCTimeFrameDetectionPercentage|-e 0.25</t>
  </si>
  <si>
    <t>Warnings: False Errors: False</t>
  </si>
  <si>
    <t>Log From 8/23/2016 6:39:30 PM (Tue) to 8/24/2016 7:09:15 PM (Wed) duration 1 00:29 Number of Log items read/processed: 20,412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</si>
</sst>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
    <numFmt numFmtId="174" formatCode="d hh:mm"/>
    <numFmt numFmtId="175" formatCode="#,###"/>
    <numFmt numFmtId="176" formatCode="mm/dd/yyyy hh:mm"/>
  </numFmts>
  <fonts count="7">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0.099978637043366805"/>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right/>
      <top/>
      <bottom/>
      <diagonal/>
    </border>
    <border>
      <left/>
      <right style="medium"/>
      <top/>
      <bottom/>
      <diagonal/>
    </border>
    <border>
      <left/>
      <right style="dashed"/>
      <top/>
      <bottom/>
      <diagonal/>
    </border>
    <border>
      <left style="dashed"/>
      <right/>
      <top/>
      <bottom/>
      <diagonal/>
    </border>
  </borders>
  <cellStyleXfs count="2">
    <xf numFmtId="0" fontId="0" fillId="0" borderId="0"/>
    <xf numFmtId="0" fontId="1" fillId="0" borderId="0"/>
  </cellStyleXfs>
  <cellXfs count="143">
    <xf numFmtId="0" applyNumberFormat="1" fontId="0" applyFont="1" fillId="0" applyFill="1" borderId="0" applyBorder="1" xfId="0"/>
    <xf numFmtId="0" applyNumberFormat="1" fontId="1" applyFont="1" fillId="0" applyFill="1" borderId="0" applyBorder="1" xfId="1"/>
    <xf numFmtId="0" applyNumberFormat="1" fontId="0" applyFont="1" fillId="0" applyFill="1" borderId="0" applyBorder="1" xfId="0">
      <alignment horizontal="left"/>
    </xf>
    <xf numFmtId="3" applyNumberFormat="1" fontId="0" applyFont="1" fillId="0" applyFill="1" borderId="0" applyBorder="1" xfId="0"/>
    <xf numFmtId="4" applyNumberFormat="1" fontId="0" applyFont="1" fillId="0" applyFill="1" borderId="0" applyBorder="1" xfId="0"/>
    <xf numFmtId="10" applyNumberFormat="1" fontId="0" applyFont="1" fillId="0" applyFill="1" borderId="0" applyBorder="1" xfId="0"/>
    <xf numFmtId="165" applyNumberFormat="1" fontId="0" applyFont="1" fillId="0" applyFill="1" borderId="0" applyBorder="1" xfId="0"/>
    <xf numFmtId="0" applyNumberFormat="1" fontId="0" applyFont="1" fillId="0" applyFill="1" borderId="0" applyBorder="1" xfId="0"/>
    <xf numFmtId="0" applyNumberFormat="1" fontId="0" applyFont="1" fillId="2" applyFill="1" borderId="0" applyBorder="1" xfId="0">
      <alignment horizontal="center"/>
    </xf>
    <xf numFmtId="0" applyNumberFormat="1" fontId="3" applyFont="1" fillId="0" applyFill="1" borderId="0" applyBorder="1" xfId="0"/>
    <xf numFmtId="0" applyNumberFormat="1" fontId="2" applyFont="1" fillId="4" applyFill="1" borderId="0" applyBorder="1" xfId="0">
      <alignment horizontal="center" vertical="center" wrapText="1"/>
    </xf>
    <xf numFmtId="168" applyNumberFormat="1" fontId="0" applyFont="1" fillId="2" applyFill="1" borderId="0" applyBorder="1" xfId="0">
      <alignment horizontal="center"/>
    </xf>
    <xf numFmtId="168" applyNumberFormat="1" fontId="0" applyFont="1" fillId="0" applyFill="1" borderId="0" applyBorder="1" xfId="0"/>
    <xf numFmtId="166" applyNumberFormat="1" fontId="3" applyFont="1" fillId="0" applyFill="1" borderId="0" applyBorder="1" xfId="0"/>
    <xf numFmtId="0" applyNumberFormat="1" fontId="3" applyFont="1" fillId="3" applyFill="1" borderId="0" applyBorder="1" xfId="0"/>
    <xf numFmtId="0" applyNumberFormat="1" fontId="0" applyFont="1" fillId="3" applyFill="1" borderId="0" applyBorder="1" xfId="0"/>
    <xf numFmtId="0" applyNumberFormat="1" fontId="0" applyFont="1" fillId="0" applyFill="1" borderId="0" applyBorder="1" xfId="0">
      <alignment wrapText="1"/>
    </xf>
    <xf numFmtId="0" applyNumberFormat="1" fontId="0" applyFont="1" fillId="0" applyFill="1" borderId="0" applyBorder="1" xfId="0"/>
    <xf numFmtId="10" applyNumberFormat="1" fontId="0" applyFont="1" fillId="3" applyFill="1" borderId="0" applyBorder="1" xfId="0"/>
    <xf numFmtId="4" applyNumberFormat="1" fontId="0" applyFont="1" fillId="6" applyFill="1" borderId="0" applyBorder="1" xfId="0"/>
    <xf numFmtId="4" applyNumberFormat="1" fontId="4" applyFont="1" fillId="7"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9" applyFill="1" borderId="0" applyBorder="1" xfId="0"/>
    <xf numFmtId="0" applyNumberFormat="1" fontId="1" applyFont="1" fillId="10" applyFill="1" borderId="0" applyBorder="1" xfId="0"/>
    <xf numFmtId="0" applyNumberFormat="1" fontId="5" applyFont="1" fillId="0" applyFill="1" borderId="0" applyBorder="1" xfId="0"/>
    <xf numFmtId="10" applyNumberFormat="1" fontId="5" applyFont="1" fillId="0" applyFill="1" borderId="0" applyBorder="1" xfId="0"/>
    <xf numFmtId="0" applyNumberFormat="1" fontId="0" applyFont="1" fillId="0" applyFill="1" borderId="0" applyBorder="1" xfId="0">
      <alignment horizontal="center" vertical="center"/>
    </xf>
    <xf numFmtId="166" applyNumberFormat="1" fontId="3"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1" applyFont="1" fillId="5" applyFill="1" borderId="1" applyBorder="1" xfId="0">
      <alignment horizontal="center" vertical="center"/>
    </xf>
    <xf numFmtId="0" applyNumberFormat="1" fontId="0" applyFont="1" fillId="5"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0" applyFill="1" borderId="0" applyBorder="1" xfId="0">
      <alignment horizontal="center" vertical="center"/>
    </xf>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0" applyFont="1" fillId="0" applyFill="1" borderId="1" applyBorder="1" xfId="0"/>
    <xf numFmtId="165" applyNumberFormat="1" fontId="0" applyFont="1" fillId="0" applyFill="1" borderId="1" applyBorder="1" xfId="0"/>
    <xf numFmtId="0" applyNumberFormat="1" fontId="0" applyFont="1" fillId="11" applyFill="1" borderId="1" applyBorder="1" xfId="0"/>
    <xf numFmtId="0" applyNumberFormat="1" fontId="0" applyFont="1" fillId="11" applyFill="1" borderId="0" applyBorder="1" xfId="0"/>
    <xf numFmtId="0" applyNumberFormat="1" fontId="0" applyFont="1" fillId="3" applyFill="1" borderId="2" applyBorder="1" xfId="0"/>
    <xf numFmtId="0" applyNumberFormat="1" fontId="3" applyFont="1" fillId="3" applyFill="1" borderId="2" applyBorder="1" xfId="0"/>
    <xf numFmtId="0" applyNumberFormat="1" fontId="2" applyFont="1" fillId="4" applyFill="1" borderId="2" applyBorder="1" xfId="0">
      <alignment horizontal="center" vertical="center" wrapText="1"/>
    </xf>
    <xf numFmtId="0" applyNumberFormat="1" fontId="3" applyFont="1" fillId="0" applyFill="1" borderId="2" applyBorder="1" xfId="0"/>
    <xf numFmtId="0" applyNumberFormat="1" fontId="0" applyFont="1" fillId="0" applyFill="1" borderId="2" applyBorder="1" xfId="0"/>
    <xf numFmtId="0" applyNumberFormat="1" fontId="0" applyFont="1" fillId="0" applyFill="1" borderId="3" applyBorder="1" xfId="0"/>
    <xf numFmtId="0" applyNumberFormat="1" fontId="0" applyFont="1" fillId="0" applyFill="1" borderId="2" applyBorder="1" xfId="0"/>
    <xf numFmtId="0" applyNumberFormat="1" fontId="0" applyFont="1" fillId="0" applyFill="1" borderId="2" applyBorder="1" xfId="0">
      <alignment horizontal="left"/>
    </xf>
    <xf numFmtId="0" applyNumberFormat="1" fontId="0" applyFont="1" fillId="11" applyFill="1" borderId="2" applyBorder="1" xfId="0"/>
    <xf numFmtId="165" applyNumberFormat="1" fontId="0" applyFont="1" fillId="0" applyFill="1" borderId="2" applyBorder="1" xfId="0"/>
    <xf numFmtId="3" applyNumberFormat="1" fontId="0" applyFont="1" fillId="0" applyFill="1" borderId="1" applyBorder="1" xfId="0"/>
    <xf numFmtId="3" applyNumberFormat="1" fontId="0" applyFont="1" fillId="0" applyFill="1" borderId="2"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5"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0" applyFill="1" borderId="0" applyBorder="1" xfId="0"/>
    <xf numFmtId="0" applyNumberFormat="1" fontId="1" applyFont="1" fillId="3" applyFill="1" borderId="0" applyBorder="1" xfId="1"/>
    <xf numFmtId="0" applyNumberFormat="1" fontId="2" applyFont="1" fillId="4" applyFill="1" borderId="0" applyBorder="1" xfId="1">
      <alignment horizontal="center" vertical="center" wrapText="1"/>
    </xf>
    <xf numFmtId="166" applyNumberFormat="1" fontId="3" applyFont="1" fillId="0" applyFill="1" borderId="0" applyBorder="1" xfId="1"/>
    <xf numFmtId="172" applyNumberFormat="1" fontId="0" applyFont="1" fillId="0" applyFill="1" borderId="0" applyBorder="1" xfId="0"/>
    <xf numFmtId="172" applyNumberFormat="1" fontId="0" applyFont="1" fillId="0" applyFill="1" borderId="1" applyBorder="1" xfId="0"/>
    <xf numFmtId="172" applyNumberFormat="1" fontId="0" applyFont="1" fillId="0" applyFill="1" borderId="2"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0" applyFont="1" fillId="0" applyFill="1" borderId="0" applyBorder="1" xfId="0"/>
    <xf numFmtId="0" applyNumberFormat="1" fontId="6" applyFont="1" fillId="12" applyFill="1" borderId="0" applyBorder="1" xfId="0"/>
    <xf numFmtId="0" applyNumberFormat="1" fontId="0" applyFont="1" fillId="0" applyFill="1" borderId="0" applyBorder="1" xfId="0"/>
    <xf numFmtId="0" applyNumberFormat="1" fontId="1" applyFont="1" fillId="3" applyFill="1" borderId="0" applyBorder="1" xfId="0">
      <alignment horizontal="center" vertical="center"/>
    </xf>
    <xf numFmtId="0" applyNumberFormat="1" fontId="0" applyFont="1" fillId="0" applyFill="1" borderId="0" applyBorder="1" xfId="0">
      <alignment horizontal="center" vertical="center"/>
    </xf>
    <xf numFmtId="0" applyNumberFormat="1" fontId="0" applyFont="1" fillId="0" applyFill="1" borderId="0" applyBorder="1" xfId="0"/>
    <xf numFmtId="0" applyNumberFormat="1" fontId="0" applyFont="1" fillId="0" applyFill="1" borderId="0" applyBorder="1" xfId="0"/>
    <xf numFmtId="0" applyNumberFormat="1" fontId="1" applyFont="1" fillId="8" applyFill="1" borderId="0" applyBorder="1" xfId="0">
      <alignment horizontal="center" vertical="center"/>
    </xf>
    <xf numFmtId="0" applyNumberFormat="1" fontId="0" applyFont="1" fillId="8" applyFill="1" borderId="0" applyBorder="1" xfId="0">
      <alignment horizontal="center" vertical="center"/>
    </xf>
    <xf numFmtId="0" applyNumberFormat="1" fontId="1" applyFont="1" fillId="5" applyFill="1" borderId="1" applyBorder="1" xfId="0">
      <alignment horizontal="center" vertical="center"/>
    </xf>
    <xf numFmtId="0" applyNumberFormat="1" fontId="0" applyFont="1" fillId="5" applyFill="1" borderId="0" applyBorder="1" xfId="0">
      <alignment horizontal="center" vertical="center"/>
    </xf>
    <xf numFmtId="2" applyNumberFormat="1" fontId="1" applyFont="1" fillId="5" applyFill="1" borderId="1" applyBorder="1" xfId="0">
      <alignment horizontal="center" vertical="center"/>
    </xf>
    <xf numFmtId="2" applyNumberFormat="1" fontId="0" applyFont="1" fillId="0" applyFill="1" borderId="0" applyBorder="1" xfId="0">
      <alignment horizontal="center" vertical="center"/>
    </xf>
    <xf numFmtId="0" applyNumberFormat="1" fontId="1" applyFont="1" fillId="5" applyFill="1" borderId="0" applyBorder="1" xfId="0">
      <alignment horizontal="center" vertical="center"/>
    </xf>
    <xf numFmtId="0" applyNumberFormat="1" fontId="0" applyFont="1" fillId="5" applyFill="1" borderId="2" applyBorder="1" xfId="0">
      <alignment horizontal="center" vertical="center"/>
    </xf>
    <xf numFmtId="0" applyNumberFormat="1" fontId="0" applyFont="1" fillId="3" applyFill="1" borderId="0" applyBorder="1" xfId="0">
      <alignment horizontal="center" vertical="center"/>
    </xf>
    <xf numFmtId="0" applyNumberFormat="1" fontId="1" applyFont="1" fillId="3" applyFill="1" borderId="0" applyBorder="1" xfId="0"/>
    <xf numFmtId="0" applyNumberFormat="1" fontId="3" applyFont="1" fillId="3" applyFill="1" borderId="0" applyBorder="1" xfId="0">
      <alignment horizontal="center" vertical="center"/>
    </xf>
    <xf numFmtId="0" applyNumberFormat="1" fontId="0" applyFont="1" fillId="2" applyFill="1" borderId="0" applyBorder="1" xfId="0">
      <alignment horizontal="center"/>
    </xf>
    <xf numFmtId="168" applyNumberFormat="1" fontId="0" applyFont="1" fillId="0" applyFill="1" borderId="0" applyBorder="1" xfId="0"/>
    <xf numFmtId="168" applyNumberFormat="1" fontId="0" applyFont="1" fillId="2" applyFill="1" borderId="0" applyBorder="1" xfId="0">
      <alignment horizontal="center"/>
    </xf>
    <xf numFmtId="173" applyNumberFormat="1" fontId="0" applyFont="1" fillId="0" applyFill="1" borderId="0" applyBorder="1" xfId="0"/>
    <xf numFmtId="173" applyNumberFormat="1" fontId="0" applyFont="1" fillId="2" applyFill="1" borderId="0" applyBorder="1" xfId="0">
      <alignment horizontal="center"/>
    </xf>
    <xf numFmtId="164" applyNumberFormat="1" fontId="0" applyFont="1" fillId="0" applyFill="1" borderId="0" applyBorder="1" xfId="0"/>
    <xf numFmtId="164" applyNumberFormat="1" fontId="0" applyFont="1" fillId="2" applyFill="1" borderId="0" applyBorder="1" xfId="0">
      <alignment horizontal="center"/>
    </xf>
    <xf numFmtId="169" applyNumberFormat="1" fontId="0" applyFont="1" fillId="0" applyFill="1" borderId="0" applyBorder="1" xfId="0"/>
    <xf numFmtId="169" applyNumberFormat="1" fontId="0" applyFont="1" fillId="2" applyFill="1" borderId="0" applyBorder="1" xfId="0">
      <alignment horizontal="center"/>
    </xf>
    <xf numFmtId="2" applyNumberFormat="1" fontId="0" applyFont="1" fillId="0" applyFill="1" borderId="0" applyBorder="1" xfId="0"/>
    <xf numFmtId="2" applyNumberFormat="1" fontId="0" applyFont="1" fillId="2" applyFill="1" borderId="0" applyBorder="1" xfId="0">
      <alignment horizontal="center"/>
    </xf>
    <xf numFmtId="174" applyNumberFormat="1" fontId="0" applyFont="1" fillId="0" applyFill="1" borderId="0" applyBorder="1" xfId="0"/>
    <xf numFmtId="174" applyNumberFormat="1" fontId="0" applyFont="1" fillId="2" applyFill="1" borderId="0" applyBorder="1" xfId="0">
      <alignment horizontal="center"/>
    </xf>
    <xf numFmtId="0" applyNumberFormat="1" fontId="0" applyFont="1" fillId="2" applyFill="1" borderId="0" applyBorder="1" xfId="0">
      <alignment horizontal="center" wrapText="1"/>
    </xf>
    <xf numFmtId="0" applyNumberFormat="1" fontId="0" applyFont="1" fillId="2" applyFill="1" borderId="4" applyBorder="1" xfId="0">
      <alignment horizontal="center" wrapText="1"/>
    </xf>
    <xf numFmtId="0" applyNumberFormat="1" fontId="0" applyFont="1" fillId="2" applyFill="1" borderId="4" applyBorder="1" xfId="0">
      <alignment horizontal="center"/>
    </xf>
    <xf numFmtId="0" applyNumberFormat="1" fontId="0" applyFont="1" fillId="2" applyFill="1" borderId="5" applyBorder="1" xfId="0">
      <alignment horizontal="center" wrapText="1"/>
    </xf>
    <xf numFmtId="0" applyNumberFormat="1" fontId="0" applyFont="1" fillId="2" applyFill="1" borderId="5" applyBorder="1" xfId="0">
      <alignment horizontal="center"/>
    </xf>
    <xf numFmtId="164" applyNumberFormat="1" fontId="0" applyFont="1" fillId="2" applyFill="1" borderId="4" applyBorder="1" xfId="0">
      <alignment horizontal="center" wrapText="1"/>
    </xf>
    <xf numFmtId="164" applyNumberFormat="1" fontId="0" applyFont="1" fillId="2" applyFill="1" borderId="4" applyBorder="1" xfId="0">
      <alignment horizontal="center"/>
    </xf>
    <xf numFmtId="164" applyNumberFormat="1" fontId="0" applyFont="1" fillId="2" applyFill="1" borderId="0" applyBorder="1" xfId="0">
      <alignment horizontal="center" wrapText="1"/>
    </xf>
    <xf numFmtId="164" applyNumberFormat="1" fontId="0" applyFont="1" fillId="2" applyFill="1" borderId="5" applyBorder="1" xfId="0">
      <alignment horizontal="center" wrapText="1"/>
    </xf>
    <xf numFmtId="164" applyNumberFormat="1" fontId="0" applyFont="1" fillId="2" applyFill="1" borderId="5" applyBorder="1" xfId="0">
      <alignment horizontal="center"/>
    </xf>
    <xf numFmtId="168" applyNumberFormat="1" fontId="0" applyFont="1" fillId="2" applyFill="1" borderId="4" applyBorder="1" xfId="0">
      <alignment horizontal="center" wrapText="1"/>
    </xf>
    <xf numFmtId="168" applyNumberFormat="1" fontId="0" applyFont="1" fillId="2" applyFill="1" borderId="4" applyBorder="1" xfId="0">
      <alignment horizontal="center"/>
    </xf>
    <xf numFmtId="168" applyNumberFormat="1" fontId="0" applyFont="1" fillId="2" applyFill="1" borderId="0" applyBorder="1" xfId="0">
      <alignment horizontal="center" wrapText="1"/>
    </xf>
    <xf numFmtId="168" applyNumberFormat="1" fontId="0" applyFont="1" fillId="2" applyFill="1" borderId="5" applyBorder="1" xfId="0">
      <alignment horizontal="center" wrapText="1"/>
    </xf>
    <xf numFmtId="168" applyNumberFormat="1" fontId="0" applyFont="1" fillId="2" applyFill="1" borderId="5" applyBorder="1" xfId="0">
      <alignment horizontal="center"/>
    </xf>
    <xf numFmtId="168" applyNumberFormat="1" fontId="0" applyFont="1" fillId="2" applyFill="1" borderId="6" applyBorder="1" xfId="0">
      <alignment horizontal="center" wrapText="1"/>
    </xf>
    <xf numFmtId="168" applyNumberFormat="1" fontId="0" applyFont="1" fillId="2" applyFill="1" borderId="6" applyBorder="1" xfId="0">
      <alignment horizontal="center"/>
    </xf>
    <xf numFmtId="168" applyNumberFormat="1" fontId="0" applyFont="1" fillId="2" applyFill="1" borderId="7" applyBorder="1" xfId="0">
      <alignment horizontal="center" wrapText="1"/>
    </xf>
    <xf numFmtId="168" applyNumberFormat="1" fontId="0" applyFont="1" fillId="2" applyFill="1" borderId="7" applyBorder="1" xfId="0">
      <alignment horizontal="center"/>
    </xf>
    <xf numFmtId="9" applyNumberFormat="1" fontId="0" applyFont="1" fillId="0" applyFill="1" borderId="0" applyBorder="1" xfId="0"/>
    <xf numFmtId="9" applyNumberFormat="1" fontId="0" applyFont="1" fillId="2" applyFill="1" borderId="0" applyBorder="1" xfId="0">
      <alignment horizontal="center" wrapText="1"/>
    </xf>
    <xf numFmtId="9" applyNumberFormat="1" fontId="0" applyFont="1" fillId="2" applyFill="1" borderId="0" applyBorder="1" xfId="0">
      <alignment horizontal="center"/>
    </xf>
    <xf numFmtId="175" applyNumberFormat="1" fontId="0" applyFont="1" fillId="0" applyFill="1" borderId="0" applyBorder="1" xfId="0"/>
    <xf numFmtId="175" applyNumberFormat="1" fontId="0" applyFont="1" fillId="2" applyFill="1" borderId="4" applyBorder="1" xfId="0">
      <alignment horizontal="center" wrapText="1"/>
    </xf>
    <xf numFmtId="175" applyNumberFormat="1" fontId="0" applyFont="1" fillId="2" applyFill="1" borderId="4" applyBorder="1" xfId="0">
      <alignment horizontal="center"/>
    </xf>
    <xf numFmtId="175" applyNumberFormat="1" fontId="0" applyFont="1" fillId="2" applyFill="1" borderId="0" applyBorder="1" xfId="0">
      <alignment horizontal="center" wrapText="1"/>
    </xf>
    <xf numFmtId="175" applyNumberFormat="1" fontId="0" applyFont="1" fillId="2" applyFill="1" borderId="0" applyBorder="1" xfId="0">
      <alignment horizontal="center"/>
    </xf>
    <xf numFmtId="175" applyNumberFormat="1" fontId="0" applyFont="1" fillId="2" applyFill="1" borderId="5" applyBorder="1" xfId="0">
      <alignment horizontal="center" wrapText="1"/>
    </xf>
    <xf numFmtId="175" applyNumberFormat="1" fontId="0" applyFont="1" fillId="2" applyFill="1" borderId="5" applyBorder="1" xfId="0">
      <alignment horizontal="center"/>
    </xf>
    <xf numFmtId="0" applyNumberFormat="1" fontId="0" applyFont="1" fillId="2" applyFill="1" borderId="0" applyBorder="1" xfId="0">
      <alignment horizontal="left" wrapText="1"/>
    </xf>
    <xf numFmtId="176" applyNumberFormat="1" fontId="0" applyFont="1" fillId="0" applyFill="1" borderId="0" applyBorder="1" xfId="0"/>
    <xf numFmtId="176" applyNumberFormat="1" fontId="0" applyFont="1" fillId="2" applyFill="1" borderId="0" applyBorder="1" xfId="0">
      <alignment horizontal="left" wrapText="1"/>
    </xf>
    <xf numFmtId="176" applyNumberFormat="1" fontId="0" applyFont="1" fillId="2" applyFill="1" borderId="0" applyBorder="1" xfId="0">
      <alignment horizontal="center"/>
    </xf>
    <xf numFmtId="174" applyNumberFormat="1" fontId="0" applyFont="1" fillId="2" applyFill="1" borderId="0" applyBorder="1" xfId="0">
      <alignment horizontal="left" wrapText="1"/>
    </xf>
    <xf numFmtId="0" applyNumberFormat="1" fontId="0" applyFont="1" fillId="0" applyFill="1" borderId="0" applyBorder="1" xfId="0">
      <alignment wrapText="1"/>
    </xf>
    <xf numFmtId="0" applyNumberFormat="1" fontId="1" applyFont="1" fillId="0" applyFill="1" borderId="0" applyBorder="1" xfId="0">
      <alignmen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72" Type="http://schemas.openxmlformats.org/officeDocument/2006/relationships/worksheet" Target="worksheets/sheet49.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47625</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152400</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28575</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123825</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9525</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180975</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19050</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5">
      <pivotArea dataOnly="0" labelOnly="1" outline="0" fieldPosition="0">
        <references count="1">
          <reference field="4294967294" count="1">
            <x v="0"/>
          </reference>
        </references>
      </pivotArea>
    </format>
    <format dxfId="34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29">
      <pivotArea dataOnly="0" labelOnly="1" outline="0" fieldPosition="0">
        <references count="1">
          <reference field="4294967294" count="1">
            <x v="1"/>
          </reference>
        </references>
      </pivotArea>
    </format>
    <format dxfId="3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2">
      <pivotArea dataOnly="0" labelOnly="1" outline="0" fieldPosition="0">
        <references count="1">
          <reference field="4294967294" count="1">
            <x v="0"/>
          </reference>
        </references>
      </pivotArea>
    </format>
    <format dxfId="3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4">
      <pivotArea dataOnly="0" labelOnly="1" outline="0" fieldPosition="0">
        <references count="1">
          <reference field="4294967294" count="1">
            <x v="1"/>
          </reference>
        </references>
      </pivotArea>
    </format>
    <format dxfId="33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6">
      <pivotArea dataOnly="0" labelOnly="1" outline="0" fieldPosition="0">
        <references count="1">
          <reference field="4294967294" count="1">
            <x v="0"/>
          </reference>
        </references>
      </pivotArea>
    </format>
    <format dxfId="3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1">
      <pivotArea dataOnly="0" labelOnly="1"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3">
      <pivotArea dataOnly="0" labelOnly="1"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6">
      <pivotArea dataOnly="0" labelOnly="1" outline="0" axis="axisValues" fieldPosition="0"/>
    </format>
    <format dxfId="315">
      <pivotArea dataOnly="0" outline="0" axis="axisValues" fieldPosition="0"/>
    </format>
    <format dxfId="3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s>
</file>

<file path=xl/worksheets/_rels/sheet8.xml.rels><?xml version="1.0" encoding="UTF-8" standalone="yes"?><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9.xml.rels><?xml version="1.0" encoding="UTF-8" standalone="yes"?><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1.xml.rels><?xml version="1.0" encoding="UTF-8" standalone="yes"?><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13.xml.rels><?xml version="1.0" encoding="UTF-8" standalone="yes"?><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ivotTable" Target="../pivotTables/pivotTable25.xml"/></Relationships>
</file>

<file path=xl/worksheets/_rels/sheet14.xml.rels><?xml version="1.0" encoding="UTF-8" standalone="yes"?><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ivotTable" Target="../pivotTables/pivotTable34.xml"/></Relationships>
</file>

<file path=xl/worksheets/_rels/sheet16.xml.rels><?xml version="1.0" encoding="UTF-8" standalone="yes"?><Relationships xmlns="http://schemas.openxmlformats.org/package/2006/relationships"><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Relationships xmlns="http://schemas.openxmlformats.org/package/2006/relationships"><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4" Type="http://schemas.openxmlformats.org/officeDocument/2006/relationships/pivotTable" Target="../pivotTables/pivotTable57.xml"/></Relationships>
</file>

<file path=xl/worksheets/_rels/sheet20.xml.rels><?xml version="1.0" encoding="UTF-8" standalone="yes"?><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Relationships xmlns="http://schemas.openxmlformats.org/package/2006/relationships"><Relationship Id="rId3" Type="http://schemas.openxmlformats.org/officeDocument/2006/relationships/pivotTable" Target="../pivotTables/pivotTable66.xml"/><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Relationships xmlns="http://schemas.openxmlformats.org/package/2006/relationships"><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Relationships xmlns="http://schemas.openxmlformats.org/package/2006/relationships"><Relationship Id="rId3" Type="http://schemas.openxmlformats.org/officeDocument/2006/relationships/pivotTable" Target="../pivotTables/pivotTable84.xml"/><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Relationships xmlns="http://schemas.openxmlformats.org/package/2006/relationships"><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Relationships xmlns="http://schemas.openxmlformats.org/package/2006/relationships"><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Relationships xmlns="http://schemas.openxmlformats.org/package/2006/relationships"><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Relationships xmlns="http://schemas.openxmlformats.org/package/2006/relationships"><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Relationships xmlns="http://schemas.openxmlformats.org/package/2006/relationships"><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s>
</file>

<file path=xl/worksheets/_rels/sheet31.xml.rels><?xml version="1.0" encoding="UTF-8" standalone="yes"?><Relationships xmlns="http://schemas.openxmlformats.org/package/2006/relationships"><Relationship Id="rId1" Type="http://schemas.openxmlformats.org/officeDocument/2006/relationships/comments" Target="../comments39.xml"/><Relationship Id="rId2" Type="http://schemas.openxmlformats.org/officeDocument/2006/relationships/vmlDrawing" Target="../drawings/vmlDrawing4.vml"/></Relationships>
</file>

<file path=xl/worksheets/_rels/sheet34.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s>
</file>

<file path=xl/worksheets/_rels/sheet49.xml.rels><?xml version="1.0" encoding="UTF-8" standalone="yes"?><Relationships xmlns="http://schemas.openxmlformats.org/package/2006/relationships"><Relationship Id="rId1" Type="http://schemas.openxmlformats.org/officeDocument/2006/relationships/comments" Target="../comments49.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ht="18.75">
      <c r="B5" s="77" t="s">
        <v>137</v>
      </c>
      <c r="C5" s="77"/>
      <c r="D5" s="77"/>
      <c r="F5" s="77" t="s">
        <v>138</v>
      </c>
      <c r="G5" s="77"/>
      <c r="H5" s="77"/>
      <c r="J5" s="77" t="s">
        <v>139</v>
      </c>
      <c r="K5" s="77"/>
      <c r="L5" s="77"/>
      <c r="N5" s="77" t="s">
        <v>140</v>
      </c>
      <c r="O5" s="77"/>
      <c r="P5" s="77"/>
      <c r="Q5" s="78"/>
      <c r="R5" s="78"/>
      <c r="S5" s="78"/>
      <c r="T5" s="78"/>
      <c r="U5" s="78"/>
      <c r="V5" s="78"/>
      <c r="W5" s="78"/>
      <c r="X5" s="78"/>
      <c r="Y5" s="78"/>
      <c r="Z5" s="78"/>
    </row>
  </sheetData>
  <mergeCells>
    <mergeCell ref="B5:D5"/>
    <mergeCell ref="F5:H5"/>
    <mergeCell ref="J5:L5"/>
    <mergeCell ref="N5:Z5"/>
  </mergeCells>
  <pageMargins left="0.7" right="0.7" top="0.75" bottom="0.75" header="0.3" footer="0.3"/>
  <pageSetup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T4"/>
  <sheetViews>
    <sheetView workbookViewId="0">
      <pane ySplit="2" topLeftCell="A3" state="frozen" activePane="bottomLeft"/>
      <selection pane="bottomLeft" activeCell="A4" sqref="A4"/>
    </sheetView>
  </sheetViews>
  <sheetFormatPr defaultRowHeight="15"/>
  <cols>
    <col min="1" max="1" width="17.5784320831299" customWidth="1"/>
    <col min="2" max="2" width="14.1767406463623" customWidth="1"/>
    <col min="3" max="3" width="15.7849988937378" customWidth="1"/>
    <col min="4" max="4" width="18.7365436553955" customWidth="1"/>
    <col min="5" max="5" width="9.140625" customWidth="1" style="99"/>
    <col min="6" max="6" width="23.4835662841797" customWidth="1" style="99"/>
    <col min="7" max="7" width="9.140625" customWidth="1"/>
    <col min="8" max="8" width="13.2324514389038" customWidth="1"/>
    <col min="9" max="9" width="12.3638687133789" customWidth="1"/>
    <col min="10" max="10" width="10.8364315032959" customWidth="1" style="95"/>
    <col min="11" max="11" width="9.140625" customWidth="1" style="95"/>
    <col min="12" max="12" width="9.99649524688721" customWidth="1" style="95"/>
    <col min="13" max="13" width="9.140625" customWidth="1" style="95"/>
    <col min="14" max="14" width="11.6466999053955" customWidth="1" style="99"/>
    <col min="15" max="15" width="9.140625" customWidth="1" style="99"/>
    <col min="16" max="16" width="9.95761871337891" customWidth="1" style="99"/>
    <col min="17" max="17" width="9.78062868118286" customWidth="1" style="99"/>
    <col min="18" max="18" width="9.140625" customWidth="1" style="99"/>
    <col min="19" max="19" width="9.140625" customWidth="1" style="99"/>
    <col min="20" max="20" width="18.1838073730469" customWidth="1"/>
    <col min="21" max="21" width="9.34889507293701" customWidth="1"/>
    <col min="22" max="22" width="31.6493949890137" customWidth="1"/>
    <col min="23" max="23" width="18.2669563293457" customWidth="1"/>
    <col min="24" max="24" width="9.140625" customWidth="1" style="95"/>
    <col min="25" max="25" width="22.9474792480469" customWidth="1" style="95"/>
    <col min="26" max="26" width="15.9568738937378" customWidth="1"/>
    <col min="27" max="27" width="16.8755865097046" customWidth="1" style="95"/>
    <col min="28" max="28" width="17.4976100921631" customWidth="1" style="95"/>
    <col min="29" max="29" width="18.6219596862793" customWidth="1" style="95"/>
    <col min="30" max="30" width="11.6313543319702" customWidth="1" style="95"/>
    <col min="31" max="31" width="12.5500659942627" customWidth="1" style="95"/>
    <col min="32" max="32" width="13.1720895767212" customWidth="1" style="95"/>
    <col min="33" max="33" width="9.140625" customWidth="1"/>
    <col min="34" max="34" width="12.6206579208374" customWidth="1"/>
    <col min="35" max="35" width="9.55964660644531" customWidth="1"/>
    <col min="36" max="36" width="9.140625" customWidth="1"/>
    <col min="37" max="37" width="9.140625" customWidth="1"/>
    <col min="38" max="38" width="10.4701747894287" customWidth="1"/>
    <col min="39" max="39" width="17.2970895767212" customWidth="1" style="99"/>
    <col min="40" max="40" width="15.0228147506714" customWidth="1" style="99"/>
    <col min="41" max="41" width="21.2635135650635" customWidth="1" style="99"/>
    <col min="42" max="42" width="21.1775779724121" customWidth="1" style="99"/>
    <col min="43" max="43" width="16.3753070831299" customWidth="1" style="99"/>
    <col min="44" max="44" width="15.3972568511963" customWidth="1" style="95"/>
    <col min="45" max="45" width="18.6332130432129" customWidth="1" style="95"/>
    <col min="46" max="46" width="18.1155414581299" customWidth="1" style="95"/>
  </cols>
  <sheetData>
    <row r="1" s="94" customFormat="1">
      <c r="A1" s="100"/>
      <c r="B1" s="100"/>
      <c r="C1" s="100"/>
      <c r="D1" s="100"/>
      <c r="E1" s="100"/>
      <c r="F1" s="100"/>
      <c r="G1" s="100"/>
      <c r="H1" s="100"/>
      <c r="I1" s="100"/>
      <c r="J1" s="117" t="s">
        <v>170</v>
      </c>
      <c r="K1" s="119" t="s">
        <v>170</v>
      </c>
      <c r="L1" s="119" t="s">
        <v>170</v>
      </c>
      <c r="M1" s="120" t="s">
        <v>170</v>
      </c>
      <c r="N1" s="112" t="s">
        <v>171</v>
      </c>
      <c r="O1" s="114" t="s">
        <v>171</v>
      </c>
      <c r="P1" s="114" t="s">
        <v>171</v>
      </c>
      <c r="Q1" s="114" t="s">
        <v>171</v>
      </c>
      <c r="R1" s="114" t="s">
        <v>171</v>
      </c>
      <c r="S1" s="115" t="s">
        <v>171</v>
      </c>
      <c r="T1" s="108" t="s">
        <v>172</v>
      </c>
      <c r="U1" s="107" t="s">
        <v>172</v>
      </c>
      <c r="V1" s="107" t="s">
        <v>172</v>
      </c>
      <c r="W1" s="107" t="s">
        <v>172</v>
      </c>
      <c r="X1" s="122" t="s">
        <v>172</v>
      </c>
      <c r="Y1" s="124" t="s">
        <v>173</v>
      </c>
      <c r="Z1" s="107" t="s">
        <v>173</v>
      </c>
      <c r="AA1" s="119" t="s">
        <v>173</v>
      </c>
      <c r="AB1" s="122" t="s">
        <v>173</v>
      </c>
      <c r="AC1" s="124" t="s">
        <v>174</v>
      </c>
      <c r="AD1" s="119" t="s">
        <v>174</v>
      </c>
      <c r="AE1" s="119" t="s">
        <v>174</v>
      </c>
      <c r="AF1" s="120" t="s">
        <v>174</v>
      </c>
      <c r="AG1" s="108" t="s">
        <v>175</v>
      </c>
      <c r="AH1" s="107" t="s">
        <v>175</v>
      </c>
      <c r="AI1" s="107" t="s">
        <v>175</v>
      </c>
      <c r="AJ1" s="107" t="s">
        <v>175</v>
      </c>
      <c r="AK1" s="110" t="s">
        <v>175</v>
      </c>
      <c r="AL1" s="110" t="s">
        <v>175</v>
      </c>
      <c r="AM1" s="112" t="s">
        <v>176</v>
      </c>
      <c r="AN1" s="114" t="s">
        <v>176</v>
      </c>
      <c r="AO1" s="114" t="s">
        <v>176</v>
      </c>
      <c r="AP1" s="114" t="s">
        <v>176</v>
      </c>
      <c r="AQ1" s="114" t="s">
        <v>176</v>
      </c>
      <c r="AR1" s="119" t="s">
        <v>176</v>
      </c>
      <c r="AS1" s="119" t="s">
        <v>176</v>
      </c>
      <c r="AT1" s="120" t="s">
        <v>176</v>
      </c>
    </row>
    <row r="2" s="94" customFormat="1">
      <c r="A2" s="100" t="s">
        <v>1</v>
      </c>
      <c r="B2" s="100" t="s">
        <v>0</v>
      </c>
      <c r="C2" s="100" t="s">
        <v>143</v>
      </c>
      <c r="D2" s="100" t="s">
        <v>177</v>
      </c>
      <c r="E2" s="100" t="s">
        <v>178</v>
      </c>
      <c r="F2" s="100" t="s">
        <v>179</v>
      </c>
      <c r="G2" s="100" t="s">
        <v>180</v>
      </c>
      <c r="H2" s="100" t="s">
        <v>181</v>
      </c>
      <c r="I2" s="100" t="s">
        <v>182</v>
      </c>
      <c r="J2" s="118" t="s">
        <v>183</v>
      </c>
      <c r="K2" s="96" t="s">
        <v>184</v>
      </c>
      <c r="L2" s="96" t="s">
        <v>185</v>
      </c>
      <c r="M2" s="121" t="s">
        <v>186</v>
      </c>
      <c r="N2" s="113" t="s">
        <v>187</v>
      </c>
      <c r="O2" s="100" t="s">
        <v>188</v>
      </c>
      <c r="P2" s="100" t="s">
        <v>189</v>
      </c>
      <c r="Q2" s="100" t="s">
        <v>190</v>
      </c>
      <c r="R2" s="100" t="s">
        <v>191</v>
      </c>
      <c r="S2" s="116" t="s">
        <v>192</v>
      </c>
      <c r="T2" s="109" t="s">
        <v>193</v>
      </c>
      <c r="U2" s="100" t="s">
        <v>194</v>
      </c>
      <c r="V2" s="100" t="s">
        <v>195</v>
      </c>
      <c r="W2" s="100" t="s">
        <v>196</v>
      </c>
      <c r="X2" s="123" t="s">
        <v>197</v>
      </c>
      <c r="Y2" s="125" t="s">
        <v>198</v>
      </c>
      <c r="Z2" s="100" t="s">
        <v>199</v>
      </c>
      <c r="AA2" s="96" t="s">
        <v>200</v>
      </c>
      <c r="AB2" s="123" t="s">
        <v>201</v>
      </c>
      <c r="AC2" s="125" t="s">
        <v>202</v>
      </c>
      <c r="AD2" s="96" t="s">
        <v>203</v>
      </c>
      <c r="AE2" s="96" t="s">
        <v>204</v>
      </c>
      <c r="AF2" s="121" t="s">
        <v>205</v>
      </c>
      <c r="AG2" s="109" t="s">
        <v>206</v>
      </c>
      <c r="AH2" s="100" t="s">
        <v>162</v>
      </c>
      <c r="AI2" s="100" t="s">
        <v>207</v>
      </c>
      <c r="AJ2" s="100" t="s">
        <v>208</v>
      </c>
      <c r="AK2" s="111" t="s">
        <v>209</v>
      </c>
      <c r="AL2" s="111" t="s">
        <v>210</v>
      </c>
      <c r="AM2" s="113" t="s">
        <v>211</v>
      </c>
      <c r="AN2" s="100" t="s">
        <v>212</v>
      </c>
      <c r="AO2" s="100" t="s">
        <v>213</v>
      </c>
      <c r="AP2" s="100" t="s">
        <v>214</v>
      </c>
      <c r="AQ2" s="100" t="s">
        <v>215</v>
      </c>
      <c r="AR2" s="96" t="s">
        <v>216</v>
      </c>
      <c r="AS2" s="96" t="s">
        <v>217</v>
      </c>
      <c r="AT2" s="121" t="s">
        <v>218</v>
      </c>
    </row>
    <row r="3">
      <c r="A3" s="0" t="s">
        <v>7</v>
      </c>
      <c r="B3" s="0" t="s">
        <v>6</v>
      </c>
      <c r="C3" s="0" t="s">
        <v>219</v>
      </c>
      <c r="D3" s="0" t="s">
        <v>220</v>
      </c>
      <c r="E3" s="99">
        <v>2</v>
      </c>
      <c r="F3" s="99">
        <v>7985</v>
      </c>
      <c r="G3" s="0" t="s">
        <v>221</v>
      </c>
      <c r="H3" s="0" t="s">
        <v>222</v>
      </c>
      <c r="I3" s="0" t="s">
        <v>223</v>
      </c>
      <c r="J3" s="95">
        <v>1.1399999856948853</v>
      </c>
      <c r="K3" s="95">
        <v>92.5</v>
      </c>
      <c r="L3" s="95">
        <v>0.5</v>
      </c>
      <c r="M3" s="95">
        <v>7</v>
      </c>
      <c r="N3" s="99"/>
      <c r="O3" s="99">
        <v>4276</v>
      </c>
      <c r="P3" s="99">
        <v>82</v>
      </c>
      <c r="Q3" s="99">
        <v>0</v>
      </c>
      <c r="R3" s="99">
        <v>395</v>
      </c>
      <c r="S3" s="99">
        <v>3230</v>
      </c>
      <c r="T3" s="0" t="s">
        <v>224</v>
      </c>
      <c r="U3" s="0" t="s">
        <v>225</v>
      </c>
      <c r="V3" s="0" t="s">
        <v>226</v>
      </c>
      <c r="W3" s="0" t="s">
        <v>227</v>
      </c>
      <c r="X3" s="95" t="s">
        <v>228</v>
      </c>
      <c r="Y3" s="95">
        <v>115.8125</v>
      </c>
      <c r="Z3" s="0">
        <v>2.4375</v>
      </c>
      <c r="AA3" s="95">
        <v>-9.5367431640625E-07</v>
      </c>
      <c r="AB3" s="95">
        <v>113.16722106933594</v>
      </c>
      <c r="AC3" s="95">
        <v>1996</v>
      </c>
      <c r="AD3" s="95">
        <v>1996</v>
      </c>
      <c r="AE3" s="95">
        <v>1996</v>
      </c>
      <c r="AF3" s="95">
        <v>1542.0010681152344</v>
      </c>
      <c r="AG3" s="0" t="s">
        <v>229</v>
      </c>
      <c r="AH3" s="0" t="s">
        <v>230</v>
      </c>
      <c r="AK3" s="0" t="s">
        <v>231</v>
      </c>
      <c r="AM3" s="99"/>
      <c r="AN3" s="99"/>
      <c r="AO3" s="99">
        <v>16000000</v>
      </c>
      <c r="AP3" s="99">
        <v>16000000</v>
      </c>
      <c r="AQ3" s="99">
        <v>2</v>
      </c>
      <c r="AR3" s="95">
        <v>1</v>
      </c>
      <c r="AS3" s="95">
        <v>0</v>
      </c>
      <c r="AT3" s="95">
        <v>500</v>
      </c>
    </row>
    <row r="4">
      <c r="A4" s="0" t="s">
        <v>89</v>
      </c>
      <c r="B4" s="0" t="s">
        <v>6</v>
      </c>
      <c r="C4" s="0" t="s">
        <v>219</v>
      </c>
      <c r="D4" s="0" t="s">
        <v>220</v>
      </c>
      <c r="E4" s="99">
        <v>2</v>
      </c>
      <c r="F4" s="99">
        <v>7985</v>
      </c>
      <c r="G4" s="0" t="s">
        <v>221</v>
      </c>
      <c r="H4" s="0" t="s">
        <v>222</v>
      </c>
      <c r="I4" s="0" t="s">
        <v>223</v>
      </c>
      <c r="J4" s="95">
        <v>0.52999997138977051</v>
      </c>
      <c r="K4" s="95">
        <v>94.9499969482422</v>
      </c>
      <c r="L4" s="95">
        <v>1.0099999904632568</v>
      </c>
      <c r="M4" s="95">
        <v>4.0399999618530273</v>
      </c>
      <c r="N4" s="99"/>
      <c r="O4" s="99">
        <v>4325</v>
      </c>
      <c r="P4" s="99">
        <v>64</v>
      </c>
      <c r="Q4" s="99">
        <v>0</v>
      </c>
      <c r="R4" s="99">
        <v>567</v>
      </c>
      <c r="S4" s="99">
        <v>3028</v>
      </c>
      <c r="T4" s="0" t="s">
        <v>224</v>
      </c>
      <c r="U4" s="0" t="s">
        <v>225</v>
      </c>
      <c r="V4" s="0" t="s">
        <v>226</v>
      </c>
      <c r="W4" s="0" t="s">
        <v>227</v>
      </c>
      <c r="X4" s="95" t="s">
        <v>228</v>
      </c>
      <c r="Y4" s="95">
        <v>111.07421875</v>
      </c>
      <c r="Z4" s="0">
        <v>2.4375</v>
      </c>
      <c r="AA4" s="95">
        <v>-9.5367431640625E-07</v>
      </c>
      <c r="AB4" s="95">
        <v>108.39453125</v>
      </c>
      <c r="AC4" s="95">
        <v>1996</v>
      </c>
      <c r="AD4" s="95">
        <v>1996</v>
      </c>
      <c r="AE4" s="95">
        <v>1996</v>
      </c>
      <c r="AF4" s="95">
        <v>1522.5013198852539</v>
      </c>
      <c r="AG4" s="0" t="s">
        <v>229</v>
      </c>
      <c r="AH4" s="0" t="s">
        <v>230</v>
      </c>
      <c r="AK4" s="0" t="s">
        <v>231</v>
      </c>
      <c r="AM4" s="99"/>
      <c r="AN4" s="99"/>
      <c r="AO4" s="99">
        <v>16000000</v>
      </c>
      <c r="AP4" s="99">
        <v>16000000</v>
      </c>
      <c r="AQ4" s="99">
        <v>2</v>
      </c>
      <c r="AR4" s="95">
        <v>1</v>
      </c>
      <c r="AS4" s="95">
        <v>0</v>
      </c>
      <c r="AT4" s="95">
        <v>500</v>
      </c>
    </row>
  </sheetData>
  <autoFilter ref="A2:AT2"/>
  <mergeCells>
    <mergeCell ref="J1:M1"/>
    <mergeCell ref="N1:S1"/>
    <mergeCell ref="T1:X1"/>
    <mergeCell ref="Y1:AB1"/>
    <mergeCell ref="AC1:AF1"/>
    <mergeCell ref="AG1:AL1"/>
    <mergeCell ref="AM1:AT1"/>
  </mergeCells>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
  <sheetViews>
    <sheetView workbookViewId="0">
      <pane ySplit="1" topLeftCell="A2" state="frozen" activePane="bottomLeft"/>
      <selection pane="bottomLeft" activeCell="I3" sqref="I3"/>
    </sheetView>
  </sheetViews>
  <sheetFormatPr defaultRowHeight="15"/>
  <cols>
    <col min="1" max="1" width="17.5784320831299" customWidth="1"/>
    <col min="2" max="2" width="14.1767406463623" customWidth="1"/>
    <col min="3" max="3" width="9.140625" customWidth="1"/>
    <col min="4" max="4" width="9.140625" customWidth="1"/>
    <col min="5" max="5" width="15.7849988937378" customWidth="1"/>
    <col min="6" max="6" width="15.5486707687378" customWidth="1"/>
    <col min="7" max="7" width="20.1309795379639" customWidth="1" style="95"/>
    <col min="8" max="8" width="19.8465690612793" customWidth="1" style="101"/>
    <col min="9" max="9" width="15.5271863937378" customWidth="1" style="103"/>
    <col min="10" max="10" width="10.1970162391663" customWidth="1" style="105"/>
    <col min="11" max="11" width="21.0629920959473" customWidth="1" style="95"/>
    <col min="12" max="12" width="24.2979259490967" customWidth="1" style="99"/>
    <col min="13" max="13" width="14.2371006011963" customWidth="1" style="99"/>
    <col min="14" max="14" width="19.1570224761963" customWidth="1"/>
    <col min="15" max="15" width="28.7032451629639" customWidth="1"/>
    <col min="16" max="16" width="17.0239315032959" customWidth="1"/>
    <col min="17" max="17" width="13.772349357605" customWidth="1"/>
    <col min="18" max="18" width="23.7011985778809" customWidth="1"/>
    <col min="19" max="19" width="109.845329284668" customWidth="1"/>
    <col min="20" max="20" width="91.6112442016602" customWidth="1"/>
    <col min="21" max="21" width="94.2527923583984" customWidth="1"/>
  </cols>
  <sheetData>
    <row r="1" s="94" customFormat="1">
      <c r="A1" s="96" t="s">
        <v>1</v>
      </c>
      <c r="B1" s="96" t="s">
        <v>0</v>
      </c>
      <c r="C1" s="96" t="s">
        <v>141</v>
      </c>
      <c r="D1" s="96" t="s">
        <v>142</v>
      </c>
      <c r="E1" s="96" t="s">
        <v>143</v>
      </c>
      <c r="F1" s="96" t="s">
        <v>144</v>
      </c>
      <c r="G1" s="96" t="s">
        <v>145</v>
      </c>
      <c r="H1" s="102" t="s">
        <v>146</v>
      </c>
      <c r="I1" s="104" t="s">
        <v>147</v>
      </c>
      <c r="J1" s="106" t="s">
        <v>148</v>
      </c>
      <c r="K1" s="96" t="s">
        <v>149</v>
      </c>
      <c r="L1" s="100" t="s">
        <v>150</v>
      </c>
      <c r="M1" s="100" t="s">
        <v>151</v>
      </c>
      <c r="N1" s="94" t="s">
        <v>152</v>
      </c>
      <c r="O1" s="94" t="s">
        <v>153</v>
      </c>
      <c r="P1" s="94" t="s">
        <v>154</v>
      </c>
      <c r="Q1" s="94" t="s">
        <v>155</v>
      </c>
      <c r="R1" s="94" t="s">
        <v>156</v>
      </c>
      <c r="S1" s="94" t="s">
        <v>157</v>
      </c>
      <c r="T1" s="94" t="s">
        <v>158</v>
      </c>
      <c r="U1" s="94" t="s">
        <v>159</v>
      </c>
    </row>
    <row r="2">
      <c r="A2" s="0" t="s">
        <v>7</v>
      </c>
      <c r="B2" s="0" t="s">
        <v>6</v>
      </c>
      <c r="C2" s="0" t="s">
        <v>160</v>
      </c>
      <c r="D2" s="0" t="s">
        <v>161</v>
      </c>
      <c r="E2" s="0" t="s">
        <v>162</v>
      </c>
      <c r="F2" s="0" t="s">
        <v>163</v>
      </c>
      <c r="G2" s="95">
        <v>376.55</v>
      </c>
      <c r="H2" s="101"/>
      <c r="I2" s="103"/>
      <c r="J2" s="105">
        <v>7.23545138888889</v>
      </c>
      <c r="K2" s="95" t="s">
        <v>164</v>
      </c>
      <c r="L2" s="99">
        <v>0.1</v>
      </c>
      <c r="M2" s="99">
        <v>32</v>
      </c>
      <c r="N2" s="0">
        <v>0</v>
      </c>
      <c r="P2" s="0" t="b">
        <v>1</v>
      </c>
      <c r="Q2" s="0" t="b">
        <v>1</v>
      </c>
      <c r="R2" s="0" t="b">
        <v>1</v>
      </c>
      <c r="S2" s="0" t="s">
        <v>165</v>
      </c>
      <c r="T2" s="0" t="s">
        <v>166</v>
      </c>
      <c r="U2" s="0" t="s">
        <v>167</v>
      </c>
    </row>
    <row r="3">
      <c r="A3" s="0" t="s">
        <v>89</v>
      </c>
      <c r="B3" s="0" t="s">
        <v>6</v>
      </c>
      <c r="C3" s="0" t="s">
        <v>160</v>
      </c>
      <c r="D3" s="0" t="s">
        <v>161</v>
      </c>
      <c r="E3" s="0" t="s">
        <v>162</v>
      </c>
      <c r="F3" s="0" t="s">
        <v>163</v>
      </c>
      <c r="G3" s="95">
        <v>406.54</v>
      </c>
      <c r="H3" s="101"/>
      <c r="I3" s="103"/>
      <c r="J3" s="105">
        <v>7.23543981481482</v>
      </c>
      <c r="K3" s="95" t="s">
        <v>168</v>
      </c>
      <c r="L3" s="99">
        <v>0.13</v>
      </c>
      <c r="M3" s="99">
        <v>32</v>
      </c>
      <c r="N3" s="0">
        <v>0</v>
      </c>
      <c r="P3" s="0" t="b">
        <v>1</v>
      </c>
      <c r="Q3" s="0" t="b">
        <v>1</v>
      </c>
      <c r="R3" s="0" t="b">
        <v>1</v>
      </c>
      <c r="S3" s="0" t="s">
        <v>169</v>
      </c>
      <c r="T3" s="0" t="s">
        <v>166</v>
      </c>
      <c r="U3" s="0" t="s">
        <v>167</v>
      </c>
    </row>
  </sheetData>
  <autoFilter ref="A1:P1"/>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5"/>
  <sheetViews>
    <sheetView workbookViewId="0">
      <pane ySplit="1" topLeftCell="A2" state="frozen" activePane="bottomLeft"/>
      <selection pane="bottomLeft" activeCell="A3" sqref="A3"/>
    </sheetView>
  </sheetViews>
  <sheetFormatPr defaultRowHeight="15"/>
  <cols>
    <col min="1" max="1" width="14.1767406463623" customWidth="1"/>
    <col min="2" max="2" width="17.5784320831299" customWidth="1"/>
    <col min="3" max="3" width="23.4886798858643" customWidth="1"/>
    <col min="4" max="4" width="22.8530769348145" customWidth="1"/>
    <col min="5" max="5" width="25.4209728240967" customWidth="1"/>
    <col min="6" max="6" width="12.2032470703125" customWidth="1" style="95"/>
  </cols>
  <sheetData>
    <row r="1" s="94" customFormat="1">
      <c r="A1" s="96" t="s">
        <v>0</v>
      </c>
      <c r="B1" s="96" t="s">
        <v>1</v>
      </c>
      <c r="C1" s="96" t="s">
        <v>2</v>
      </c>
      <c r="D1" s="96" t="s">
        <v>3</v>
      </c>
      <c r="E1" s="96" t="s">
        <v>4</v>
      </c>
      <c r="F1" s="96" t="s">
        <v>5</v>
      </c>
    </row>
    <row r="2">
      <c r="A2" s="0" t="s">
        <v>6</v>
      </c>
      <c r="B2" s="0" t="s">
        <v>7</v>
      </c>
      <c r="C2" s="0" t="s">
        <v>8</v>
      </c>
      <c r="D2" s="0" t="s">
        <v>9</v>
      </c>
      <c r="E2" s="0" t="s">
        <v>10</v>
      </c>
      <c r="F2" s="95">
        <v>376.55</v>
      </c>
    </row>
    <row r="3">
      <c r="A3" s="0" t="s">
        <v>6</v>
      </c>
      <c r="B3" s="0" t="s">
        <v>7</v>
      </c>
      <c r="C3" s="0" t="s">
        <v>11</v>
      </c>
      <c r="D3" s="0" t="s">
        <v>8</v>
      </c>
      <c r="E3" s="0" t="s">
        <v>12</v>
      </c>
      <c r="F3" s="95">
        <v>376.55</v>
      </c>
    </row>
    <row r="4">
      <c r="A4" s="0" t="s">
        <v>6</v>
      </c>
      <c r="B4" s="0" t="s">
        <v>7</v>
      </c>
      <c r="C4" s="0" t="s">
        <v>13</v>
      </c>
      <c r="D4" s="0" t="s">
        <v>11</v>
      </c>
      <c r="E4" s="0" t="s">
        <v>14</v>
      </c>
      <c r="F4" s="95">
        <v>376.55</v>
      </c>
    </row>
    <row r="5">
      <c r="A5" s="0" t="s">
        <v>6</v>
      </c>
      <c r="B5" s="0" t="s">
        <v>7</v>
      </c>
      <c r="C5" s="0" t="s">
        <v>15</v>
      </c>
      <c r="D5" s="0" t="s">
        <v>16</v>
      </c>
      <c r="E5" s="0" t="s">
        <v>17</v>
      </c>
      <c r="F5" s="95">
        <v>376.55</v>
      </c>
    </row>
    <row r="6">
      <c r="A6" s="0" t="s">
        <v>6</v>
      </c>
      <c r="B6" s="0" t="s">
        <v>7</v>
      </c>
      <c r="C6" s="0" t="s">
        <v>18</v>
      </c>
      <c r="D6" s="0" t="s">
        <v>15</v>
      </c>
      <c r="E6" s="0" t="s">
        <v>19</v>
      </c>
      <c r="F6" s="95">
        <v>376.55</v>
      </c>
    </row>
    <row r="7">
      <c r="A7" s="0" t="s">
        <v>6</v>
      </c>
      <c r="B7" s="0" t="s">
        <v>7</v>
      </c>
      <c r="C7" s="0" t="s">
        <v>20</v>
      </c>
      <c r="D7" s="0" t="s">
        <v>21</v>
      </c>
      <c r="E7" s="0" t="s">
        <v>22</v>
      </c>
      <c r="F7" s="95">
        <v>376.55</v>
      </c>
    </row>
    <row r="8">
      <c r="A8" s="0" t="s">
        <v>6</v>
      </c>
      <c r="B8" s="0" t="s">
        <v>7</v>
      </c>
      <c r="C8" s="0" t="s">
        <v>23</v>
      </c>
      <c r="D8" s="0" t="s">
        <v>24</v>
      </c>
      <c r="E8" s="0" t="s">
        <v>25</v>
      </c>
      <c r="F8" s="95">
        <v>376.55</v>
      </c>
    </row>
    <row r="9">
      <c r="A9" s="0" t="s">
        <v>6</v>
      </c>
      <c r="B9" s="0" t="s">
        <v>7</v>
      </c>
      <c r="C9" s="0" t="s">
        <v>26</v>
      </c>
      <c r="D9" s="0" t="s">
        <v>18</v>
      </c>
      <c r="E9" s="0" t="s">
        <v>27</v>
      </c>
      <c r="F9" s="95">
        <v>376.55</v>
      </c>
    </row>
    <row r="10">
      <c r="A10" s="0" t="s">
        <v>6</v>
      </c>
      <c r="B10" s="0" t="s">
        <v>7</v>
      </c>
      <c r="C10" s="0" t="s">
        <v>28</v>
      </c>
      <c r="D10" s="0" t="s">
        <v>26</v>
      </c>
      <c r="E10" s="0" t="s">
        <v>29</v>
      </c>
      <c r="F10" s="95">
        <v>376.55</v>
      </c>
    </row>
    <row r="11">
      <c r="A11" s="0" t="s">
        <v>6</v>
      </c>
      <c r="B11" s="0" t="s">
        <v>7</v>
      </c>
      <c r="C11" s="0" t="s">
        <v>30</v>
      </c>
      <c r="D11" s="0" t="s">
        <v>31</v>
      </c>
      <c r="E11" s="0" t="s">
        <v>32</v>
      </c>
      <c r="F11" s="95">
        <v>376.55</v>
      </c>
    </row>
    <row r="12">
      <c r="A12" s="0" t="s">
        <v>6</v>
      </c>
      <c r="B12" s="0" t="s">
        <v>7</v>
      </c>
      <c r="C12" s="0" t="s">
        <v>33</v>
      </c>
      <c r="D12" s="0" t="s">
        <v>34</v>
      </c>
      <c r="E12" s="0" t="s">
        <v>35</v>
      </c>
      <c r="F12" s="95">
        <v>376.55</v>
      </c>
    </row>
    <row r="13">
      <c r="A13" s="0" t="s">
        <v>6</v>
      </c>
      <c r="B13" s="0" t="s">
        <v>7</v>
      </c>
      <c r="C13" s="0" t="s">
        <v>34</v>
      </c>
      <c r="D13" s="0" t="s">
        <v>36</v>
      </c>
      <c r="E13" s="0" t="s">
        <v>37</v>
      </c>
      <c r="F13" s="95">
        <v>376.55</v>
      </c>
    </row>
    <row r="14">
      <c r="A14" s="0" t="s">
        <v>6</v>
      </c>
      <c r="B14" s="0" t="s">
        <v>7</v>
      </c>
      <c r="C14" s="0" t="s">
        <v>38</v>
      </c>
      <c r="D14" s="0" t="s">
        <v>39</v>
      </c>
      <c r="E14" s="0" t="s">
        <v>40</v>
      </c>
      <c r="F14" s="95">
        <v>376.55</v>
      </c>
    </row>
    <row r="15">
      <c r="A15" s="0" t="s">
        <v>6</v>
      </c>
      <c r="B15" s="0" t="s">
        <v>7</v>
      </c>
      <c r="C15" s="0" t="s">
        <v>36</v>
      </c>
      <c r="D15" s="0" t="s">
        <v>41</v>
      </c>
      <c r="E15" s="0" t="s">
        <v>42</v>
      </c>
      <c r="F15" s="95">
        <v>376.55</v>
      </c>
    </row>
    <row r="16">
      <c r="A16" s="0" t="s">
        <v>6</v>
      </c>
      <c r="B16" s="0" t="s">
        <v>7</v>
      </c>
      <c r="C16" s="0" t="s">
        <v>43</v>
      </c>
      <c r="D16" s="0" t="s">
        <v>44</v>
      </c>
      <c r="E16" s="0" t="s">
        <v>45</v>
      </c>
      <c r="F16" s="95">
        <v>376.55</v>
      </c>
    </row>
    <row r="17">
      <c r="A17" s="0" t="s">
        <v>6</v>
      </c>
      <c r="B17" s="0" t="s">
        <v>7</v>
      </c>
      <c r="C17" s="0" t="s">
        <v>46</v>
      </c>
      <c r="D17" s="0" t="s">
        <v>47</v>
      </c>
      <c r="E17" s="0" t="s">
        <v>48</v>
      </c>
      <c r="F17" s="95">
        <v>376.55</v>
      </c>
    </row>
    <row r="18">
      <c r="A18" s="0" t="s">
        <v>6</v>
      </c>
      <c r="B18" s="0" t="s">
        <v>7</v>
      </c>
      <c r="C18" s="0" t="s">
        <v>49</v>
      </c>
      <c r="D18" s="0" t="s">
        <v>50</v>
      </c>
      <c r="E18" s="0" t="s">
        <v>51</v>
      </c>
      <c r="F18" s="95">
        <v>376.55</v>
      </c>
    </row>
    <row r="19">
      <c r="A19" s="0" t="s">
        <v>6</v>
      </c>
      <c r="B19" s="0" t="s">
        <v>7</v>
      </c>
      <c r="C19" s="0" t="s">
        <v>52</v>
      </c>
      <c r="D19" s="0" t="s">
        <v>53</v>
      </c>
      <c r="E19" s="0" t="s">
        <v>54</v>
      </c>
      <c r="F19" s="95">
        <v>376.55</v>
      </c>
    </row>
    <row r="20">
      <c r="A20" s="0" t="s">
        <v>6</v>
      </c>
      <c r="B20" s="0" t="s">
        <v>7</v>
      </c>
      <c r="C20" s="0" t="s">
        <v>53</v>
      </c>
      <c r="D20" s="0" t="s">
        <v>55</v>
      </c>
      <c r="E20" s="0" t="s">
        <v>56</v>
      </c>
      <c r="F20" s="95">
        <v>376.55</v>
      </c>
    </row>
    <row r="21">
      <c r="A21" s="0" t="s">
        <v>6</v>
      </c>
      <c r="B21" s="0" t="s">
        <v>7</v>
      </c>
      <c r="C21" s="0" t="s">
        <v>57</v>
      </c>
      <c r="D21" s="0" t="s">
        <v>58</v>
      </c>
      <c r="E21" s="0" t="s">
        <v>59</v>
      </c>
      <c r="F21" s="95">
        <v>376.55</v>
      </c>
    </row>
    <row r="22">
      <c r="A22" s="0" t="s">
        <v>6</v>
      </c>
      <c r="B22" s="0" t="s">
        <v>7</v>
      </c>
      <c r="C22" s="0" t="s">
        <v>60</v>
      </c>
      <c r="D22" s="0" t="s">
        <v>61</v>
      </c>
      <c r="E22" s="0" t="s">
        <v>62</v>
      </c>
      <c r="F22" s="95">
        <v>376.55</v>
      </c>
    </row>
    <row r="23">
      <c r="A23" s="0" t="s">
        <v>6</v>
      </c>
      <c r="B23" s="0" t="s">
        <v>7</v>
      </c>
      <c r="C23" s="0" t="s">
        <v>63</v>
      </c>
      <c r="D23" s="0" t="s">
        <v>64</v>
      </c>
      <c r="E23" s="0" t="s">
        <v>65</v>
      </c>
      <c r="F23" s="95">
        <v>376.55</v>
      </c>
    </row>
    <row r="24">
      <c r="A24" s="0" t="s">
        <v>6</v>
      </c>
      <c r="B24" s="0" t="s">
        <v>7</v>
      </c>
      <c r="C24" s="0" t="s">
        <v>66</v>
      </c>
      <c r="D24" s="0" t="s">
        <v>63</v>
      </c>
      <c r="E24" s="0" t="s">
        <v>67</v>
      </c>
      <c r="F24" s="95">
        <v>376.55</v>
      </c>
    </row>
    <row r="25">
      <c r="A25" s="0" t="s">
        <v>6</v>
      </c>
      <c r="B25" s="0" t="s">
        <v>7</v>
      </c>
      <c r="C25" s="0" t="s">
        <v>68</v>
      </c>
      <c r="D25" s="0" t="s">
        <v>69</v>
      </c>
      <c r="E25" s="0" t="s">
        <v>70</v>
      </c>
      <c r="F25" s="95">
        <v>376.55</v>
      </c>
    </row>
    <row r="26">
      <c r="A26" s="0" t="s">
        <v>6</v>
      </c>
      <c r="B26" s="0" t="s">
        <v>7</v>
      </c>
      <c r="C26" s="0" t="s">
        <v>69</v>
      </c>
      <c r="D26" s="0" t="s">
        <v>71</v>
      </c>
      <c r="E26" s="0" t="s">
        <v>72</v>
      </c>
      <c r="F26" s="95">
        <v>376.55</v>
      </c>
    </row>
    <row r="27">
      <c r="A27" s="0" t="s">
        <v>6</v>
      </c>
      <c r="B27" s="0" t="s">
        <v>7</v>
      </c>
      <c r="C27" s="0" t="s">
        <v>73</v>
      </c>
      <c r="D27" s="0" t="s">
        <v>60</v>
      </c>
      <c r="E27" s="0" t="s">
        <v>74</v>
      </c>
      <c r="F27" s="95">
        <v>376.55</v>
      </c>
    </row>
    <row r="28">
      <c r="A28" s="0" t="s">
        <v>6</v>
      </c>
      <c r="B28" s="0" t="s">
        <v>7</v>
      </c>
      <c r="C28" s="0" t="s">
        <v>75</v>
      </c>
      <c r="D28" s="0" t="s">
        <v>76</v>
      </c>
      <c r="E28" s="0" t="s">
        <v>77</v>
      </c>
      <c r="F28" s="95">
        <v>376.55</v>
      </c>
    </row>
    <row r="29">
      <c r="A29" s="0" t="s">
        <v>6</v>
      </c>
      <c r="B29" s="0" t="s">
        <v>7</v>
      </c>
      <c r="C29" s="0" t="s">
        <v>78</v>
      </c>
      <c r="D29" s="0" t="s">
        <v>79</v>
      </c>
      <c r="E29" s="0" t="s">
        <v>80</v>
      </c>
      <c r="F29" s="95">
        <v>376.55</v>
      </c>
    </row>
    <row r="30">
      <c r="A30" s="0" t="s">
        <v>6</v>
      </c>
      <c r="B30" s="0" t="s">
        <v>7</v>
      </c>
      <c r="C30" s="0" t="s">
        <v>81</v>
      </c>
      <c r="D30" s="0" t="s">
        <v>78</v>
      </c>
      <c r="E30" s="0" t="s">
        <v>82</v>
      </c>
      <c r="F30" s="95">
        <v>376.55</v>
      </c>
    </row>
    <row r="31">
      <c r="A31" s="0" t="s">
        <v>6</v>
      </c>
      <c r="B31" s="0" t="s">
        <v>7</v>
      </c>
      <c r="C31" s="0" t="s">
        <v>83</v>
      </c>
      <c r="D31" s="0" t="s">
        <v>81</v>
      </c>
      <c r="E31" s="0" t="s">
        <v>84</v>
      </c>
      <c r="F31" s="95">
        <v>376.55</v>
      </c>
    </row>
    <row r="32">
      <c r="A32" s="0" t="s">
        <v>6</v>
      </c>
      <c r="B32" s="0" t="s">
        <v>7</v>
      </c>
      <c r="C32" s="0" t="s">
        <v>85</v>
      </c>
      <c r="D32" s="0" t="s">
        <v>86</v>
      </c>
      <c r="E32" s="0" t="s">
        <v>87</v>
      </c>
      <c r="F32" s="95">
        <v>376.55</v>
      </c>
    </row>
    <row r="33">
      <c r="A33" s="0" t="s">
        <v>6</v>
      </c>
      <c r="B33" s="0" t="s">
        <v>7</v>
      </c>
      <c r="C33" s="0" t="s">
        <v>9</v>
      </c>
      <c r="D33" s="0" t="s">
        <v>73</v>
      </c>
      <c r="E33" s="0" t="s">
        <v>88</v>
      </c>
      <c r="F33" s="95">
        <v>376.55</v>
      </c>
    </row>
    <row r="34">
      <c r="A34" s="0" t="s">
        <v>6</v>
      </c>
      <c r="B34" s="0" t="s">
        <v>89</v>
      </c>
      <c r="C34" s="0" t="s">
        <v>86</v>
      </c>
      <c r="D34" s="0" t="s">
        <v>90</v>
      </c>
      <c r="E34" s="0" t="s">
        <v>91</v>
      </c>
      <c r="F34" s="95">
        <v>406.54</v>
      </c>
    </row>
    <row r="35">
      <c r="A35" s="0" t="s">
        <v>6</v>
      </c>
      <c r="B35" s="0" t="s">
        <v>89</v>
      </c>
      <c r="C35" s="0" t="s">
        <v>90</v>
      </c>
      <c r="D35" s="0" t="s">
        <v>92</v>
      </c>
      <c r="E35" s="0" t="s">
        <v>93</v>
      </c>
      <c r="F35" s="95">
        <v>406.54</v>
      </c>
    </row>
    <row r="36">
      <c r="A36" s="0" t="s">
        <v>6</v>
      </c>
      <c r="B36" s="0" t="s">
        <v>89</v>
      </c>
      <c r="C36" s="0" t="s">
        <v>16</v>
      </c>
      <c r="D36" s="0" t="s">
        <v>13</v>
      </c>
      <c r="E36" s="0" t="s">
        <v>94</v>
      </c>
      <c r="F36" s="95">
        <v>406.54</v>
      </c>
    </row>
    <row r="37">
      <c r="A37" s="0" t="s">
        <v>6</v>
      </c>
      <c r="B37" s="0" t="s">
        <v>89</v>
      </c>
      <c r="C37" s="0" t="s">
        <v>39</v>
      </c>
      <c r="D37" s="0" t="s">
        <v>23</v>
      </c>
      <c r="E37" s="0" t="s">
        <v>95</v>
      </c>
      <c r="F37" s="95">
        <v>406.54</v>
      </c>
    </row>
    <row r="38">
      <c r="A38" s="0" t="s">
        <v>6</v>
      </c>
      <c r="B38" s="0" t="s">
        <v>89</v>
      </c>
      <c r="C38" s="0" t="s">
        <v>92</v>
      </c>
      <c r="D38" s="0" t="s">
        <v>20</v>
      </c>
      <c r="E38" s="0" t="s">
        <v>96</v>
      </c>
      <c r="F38" s="95">
        <v>406.54</v>
      </c>
    </row>
    <row r="39">
      <c r="A39" s="0" t="s">
        <v>6</v>
      </c>
      <c r="B39" s="0" t="s">
        <v>89</v>
      </c>
      <c r="C39" s="0" t="s">
        <v>21</v>
      </c>
      <c r="D39" s="0" t="s">
        <v>97</v>
      </c>
      <c r="E39" s="0" t="s">
        <v>98</v>
      </c>
      <c r="F39" s="95">
        <v>406.54</v>
      </c>
    </row>
    <row r="40">
      <c r="A40" s="0" t="s">
        <v>6</v>
      </c>
      <c r="B40" s="0" t="s">
        <v>89</v>
      </c>
      <c r="C40" s="0" t="s">
        <v>24</v>
      </c>
      <c r="D40" s="0" t="s">
        <v>85</v>
      </c>
      <c r="E40" s="0" t="s">
        <v>99</v>
      </c>
      <c r="F40" s="95">
        <v>406.54</v>
      </c>
    </row>
    <row r="41">
      <c r="A41" s="0" t="s">
        <v>6</v>
      </c>
      <c r="B41" s="0" t="s">
        <v>89</v>
      </c>
      <c r="C41" s="0" t="s">
        <v>100</v>
      </c>
      <c r="D41" s="0" t="s">
        <v>28</v>
      </c>
      <c r="E41" s="0" t="s">
        <v>101</v>
      </c>
      <c r="F41" s="95">
        <v>406.54</v>
      </c>
    </row>
    <row r="42">
      <c r="A42" s="0" t="s">
        <v>6</v>
      </c>
      <c r="B42" s="0" t="s">
        <v>89</v>
      </c>
      <c r="C42" s="0" t="s">
        <v>97</v>
      </c>
      <c r="D42" s="0" t="s">
        <v>102</v>
      </c>
      <c r="E42" s="0" t="s">
        <v>103</v>
      </c>
      <c r="F42" s="95">
        <v>406.54</v>
      </c>
    </row>
    <row r="43">
      <c r="A43" s="0" t="s">
        <v>6</v>
      </c>
      <c r="B43" s="0" t="s">
        <v>89</v>
      </c>
      <c r="C43" s="0" t="s">
        <v>31</v>
      </c>
      <c r="D43" s="0" t="s">
        <v>100</v>
      </c>
      <c r="E43" s="0" t="s">
        <v>104</v>
      </c>
      <c r="F43" s="95">
        <v>406.54</v>
      </c>
    </row>
    <row r="44">
      <c r="A44" s="0" t="s">
        <v>6</v>
      </c>
      <c r="B44" s="0" t="s">
        <v>89</v>
      </c>
      <c r="C44" s="0" t="s">
        <v>102</v>
      </c>
      <c r="D44" s="0" t="s">
        <v>33</v>
      </c>
      <c r="E44" s="0" t="s">
        <v>105</v>
      </c>
      <c r="F44" s="95">
        <v>406.54</v>
      </c>
    </row>
    <row r="45">
      <c r="A45" s="0" t="s">
        <v>6</v>
      </c>
      <c r="B45" s="0" t="s">
        <v>89</v>
      </c>
      <c r="C45" s="0" t="s">
        <v>106</v>
      </c>
      <c r="D45" s="0" t="s">
        <v>30</v>
      </c>
      <c r="E45" s="0" t="s">
        <v>107</v>
      </c>
      <c r="F45" s="95">
        <v>406.54</v>
      </c>
    </row>
    <row r="46">
      <c r="A46" s="0" t="s">
        <v>6</v>
      </c>
      <c r="B46" s="0" t="s">
        <v>89</v>
      </c>
      <c r="C46" s="0" t="s">
        <v>41</v>
      </c>
      <c r="D46" s="0" t="s">
        <v>43</v>
      </c>
      <c r="E46" s="0" t="s">
        <v>108</v>
      </c>
      <c r="F46" s="95">
        <v>406.54</v>
      </c>
    </row>
    <row r="47">
      <c r="A47" s="0" t="s">
        <v>6</v>
      </c>
      <c r="B47" s="0" t="s">
        <v>89</v>
      </c>
      <c r="C47" s="0" t="s">
        <v>47</v>
      </c>
      <c r="D47" s="0" t="s">
        <v>106</v>
      </c>
      <c r="E47" s="0" t="s">
        <v>109</v>
      </c>
      <c r="F47" s="95">
        <v>406.54</v>
      </c>
    </row>
    <row r="48">
      <c r="A48" s="0" t="s">
        <v>6</v>
      </c>
      <c r="B48" s="0" t="s">
        <v>89</v>
      </c>
      <c r="C48" s="0" t="s">
        <v>44</v>
      </c>
      <c r="D48" s="0" t="s">
        <v>110</v>
      </c>
      <c r="E48" s="0" t="s">
        <v>111</v>
      </c>
      <c r="F48" s="95">
        <v>406.54</v>
      </c>
    </row>
    <row r="49">
      <c r="A49" s="0" t="s">
        <v>6</v>
      </c>
      <c r="B49" s="0" t="s">
        <v>89</v>
      </c>
      <c r="C49" s="0" t="s">
        <v>110</v>
      </c>
      <c r="D49" s="0" t="s">
        <v>52</v>
      </c>
      <c r="E49" s="0" t="s">
        <v>112</v>
      </c>
      <c r="F49" s="95">
        <v>406.54</v>
      </c>
    </row>
    <row r="50">
      <c r="A50" s="0" t="s">
        <v>6</v>
      </c>
      <c r="B50" s="0" t="s">
        <v>89</v>
      </c>
      <c r="C50" s="0" t="s">
        <v>50</v>
      </c>
      <c r="D50" s="0" t="s">
        <v>46</v>
      </c>
      <c r="E50" s="0" t="s">
        <v>113</v>
      </c>
      <c r="F50" s="95">
        <v>406.54</v>
      </c>
    </row>
    <row r="51">
      <c r="A51" s="0" t="s">
        <v>6</v>
      </c>
      <c r="B51" s="0" t="s">
        <v>89</v>
      </c>
      <c r="C51" s="0" t="s">
        <v>61</v>
      </c>
      <c r="D51" s="0" t="s">
        <v>38</v>
      </c>
      <c r="E51" s="0" t="s">
        <v>114</v>
      </c>
      <c r="F51" s="95">
        <v>406.54</v>
      </c>
    </row>
    <row r="52">
      <c r="A52" s="0" t="s">
        <v>6</v>
      </c>
      <c r="B52" s="0" t="s">
        <v>89</v>
      </c>
      <c r="C52" s="0" t="s">
        <v>115</v>
      </c>
      <c r="D52" s="0" t="s">
        <v>49</v>
      </c>
      <c r="E52" s="0" t="s">
        <v>116</v>
      </c>
      <c r="F52" s="95">
        <v>406.54</v>
      </c>
    </row>
    <row r="53">
      <c r="A53" s="0" t="s">
        <v>6</v>
      </c>
      <c r="B53" s="0" t="s">
        <v>89</v>
      </c>
      <c r="C53" s="0" t="s">
        <v>55</v>
      </c>
      <c r="D53" s="0" t="s">
        <v>117</v>
      </c>
      <c r="E53" s="0" t="s">
        <v>118</v>
      </c>
      <c r="F53" s="95">
        <v>406.54</v>
      </c>
    </row>
    <row r="54">
      <c r="A54" s="0" t="s">
        <v>6</v>
      </c>
      <c r="B54" s="0" t="s">
        <v>89</v>
      </c>
      <c r="C54" s="0" t="s">
        <v>58</v>
      </c>
      <c r="D54" s="0" t="s">
        <v>115</v>
      </c>
      <c r="E54" s="0" t="s">
        <v>119</v>
      </c>
      <c r="F54" s="95">
        <v>406.54</v>
      </c>
    </row>
    <row r="55">
      <c r="A55" s="0" t="s">
        <v>6</v>
      </c>
      <c r="B55" s="0" t="s">
        <v>89</v>
      </c>
      <c r="C55" s="0" t="s">
        <v>64</v>
      </c>
      <c r="D55" s="0" t="s">
        <v>57</v>
      </c>
      <c r="E55" s="0" t="s">
        <v>120</v>
      </c>
      <c r="F55" s="95">
        <v>406.54</v>
      </c>
    </row>
    <row r="56">
      <c r="A56" s="0" t="s">
        <v>6</v>
      </c>
      <c r="B56" s="0" t="s">
        <v>89</v>
      </c>
      <c r="C56" s="0" t="s">
        <v>117</v>
      </c>
      <c r="D56" s="0" t="s">
        <v>68</v>
      </c>
      <c r="E56" s="0" t="s">
        <v>121</v>
      </c>
      <c r="F56" s="95">
        <v>406.54</v>
      </c>
    </row>
    <row r="57">
      <c r="A57" s="0" t="s">
        <v>6</v>
      </c>
      <c r="B57" s="0" t="s">
        <v>89</v>
      </c>
      <c r="C57" s="0" t="s">
        <v>122</v>
      </c>
      <c r="D57" s="0" t="s">
        <v>66</v>
      </c>
      <c r="E57" s="0" t="s">
        <v>123</v>
      </c>
      <c r="F57" s="95">
        <v>406.54</v>
      </c>
    </row>
    <row r="58">
      <c r="A58" s="0" t="s">
        <v>6</v>
      </c>
      <c r="B58" s="0" t="s">
        <v>89</v>
      </c>
      <c r="C58" s="0" t="s">
        <v>124</v>
      </c>
      <c r="D58" s="0" t="s">
        <v>122</v>
      </c>
      <c r="E58" s="0" t="s">
        <v>125</v>
      </c>
      <c r="F58" s="95">
        <v>406.54</v>
      </c>
    </row>
    <row r="59">
      <c r="A59" s="0" t="s">
        <v>6</v>
      </c>
      <c r="B59" s="0" t="s">
        <v>89</v>
      </c>
      <c r="C59" s="0" t="s">
        <v>71</v>
      </c>
      <c r="D59" s="0" t="s">
        <v>126</v>
      </c>
      <c r="E59" s="0" t="s">
        <v>127</v>
      </c>
      <c r="F59" s="95">
        <v>406.54</v>
      </c>
    </row>
    <row r="60">
      <c r="A60" s="0" t="s">
        <v>6</v>
      </c>
      <c r="B60" s="0" t="s">
        <v>89</v>
      </c>
      <c r="C60" s="0" t="s">
        <v>126</v>
      </c>
      <c r="D60" s="0" t="s">
        <v>75</v>
      </c>
      <c r="E60" s="0" t="s">
        <v>128</v>
      </c>
      <c r="F60" s="95">
        <v>406.54</v>
      </c>
    </row>
    <row r="61">
      <c r="A61" s="0" t="s">
        <v>6</v>
      </c>
      <c r="B61" s="0" t="s">
        <v>89</v>
      </c>
      <c r="C61" s="0" t="s">
        <v>76</v>
      </c>
      <c r="D61" s="0" t="s">
        <v>129</v>
      </c>
      <c r="E61" s="0" t="s">
        <v>130</v>
      </c>
      <c r="F61" s="95">
        <v>406.54</v>
      </c>
    </row>
    <row r="62">
      <c r="A62" s="0" t="s">
        <v>6</v>
      </c>
      <c r="B62" s="0" t="s">
        <v>89</v>
      </c>
      <c r="C62" s="0" t="s">
        <v>131</v>
      </c>
      <c r="D62" s="0" t="s">
        <v>124</v>
      </c>
      <c r="E62" s="0" t="s">
        <v>132</v>
      </c>
      <c r="F62" s="95">
        <v>406.54</v>
      </c>
    </row>
    <row r="63">
      <c r="A63" s="0" t="s">
        <v>6</v>
      </c>
      <c r="B63" s="0" t="s">
        <v>89</v>
      </c>
      <c r="C63" s="0" t="s">
        <v>129</v>
      </c>
      <c r="D63" s="0" t="s">
        <v>133</v>
      </c>
      <c r="E63" s="0" t="s">
        <v>134</v>
      </c>
      <c r="F63" s="95">
        <v>406.54</v>
      </c>
    </row>
    <row r="64">
      <c r="A64" s="0" t="s">
        <v>6</v>
      </c>
      <c r="B64" s="0" t="s">
        <v>89</v>
      </c>
      <c r="C64" s="0" t="s">
        <v>79</v>
      </c>
      <c r="D64" s="0" t="s">
        <v>131</v>
      </c>
      <c r="E64" s="0" t="s">
        <v>135</v>
      </c>
      <c r="F64" s="95">
        <v>406.54</v>
      </c>
    </row>
    <row r="65">
      <c r="A65" s="0" t="s">
        <v>6</v>
      </c>
      <c r="B65" s="0" t="s">
        <v>89</v>
      </c>
      <c r="C65" s="0" t="s">
        <v>133</v>
      </c>
      <c r="D65" s="0" t="s">
        <v>83</v>
      </c>
      <c r="E65" s="0" t="s">
        <v>136</v>
      </c>
      <c r="F65" s="95">
        <v>406.54</v>
      </c>
    </row>
  </sheetData>
  <autoFilter ref="A1:F1"/>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32"/>
  <sheetViews>
    <sheetView workbookViewId="0">
      <pane ySplit="1" topLeftCell="A2" state="frozen" activePane="bottomLeft"/>
      <selection pane="bottomLeft" activeCell="A2" sqref="A2"/>
    </sheetView>
  </sheetViews>
  <sheetFormatPr defaultRowHeight="15"/>
  <cols>
    <col min="1" max="1" width="14.1767406463623" customWidth="1"/>
    <col min="2" max="2" width="17.5784320831299" customWidth="1"/>
    <col min="3" max="3" width="12.6912488937378" customWidth="1"/>
    <col min="4" max="4" width="67.9651412963867" customWidth="1"/>
  </cols>
  <sheetData>
    <row r="1" s="94" customFormat="1">
      <c r="A1" s="94" t="s">
        <v>0</v>
      </c>
      <c r="B1" s="94" t="s">
        <v>1</v>
      </c>
      <c r="C1" s="94" t="s">
        <v>232</v>
      </c>
      <c r="D1" s="94" t="s">
        <v>233</v>
      </c>
      <c r="E1" s="94" t="s">
        <v>234</v>
      </c>
    </row>
    <row r="2">
      <c r="A2" s="0" t="s">
        <v>6</v>
      </c>
      <c r="B2" s="0" t="s">
        <v>235</v>
      </c>
      <c r="C2" s="0" t="s">
        <v>236</v>
      </c>
      <c r="D2" s="0" t="s">
        <v>237</v>
      </c>
      <c r="E2" s="0" t="s">
        <v>238</v>
      </c>
    </row>
    <row r="3">
      <c r="A3" s="0" t="s">
        <v>6</v>
      </c>
      <c r="B3" s="0" t="s">
        <v>235</v>
      </c>
      <c r="C3" s="0" t="s">
        <v>236</v>
      </c>
      <c r="D3" s="0" t="s">
        <v>239</v>
      </c>
      <c r="E3" s="0" t="s">
        <v>240</v>
      </c>
    </row>
    <row r="4">
      <c r="A4" s="0" t="s">
        <v>6</v>
      </c>
      <c r="B4" s="0" t="s">
        <v>235</v>
      </c>
      <c r="C4" s="0" t="s">
        <v>236</v>
      </c>
      <c r="D4" s="0" t="s">
        <v>241</v>
      </c>
      <c r="E4" s="0" t="b">
        <v>0</v>
      </c>
    </row>
    <row r="5">
      <c r="A5" s="0" t="s">
        <v>6</v>
      </c>
      <c r="B5" s="0" t="s">
        <v>235</v>
      </c>
      <c r="C5" s="0" t="s">
        <v>236</v>
      </c>
      <c r="D5" s="0" t="s">
        <v>242</v>
      </c>
      <c r="E5" s="0" t="b">
        <v>1</v>
      </c>
    </row>
    <row r="6">
      <c r="A6" s="0" t="s">
        <v>6</v>
      </c>
      <c r="B6" s="0" t="s">
        <v>235</v>
      </c>
      <c r="C6" s="0" t="s">
        <v>236</v>
      </c>
      <c r="D6" s="0" t="s">
        <v>243</v>
      </c>
      <c r="E6" s="0">
        <v>640</v>
      </c>
    </row>
    <row r="7">
      <c r="A7" s="0" t="s">
        <v>6</v>
      </c>
      <c r="B7" s="0" t="s">
        <v>235</v>
      </c>
      <c r="C7" s="0" t="s">
        <v>236</v>
      </c>
      <c r="D7" s="0" t="s">
        <v>244</v>
      </c>
      <c r="E7" s="0">
        <v>64</v>
      </c>
    </row>
    <row r="8">
      <c r="A8" s="0" t="s">
        <v>6</v>
      </c>
      <c r="B8" s="0" t="s">
        <v>235</v>
      </c>
      <c r="C8" s="0" t="s">
        <v>236</v>
      </c>
      <c r="D8" s="0" t="s">
        <v>245</v>
      </c>
      <c r="E8" s="0">
        <v>1024</v>
      </c>
    </row>
    <row r="9">
      <c r="A9" s="0" t="s">
        <v>6</v>
      </c>
      <c r="B9" s="0" t="s">
        <v>235</v>
      </c>
      <c r="C9" s="0" t="s">
        <v>236</v>
      </c>
      <c r="D9" s="0" t="s">
        <v>246</v>
      </c>
      <c r="E9" s="0" t="b">
        <v>1</v>
      </c>
    </row>
    <row r="10">
      <c r="A10" s="0" t="s">
        <v>6</v>
      </c>
      <c r="B10" s="0" t="s">
        <v>235</v>
      </c>
      <c r="C10" s="0" t="s">
        <v>236</v>
      </c>
      <c r="D10" s="0" t="s">
        <v>247</v>
      </c>
      <c r="E10" s="0">
        <v>1000</v>
      </c>
    </row>
    <row r="11">
      <c r="A11" s="0" t="s">
        <v>6</v>
      </c>
      <c r="B11" s="0" t="s">
        <v>235</v>
      </c>
      <c r="C11" s="0" t="s">
        <v>236</v>
      </c>
      <c r="D11" s="0" t="s">
        <v>248</v>
      </c>
      <c r="E11" s="0" t="b">
        <v>0</v>
      </c>
    </row>
    <row r="12">
      <c r="A12" s="0" t="s">
        <v>6</v>
      </c>
      <c r="B12" s="0" t="s">
        <v>235</v>
      </c>
      <c r="C12" s="0" t="s">
        <v>236</v>
      </c>
      <c r="D12" s="0" t="s">
        <v>249</v>
      </c>
      <c r="E12" s="0" t="s">
        <v>163</v>
      </c>
    </row>
    <row r="13">
      <c r="A13" s="0" t="s">
        <v>6</v>
      </c>
      <c r="B13" s="0" t="s">
        <v>235</v>
      </c>
      <c r="C13" s="0" t="s">
        <v>236</v>
      </c>
      <c r="D13" s="0" t="s">
        <v>250</v>
      </c>
      <c r="E13" s="0">
        <v>64</v>
      </c>
    </row>
    <row r="14">
      <c r="A14" s="0" t="s">
        <v>6</v>
      </c>
      <c r="B14" s="0" t="s">
        <v>235</v>
      </c>
      <c r="C14" s="0" t="s">
        <v>236</v>
      </c>
      <c r="D14" s="0" t="s">
        <v>251</v>
      </c>
      <c r="E14" s="0" t="s">
        <v>252</v>
      </c>
    </row>
    <row r="15">
      <c r="A15" s="0" t="s">
        <v>6</v>
      </c>
      <c r="B15" s="0" t="s">
        <v>235</v>
      </c>
      <c r="C15" s="0" t="s">
        <v>236</v>
      </c>
      <c r="D15" s="0" t="s">
        <v>253</v>
      </c>
      <c r="E15" s="0" t="s">
        <v>254</v>
      </c>
    </row>
    <row r="16">
      <c r="A16" s="0" t="s">
        <v>6</v>
      </c>
      <c r="B16" s="0" t="s">
        <v>235</v>
      </c>
      <c r="C16" s="0" t="s">
        <v>236</v>
      </c>
      <c r="D16" s="0" t="s">
        <v>255</v>
      </c>
      <c r="E16" s="0">
        <v>32</v>
      </c>
    </row>
    <row r="17">
      <c r="A17" s="0" t="s">
        <v>6</v>
      </c>
      <c r="B17" s="0" t="s">
        <v>235</v>
      </c>
      <c r="C17" s="0" t="s">
        <v>236</v>
      </c>
      <c r="D17" s="0" t="s">
        <v>256</v>
      </c>
      <c r="E17" s="0" t="s">
        <v>257</v>
      </c>
    </row>
    <row r="18">
      <c r="A18" s="0" t="s">
        <v>6</v>
      </c>
      <c r="B18" s="0" t="s">
        <v>235</v>
      </c>
      <c r="C18" s="0" t="s">
        <v>236</v>
      </c>
      <c r="D18" s="0" t="s">
        <v>258</v>
      </c>
      <c r="E18" s="0">
        <v>10000</v>
      </c>
    </row>
    <row r="19">
      <c r="A19" s="0" t="s">
        <v>6</v>
      </c>
      <c r="B19" s="0" t="s">
        <v>235</v>
      </c>
      <c r="C19" s="0" t="s">
        <v>236</v>
      </c>
      <c r="D19" s="0" t="s">
        <v>259</v>
      </c>
      <c r="E19" s="0">
        <v>8192</v>
      </c>
    </row>
    <row r="20">
      <c r="A20" s="0" t="s">
        <v>6</v>
      </c>
      <c r="B20" s="0" t="s">
        <v>235</v>
      </c>
      <c r="C20" s="0" t="s">
        <v>236</v>
      </c>
      <c r="D20" s="0" t="s">
        <v>260</v>
      </c>
      <c r="E20" s="0">
        <v>100</v>
      </c>
    </row>
    <row r="21">
      <c r="A21" s="0" t="s">
        <v>6</v>
      </c>
      <c r="B21" s="0" t="s">
        <v>235</v>
      </c>
      <c r="C21" s="0" t="s">
        <v>236</v>
      </c>
      <c r="D21" s="0" t="s">
        <v>261</v>
      </c>
      <c r="E21" s="0">
        <v>16</v>
      </c>
    </row>
    <row r="22">
      <c r="A22" s="0" t="s">
        <v>6</v>
      </c>
      <c r="B22" s="0" t="s">
        <v>235</v>
      </c>
      <c r="C22" s="0" t="s">
        <v>236</v>
      </c>
      <c r="D22" s="0" t="s">
        <v>262</v>
      </c>
      <c r="E22" s="0">
        <v>32</v>
      </c>
    </row>
    <row r="23">
      <c r="A23" s="0" t="s">
        <v>6</v>
      </c>
      <c r="B23" s="0" t="s">
        <v>235</v>
      </c>
      <c r="C23" s="0" t="s">
        <v>236</v>
      </c>
      <c r="D23" s="0" t="s">
        <v>263</v>
      </c>
      <c r="E23" s="0">
        <v>32</v>
      </c>
    </row>
    <row r="24">
      <c r="A24" s="0" t="s">
        <v>6</v>
      </c>
      <c r="B24" s="0" t="s">
        <v>235</v>
      </c>
      <c r="C24" s="0" t="s">
        <v>236</v>
      </c>
      <c r="D24" s="0" t="s">
        <v>264</v>
      </c>
      <c r="E24" s="0">
        <v>32</v>
      </c>
    </row>
    <row r="25">
      <c r="A25" s="0" t="s">
        <v>6</v>
      </c>
      <c r="B25" s="0" t="s">
        <v>235</v>
      </c>
      <c r="C25" s="0" t="s">
        <v>236</v>
      </c>
      <c r="D25" s="0" t="s">
        <v>265</v>
      </c>
      <c r="E25" s="0">
        <v>32</v>
      </c>
    </row>
    <row r="26">
      <c r="A26" s="0" t="s">
        <v>6</v>
      </c>
      <c r="B26" s="0" t="s">
        <v>235</v>
      </c>
      <c r="C26" s="0" t="s">
        <v>236</v>
      </c>
      <c r="D26" s="0" t="s">
        <v>266</v>
      </c>
      <c r="E26" s="0">
        <v>7200</v>
      </c>
    </row>
    <row r="27">
      <c r="A27" s="0" t="s">
        <v>6</v>
      </c>
      <c r="B27" s="0" t="s">
        <v>235</v>
      </c>
      <c r="C27" s="0" t="s">
        <v>236</v>
      </c>
      <c r="D27" s="0" t="s">
        <v>267</v>
      </c>
      <c r="E27" s="0">
        <v>5000</v>
      </c>
    </row>
    <row r="28">
      <c r="A28" s="0" t="s">
        <v>6</v>
      </c>
      <c r="B28" s="0" t="s">
        <v>235</v>
      </c>
      <c r="C28" s="0" t="s">
        <v>236</v>
      </c>
      <c r="D28" s="0" t="s">
        <v>268</v>
      </c>
      <c r="E28" s="0" t="b">
        <v>0</v>
      </c>
    </row>
    <row r="29">
      <c r="A29" s="0" t="s">
        <v>6</v>
      </c>
      <c r="B29" s="0" t="s">
        <v>235</v>
      </c>
      <c r="C29" s="0" t="s">
        <v>236</v>
      </c>
      <c r="D29" s="0" t="s">
        <v>269</v>
      </c>
      <c r="E29" s="0" t="s">
        <v>270</v>
      </c>
    </row>
    <row r="30">
      <c r="A30" s="0" t="s">
        <v>6</v>
      </c>
      <c r="B30" s="0" t="s">
        <v>235</v>
      </c>
      <c r="C30" s="0" t="s">
        <v>236</v>
      </c>
      <c r="D30" s="0" t="s">
        <v>271</v>
      </c>
      <c r="E30" s="0" t="s">
        <v>252</v>
      </c>
    </row>
    <row r="31">
      <c r="A31" s="0" t="s">
        <v>6</v>
      </c>
      <c r="B31" s="0" t="s">
        <v>235</v>
      </c>
      <c r="C31" s="0" t="s">
        <v>236</v>
      </c>
      <c r="D31" s="0" t="s">
        <v>272</v>
      </c>
      <c r="E31" s="0" t="s">
        <v>273</v>
      </c>
    </row>
    <row r="32">
      <c r="A32" s="0" t="s">
        <v>6</v>
      </c>
      <c r="B32" s="0" t="s">
        <v>235</v>
      </c>
      <c r="C32" s="0" t="s">
        <v>236</v>
      </c>
      <c r="D32" s="0" t="s">
        <v>274</v>
      </c>
      <c r="E32" s="0">
        <v>0.1</v>
      </c>
    </row>
    <row r="33">
      <c r="A33" s="0" t="s">
        <v>6</v>
      </c>
      <c r="B33" s="0" t="s">
        <v>235</v>
      </c>
      <c r="C33" s="0" t="s">
        <v>236</v>
      </c>
      <c r="D33" s="0" t="s">
        <v>275</v>
      </c>
      <c r="E33" s="0">
        <v>600000</v>
      </c>
    </row>
    <row r="34">
      <c r="A34" s="0" t="s">
        <v>6</v>
      </c>
      <c r="B34" s="0" t="s">
        <v>235</v>
      </c>
      <c r="C34" s="0" t="s">
        <v>236</v>
      </c>
      <c r="D34" s="0" t="s">
        <v>276</v>
      </c>
      <c r="E34" s="0">
        <v>100</v>
      </c>
    </row>
    <row r="35">
      <c r="A35" s="0" t="s">
        <v>6</v>
      </c>
      <c r="B35" s="0" t="s">
        <v>235</v>
      </c>
      <c r="C35" s="0" t="s">
        <v>236</v>
      </c>
      <c r="D35" s="0" t="s">
        <v>277</v>
      </c>
      <c r="E35" s="0" t="b">
        <v>0</v>
      </c>
    </row>
    <row r="36">
      <c r="A36" s="0" t="s">
        <v>6</v>
      </c>
      <c r="B36" s="0" t="s">
        <v>235</v>
      </c>
      <c r="C36" s="0" t="s">
        <v>236</v>
      </c>
      <c r="D36" s="0" t="s">
        <v>278</v>
      </c>
      <c r="E36" s="0" t="b">
        <v>0</v>
      </c>
    </row>
    <row r="37">
      <c r="A37" s="0" t="s">
        <v>6</v>
      </c>
      <c r="B37" s="0" t="s">
        <v>235</v>
      </c>
      <c r="C37" s="0" t="s">
        <v>236</v>
      </c>
      <c r="D37" s="0" t="s">
        <v>279</v>
      </c>
      <c r="E37" s="0" t="s">
        <v>280</v>
      </c>
    </row>
    <row r="38">
      <c r="A38" s="0" t="s">
        <v>6</v>
      </c>
      <c r="B38" s="0" t="s">
        <v>235</v>
      </c>
      <c r="C38" s="0" t="s">
        <v>236</v>
      </c>
      <c r="D38" s="0" t="s">
        <v>281</v>
      </c>
      <c r="E38" s="0">
        <v>1000</v>
      </c>
    </row>
    <row r="39">
      <c r="A39" s="0" t="s">
        <v>6</v>
      </c>
      <c r="B39" s="0" t="s">
        <v>235</v>
      </c>
      <c r="C39" s="0" t="s">
        <v>236</v>
      </c>
      <c r="D39" s="0" t="s">
        <v>282</v>
      </c>
      <c r="E39" s="0" t="b">
        <v>1</v>
      </c>
    </row>
    <row r="40">
      <c r="A40" s="0" t="s">
        <v>6</v>
      </c>
      <c r="B40" s="0" t="s">
        <v>235</v>
      </c>
      <c r="C40" s="0" t="s">
        <v>236</v>
      </c>
      <c r="D40" s="0" t="s">
        <v>283</v>
      </c>
      <c r="E40" s="0">
        <v>1024</v>
      </c>
    </row>
    <row r="41">
      <c r="A41" s="0" t="s">
        <v>6</v>
      </c>
      <c r="B41" s="0" t="s">
        <v>235</v>
      </c>
      <c r="C41" s="0" t="s">
        <v>236</v>
      </c>
      <c r="D41" s="0" t="s">
        <v>284</v>
      </c>
      <c r="E41" s="0" t="s">
        <v>285</v>
      </c>
    </row>
    <row r="42">
      <c r="A42" s="0" t="s">
        <v>6</v>
      </c>
      <c r="B42" s="0" t="s">
        <v>235</v>
      </c>
      <c r="C42" s="0" t="s">
        <v>236</v>
      </c>
      <c r="D42" s="0" t="s">
        <v>286</v>
      </c>
      <c r="E42" s="0">
        <v>10000</v>
      </c>
    </row>
    <row r="43">
      <c r="A43" s="0" t="s">
        <v>6</v>
      </c>
      <c r="B43" s="0" t="s">
        <v>235</v>
      </c>
      <c r="C43" s="0" t="s">
        <v>236</v>
      </c>
      <c r="D43" s="0" t="s">
        <v>287</v>
      </c>
      <c r="E43" s="0" t="b">
        <v>0</v>
      </c>
    </row>
    <row r="44">
      <c r="A44" s="0" t="s">
        <v>6</v>
      </c>
      <c r="B44" s="0" t="s">
        <v>235</v>
      </c>
      <c r="C44" s="0" t="s">
        <v>236</v>
      </c>
      <c r="D44" s="0" t="s">
        <v>288</v>
      </c>
      <c r="E44" s="0">
        <v>60</v>
      </c>
    </row>
    <row r="45">
      <c r="A45" s="0" t="s">
        <v>6</v>
      </c>
      <c r="B45" s="0" t="s">
        <v>235</v>
      </c>
      <c r="C45" s="0" t="s">
        <v>236</v>
      </c>
      <c r="D45" s="0" t="s">
        <v>289</v>
      </c>
      <c r="E45" s="0" t="b">
        <v>0</v>
      </c>
    </row>
    <row r="46">
      <c r="A46" s="0" t="s">
        <v>6</v>
      </c>
      <c r="B46" s="0" t="s">
        <v>235</v>
      </c>
      <c r="C46" s="0" t="s">
        <v>236</v>
      </c>
      <c r="D46" s="0" t="s">
        <v>290</v>
      </c>
      <c r="E46" s="0" t="s">
        <v>291</v>
      </c>
    </row>
    <row r="47">
      <c r="A47" s="0" t="s">
        <v>6</v>
      </c>
      <c r="B47" s="0" t="s">
        <v>235</v>
      </c>
      <c r="C47" s="0" t="s">
        <v>236</v>
      </c>
      <c r="D47" s="0" t="s">
        <v>292</v>
      </c>
      <c r="E47" s="0" t="s">
        <v>293</v>
      </c>
    </row>
    <row r="48">
      <c r="A48" s="0" t="s">
        <v>6</v>
      </c>
      <c r="B48" s="0" t="s">
        <v>235</v>
      </c>
      <c r="C48" s="0" t="s">
        <v>236</v>
      </c>
      <c r="D48" s="0" t="s">
        <v>294</v>
      </c>
      <c r="E48" s="0">
        <v>14400</v>
      </c>
    </row>
    <row r="49">
      <c r="A49" s="0" t="s">
        <v>6</v>
      </c>
      <c r="B49" s="0" t="s">
        <v>235</v>
      </c>
      <c r="C49" s="0" t="s">
        <v>236</v>
      </c>
      <c r="D49" s="0" t="s">
        <v>295</v>
      </c>
      <c r="E49" s="0">
        <v>10800000</v>
      </c>
    </row>
    <row r="50">
      <c r="A50" s="0" t="s">
        <v>6</v>
      </c>
      <c r="B50" s="0" t="s">
        <v>235</v>
      </c>
      <c r="C50" s="0" t="s">
        <v>236</v>
      </c>
      <c r="D50" s="0" t="s">
        <v>296</v>
      </c>
      <c r="E50" s="0">
        <v>2</v>
      </c>
    </row>
    <row r="51">
      <c r="A51" s="0" t="s">
        <v>6</v>
      </c>
      <c r="B51" s="0" t="s">
        <v>235</v>
      </c>
      <c r="C51" s="0" t="s">
        <v>236</v>
      </c>
      <c r="D51" s="0" t="s">
        <v>297</v>
      </c>
      <c r="E51" s="0">
        <v>128</v>
      </c>
    </row>
    <row r="52">
      <c r="A52" s="0" t="s">
        <v>6</v>
      </c>
      <c r="B52" s="0" t="s">
        <v>235</v>
      </c>
      <c r="C52" s="0" t="s">
        <v>236</v>
      </c>
      <c r="D52" s="0" t="s">
        <v>298</v>
      </c>
      <c r="E52" s="0">
        <v>256</v>
      </c>
    </row>
    <row r="53">
      <c r="A53" s="0" t="s">
        <v>6</v>
      </c>
      <c r="B53" s="0" t="s">
        <v>235</v>
      </c>
      <c r="C53" s="0" t="s">
        <v>236</v>
      </c>
      <c r="D53" s="0" t="s">
        <v>299</v>
      </c>
      <c r="E53" s="0" t="s">
        <v>300</v>
      </c>
    </row>
    <row r="54">
      <c r="A54" s="0" t="s">
        <v>6</v>
      </c>
      <c r="B54" s="0" t="s">
        <v>235</v>
      </c>
      <c r="C54" s="0" t="s">
        <v>236</v>
      </c>
      <c r="D54" s="0" t="s">
        <v>301</v>
      </c>
      <c r="E54" s="0">
        <v>2048</v>
      </c>
    </row>
    <row r="55">
      <c r="A55" s="0" t="s">
        <v>6</v>
      </c>
      <c r="B55" s="0" t="s">
        <v>235</v>
      </c>
      <c r="C55" s="0" t="s">
        <v>236</v>
      </c>
      <c r="D55" s="0" t="s">
        <v>302</v>
      </c>
      <c r="E55" s="0">
        <v>2048</v>
      </c>
    </row>
    <row r="56">
      <c r="A56" s="0" t="s">
        <v>6</v>
      </c>
      <c r="B56" s="0" t="s">
        <v>235</v>
      </c>
      <c r="C56" s="0" t="s">
        <v>236</v>
      </c>
      <c r="D56" s="0" t="s">
        <v>303</v>
      </c>
      <c r="E56" s="0">
        <v>-1</v>
      </c>
    </row>
    <row r="57">
      <c r="A57" s="0" t="s">
        <v>6</v>
      </c>
      <c r="B57" s="0" t="s">
        <v>235</v>
      </c>
      <c r="C57" s="0" t="s">
        <v>236</v>
      </c>
      <c r="D57" s="0" t="s">
        <v>304</v>
      </c>
      <c r="E57" s="0">
        <v>-1</v>
      </c>
    </row>
    <row r="58">
      <c r="A58" s="0" t="s">
        <v>6</v>
      </c>
      <c r="B58" s="0" t="s">
        <v>235</v>
      </c>
      <c r="C58" s="0" t="s">
        <v>236</v>
      </c>
      <c r="D58" s="0" t="s">
        <v>305</v>
      </c>
      <c r="E58" s="0">
        <v>256</v>
      </c>
    </row>
    <row r="59">
      <c r="A59" s="0" t="s">
        <v>6</v>
      </c>
      <c r="B59" s="0" t="s">
        <v>235</v>
      </c>
      <c r="C59" s="0" t="s">
        <v>236</v>
      </c>
      <c r="D59" s="0" t="s">
        <v>306</v>
      </c>
      <c r="E59" s="0">
        <v>128</v>
      </c>
    </row>
    <row r="60">
      <c r="A60" s="0" t="s">
        <v>6</v>
      </c>
      <c r="B60" s="0" t="s">
        <v>235</v>
      </c>
      <c r="C60" s="0" t="s">
        <v>236</v>
      </c>
      <c r="D60" s="0" t="s">
        <v>307</v>
      </c>
      <c r="E60" s="0">
        <v>9042</v>
      </c>
    </row>
    <row r="61">
      <c r="A61" s="0" t="s">
        <v>6</v>
      </c>
      <c r="B61" s="0" t="s">
        <v>235</v>
      </c>
      <c r="C61" s="0" t="s">
        <v>236</v>
      </c>
      <c r="D61" s="0" t="s">
        <v>308</v>
      </c>
      <c r="E61" s="0">
        <v>32</v>
      </c>
    </row>
    <row r="62">
      <c r="A62" s="0" t="s">
        <v>6</v>
      </c>
      <c r="B62" s="0" t="s">
        <v>235</v>
      </c>
      <c r="C62" s="0" t="s">
        <v>236</v>
      </c>
      <c r="D62" s="0" t="s">
        <v>309</v>
      </c>
      <c r="E62" s="0" t="s">
        <v>310</v>
      </c>
    </row>
    <row r="63">
      <c r="A63" s="0" t="s">
        <v>6</v>
      </c>
      <c r="B63" s="0" t="s">
        <v>235</v>
      </c>
      <c r="C63" s="0" t="s">
        <v>236</v>
      </c>
      <c r="D63" s="0" t="s">
        <v>311</v>
      </c>
      <c r="E63" s="0">
        <v>2000</v>
      </c>
    </row>
    <row r="64">
      <c r="A64" s="0" t="s">
        <v>6</v>
      </c>
      <c r="B64" s="0" t="s">
        <v>235</v>
      </c>
      <c r="C64" s="0" t="s">
        <v>236</v>
      </c>
      <c r="D64" s="0" t="s">
        <v>312</v>
      </c>
      <c r="E64" s="0">
        <v>8</v>
      </c>
    </row>
    <row r="65">
      <c r="A65" s="0" t="s">
        <v>6</v>
      </c>
      <c r="B65" s="0" t="s">
        <v>235</v>
      </c>
      <c r="C65" s="0" t="s">
        <v>236</v>
      </c>
      <c r="D65" s="0" t="s">
        <v>313</v>
      </c>
      <c r="E65" s="0">
        <v>10000</v>
      </c>
    </row>
    <row r="66">
      <c r="A66" s="0" t="s">
        <v>6</v>
      </c>
      <c r="B66" s="0" t="s">
        <v>235</v>
      </c>
      <c r="C66" s="0" t="s">
        <v>236</v>
      </c>
      <c r="D66" s="0" t="s">
        <v>314</v>
      </c>
      <c r="E66" s="0">
        <v>5000</v>
      </c>
    </row>
    <row r="67">
      <c r="A67" s="0" t="s">
        <v>6</v>
      </c>
      <c r="B67" s="0" t="s">
        <v>235</v>
      </c>
      <c r="C67" s="0" t="s">
        <v>236</v>
      </c>
      <c r="D67" s="0" t="s">
        <v>315</v>
      </c>
      <c r="E67" s="0" t="s">
        <v>316</v>
      </c>
    </row>
    <row r="68">
      <c r="A68" s="0" t="s">
        <v>6</v>
      </c>
      <c r="B68" s="0" t="s">
        <v>235</v>
      </c>
      <c r="C68" s="0" t="s">
        <v>236</v>
      </c>
      <c r="D68" s="0" t="s">
        <v>317</v>
      </c>
      <c r="E68" s="0">
        <v>5</v>
      </c>
    </row>
    <row r="69">
      <c r="A69" s="0" t="s">
        <v>6</v>
      </c>
      <c r="B69" s="0" t="s">
        <v>235</v>
      </c>
      <c r="C69" s="0" t="s">
        <v>236</v>
      </c>
      <c r="D69" s="0" t="s">
        <v>318</v>
      </c>
      <c r="E69" s="0">
        <v>80</v>
      </c>
    </row>
    <row r="70">
      <c r="A70" s="0" t="s">
        <v>6</v>
      </c>
      <c r="B70" s="0" t="s">
        <v>235</v>
      </c>
      <c r="C70" s="0" t="s">
        <v>236</v>
      </c>
      <c r="D70" s="0" t="s">
        <v>319</v>
      </c>
      <c r="E70" s="0">
        <v>10000</v>
      </c>
    </row>
    <row r="71">
      <c r="A71" s="0" t="s">
        <v>6</v>
      </c>
      <c r="B71" s="0" t="s">
        <v>235</v>
      </c>
      <c r="C71" s="0" t="s">
        <v>236</v>
      </c>
      <c r="D71" s="0" t="s">
        <v>320</v>
      </c>
      <c r="E71" s="0" t="s">
        <v>321</v>
      </c>
    </row>
    <row r="72">
      <c r="A72" s="0" t="s">
        <v>6</v>
      </c>
      <c r="B72" s="0" t="s">
        <v>235</v>
      </c>
      <c r="C72" s="0" t="s">
        <v>236</v>
      </c>
      <c r="D72" s="0" t="s">
        <v>322</v>
      </c>
      <c r="E72" s="0">
        <v>1000</v>
      </c>
    </row>
    <row r="73">
      <c r="A73" s="0" t="s">
        <v>6</v>
      </c>
      <c r="B73" s="0" t="s">
        <v>235</v>
      </c>
      <c r="C73" s="0" t="s">
        <v>236</v>
      </c>
      <c r="D73" s="0" t="s">
        <v>323</v>
      </c>
      <c r="E73" s="0">
        <v>2000</v>
      </c>
    </row>
    <row r="74">
      <c r="A74" s="0" t="s">
        <v>6</v>
      </c>
      <c r="B74" s="0" t="s">
        <v>235</v>
      </c>
      <c r="C74" s="0" t="s">
        <v>236</v>
      </c>
      <c r="D74" s="0" t="s">
        <v>324</v>
      </c>
      <c r="E74" s="0" t="s">
        <v>325</v>
      </c>
    </row>
    <row r="75">
      <c r="A75" s="0" t="s">
        <v>6</v>
      </c>
      <c r="B75" s="0" t="s">
        <v>235</v>
      </c>
      <c r="C75" s="0" t="s">
        <v>236</v>
      </c>
      <c r="D75" s="0" t="s">
        <v>326</v>
      </c>
      <c r="E75" s="0">
        <v>0</v>
      </c>
    </row>
    <row r="76">
      <c r="A76" s="0" t="s">
        <v>6</v>
      </c>
      <c r="B76" s="0" t="s">
        <v>235</v>
      </c>
      <c r="C76" s="0" t="s">
        <v>236</v>
      </c>
      <c r="D76" s="0" t="s">
        <v>327</v>
      </c>
      <c r="E76" s="0">
        <v>0</v>
      </c>
    </row>
    <row r="77">
      <c r="A77" s="0" t="s">
        <v>6</v>
      </c>
      <c r="B77" s="0" t="s">
        <v>235</v>
      </c>
      <c r="C77" s="0" t="s">
        <v>236</v>
      </c>
      <c r="D77" s="0" t="s">
        <v>328</v>
      </c>
      <c r="E77" s="0" t="b">
        <v>1</v>
      </c>
    </row>
    <row r="78">
      <c r="A78" s="0" t="s">
        <v>6</v>
      </c>
      <c r="B78" s="0" t="s">
        <v>235</v>
      </c>
      <c r="C78" s="0" t="s">
        <v>236</v>
      </c>
      <c r="D78" s="0" t="s">
        <v>329</v>
      </c>
      <c r="E78" s="0">
        <v>9160</v>
      </c>
    </row>
    <row r="79">
      <c r="A79" s="0" t="s">
        <v>6</v>
      </c>
      <c r="B79" s="0" t="s">
        <v>235</v>
      </c>
      <c r="C79" s="0" t="s">
        <v>236</v>
      </c>
      <c r="D79" s="0" t="s">
        <v>330</v>
      </c>
      <c r="E79" s="0" t="s">
        <v>331</v>
      </c>
    </row>
    <row r="80">
      <c r="A80" s="0" t="s">
        <v>6</v>
      </c>
      <c r="B80" s="0" t="s">
        <v>235</v>
      </c>
      <c r="C80" s="0" t="s">
        <v>236</v>
      </c>
      <c r="D80" s="0" t="s">
        <v>332</v>
      </c>
      <c r="E80" s="0" t="s">
        <v>333</v>
      </c>
    </row>
    <row r="81">
      <c r="A81" s="0" t="s">
        <v>6</v>
      </c>
      <c r="B81" s="0" t="s">
        <v>235</v>
      </c>
      <c r="C81" s="0" t="s">
        <v>236</v>
      </c>
      <c r="D81" s="0" t="s">
        <v>334</v>
      </c>
      <c r="E81" s="0" t="s">
        <v>335</v>
      </c>
    </row>
    <row r="82">
      <c r="A82" s="0" t="s">
        <v>6</v>
      </c>
      <c r="B82" s="0" t="s">
        <v>235</v>
      </c>
      <c r="C82" s="0" t="s">
        <v>236</v>
      </c>
      <c r="D82" s="0" t="s">
        <v>336</v>
      </c>
      <c r="E82" s="0" t="s">
        <v>337</v>
      </c>
    </row>
    <row r="83">
      <c r="A83" s="0" t="s">
        <v>6</v>
      </c>
      <c r="B83" s="0" t="s">
        <v>235</v>
      </c>
      <c r="C83" s="0" t="s">
        <v>236</v>
      </c>
      <c r="D83" s="0" t="s">
        <v>338</v>
      </c>
      <c r="E83" s="0" t="s">
        <v>339</v>
      </c>
    </row>
    <row r="84">
      <c r="A84" s="0" t="s">
        <v>6</v>
      </c>
      <c r="B84" s="0" t="s">
        <v>235</v>
      </c>
      <c r="C84" s="0" t="s">
        <v>236</v>
      </c>
      <c r="D84" s="0" t="s">
        <v>340</v>
      </c>
      <c r="E84" s="0" t="b">
        <v>0</v>
      </c>
    </row>
    <row r="85">
      <c r="A85" s="0" t="s">
        <v>6</v>
      </c>
      <c r="B85" s="0" t="s">
        <v>235</v>
      </c>
      <c r="C85" s="0" t="s">
        <v>236</v>
      </c>
      <c r="D85" s="0" t="s">
        <v>341</v>
      </c>
      <c r="E85" s="0">
        <v>7001</v>
      </c>
    </row>
    <row r="86">
      <c r="A86" s="0" t="s">
        <v>6</v>
      </c>
      <c r="B86" s="0" t="s">
        <v>235</v>
      </c>
      <c r="C86" s="0" t="s">
        <v>236</v>
      </c>
      <c r="D86" s="0" t="s">
        <v>342</v>
      </c>
      <c r="E86" s="0">
        <v>50</v>
      </c>
    </row>
    <row r="87">
      <c r="A87" s="0" t="s">
        <v>6</v>
      </c>
      <c r="B87" s="0" t="s">
        <v>235</v>
      </c>
      <c r="C87" s="0" t="s">
        <v>236</v>
      </c>
      <c r="D87" s="0" t="s">
        <v>343</v>
      </c>
      <c r="E87" s="0" t="b">
        <v>1</v>
      </c>
    </row>
    <row r="88">
      <c r="A88" s="0" t="s">
        <v>6</v>
      </c>
      <c r="B88" s="0" t="s">
        <v>235</v>
      </c>
      <c r="C88" s="0" t="s">
        <v>236</v>
      </c>
      <c r="D88" s="0" t="s">
        <v>344</v>
      </c>
      <c r="E88" s="0" t="b">
        <v>1</v>
      </c>
    </row>
    <row r="89">
      <c r="A89" s="0" t="s">
        <v>6</v>
      </c>
      <c r="B89" s="0" t="s">
        <v>235</v>
      </c>
      <c r="C89" s="0" t="s">
        <v>236</v>
      </c>
      <c r="D89" s="0" t="s">
        <v>345</v>
      </c>
      <c r="E89" s="0">
        <v>7000</v>
      </c>
    </row>
    <row r="90">
      <c r="A90" s="0" t="s">
        <v>6</v>
      </c>
      <c r="B90" s="0" t="s">
        <v>235</v>
      </c>
      <c r="C90" s="0" t="s">
        <v>236</v>
      </c>
      <c r="D90" s="0" t="s">
        <v>346</v>
      </c>
      <c r="E90" s="0">
        <v>200</v>
      </c>
    </row>
    <row r="91">
      <c r="A91" s="0" t="s">
        <v>6</v>
      </c>
      <c r="B91" s="0" t="s">
        <v>235</v>
      </c>
      <c r="C91" s="0" t="s">
        <v>236</v>
      </c>
      <c r="D91" s="0" t="s">
        <v>347</v>
      </c>
      <c r="E91" s="0">
        <v>86400000</v>
      </c>
    </row>
    <row r="92">
      <c r="A92" s="0" t="s">
        <v>6</v>
      </c>
      <c r="B92" s="0" t="s">
        <v>235</v>
      </c>
      <c r="C92" s="0" t="s">
        <v>236</v>
      </c>
      <c r="D92" s="0" t="s">
        <v>348</v>
      </c>
      <c r="E92" s="0">
        <v>15</v>
      </c>
    </row>
    <row r="93">
      <c r="A93" s="0" t="s">
        <v>6</v>
      </c>
      <c r="B93" s="0" t="s">
        <v>235</v>
      </c>
      <c r="C93" s="0" t="s">
        <v>236</v>
      </c>
      <c r="D93" s="0" t="s">
        <v>349</v>
      </c>
      <c r="E93" s="0">
        <v>100000</v>
      </c>
    </row>
    <row r="94">
      <c r="A94" s="0" t="s">
        <v>6</v>
      </c>
      <c r="B94" s="0" t="s">
        <v>235</v>
      </c>
      <c r="C94" s="0" t="s">
        <v>236</v>
      </c>
      <c r="D94" s="0" t="s">
        <v>350</v>
      </c>
      <c r="E94" s="0">
        <v>1000</v>
      </c>
    </row>
    <row r="95">
      <c r="A95" s="0" t="s">
        <v>6</v>
      </c>
      <c r="B95" s="0" t="s">
        <v>235</v>
      </c>
      <c r="C95" s="0" t="s">
        <v>236</v>
      </c>
      <c r="D95" s="0" t="s">
        <v>351</v>
      </c>
      <c r="E95" s="0">
        <v>86400</v>
      </c>
    </row>
    <row r="96">
      <c r="A96" s="0" t="s">
        <v>6</v>
      </c>
      <c r="B96" s="0" t="s">
        <v>235</v>
      </c>
      <c r="C96" s="0" t="s">
        <v>236</v>
      </c>
      <c r="D96" s="0" t="s">
        <v>352</v>
      </c>
      <c r="E96" s="0">
        <v>604800</v>
      </c>
    </row>
    <row r="97">
      <c r="A97" s="0" t="s">
        <v>6</v>
      </c>
      <c r="B97" s="0" t="s">
        <v>235</v>
      </c>
      <c r="C97" s="0" t="s">
        <v>236</v>
      </c>
      <c r="D97" s="0" t="s">
        <v>353</v>
      </c>
      <c r="E97" s="0" t="b">
        <v>1</v>
      </c>
    </row>
    <row r="98">
      <c r="A98" s="0" t="s">
        <v>6</v>
      </c>
      <c r="B98" s="0" t="s">
        <v>235</v>
      </c>
      <c r="C98" s="0" t="s">
        <v>236</v>
      </c>
      <c r="D98" s="0" t="s">
        <v>354</v>
      </c>
      <c r="E98" s="0">
        <v>10240</v>
      </c>
    </row>
    <row r="99">
      <c r="A99" s="0" t="s">
        <v>6</v>
      </c>
      <c r="B99" s="0" t="s">
        <v>235</v>
      </c>
      <c r="C99" s="0" t="s">
        <v>236</v>
      </c>
      <c r="D99" s="0" t="s">
        <v>355</v>
      </c>
      <c r="E99" s="0">
        <v>60000</v>
      </c>
    </row>
    <row r="100">
      <c r="A100" s="0" t="s">
        <v>6</v>
      </c>
      <c r="B100" s="0" t="s">
        <v>235</v>
      </c>
      <c r="C100" s="0" t="s">
        <v>236</v>
      </c>
      <c r="D100" s="0" t="s">
        <v>356</v>
      </c>
      <c r="E100" s="0">
        <v>10</v>
      </c>
    </row>
    <row r="101">
      <c r="A101" s="0" t="s">
        <v>6</v>
      </c>
      <c r="B101" s="0" t="s">
        <v>235</v>
      </c>
      <c r="C101" s="0" t="s">
        <v>236</v>
      </c>
      <c r="D101" s="0" t="s">
        <v>357</v>
      </c>
      <c r="E101" s="0">
        <v>2000</v>
      </c>
    </row>
    <row r="102">
      <c r="A102" s="0" t="s">
        <v>6</v>
      </c>
      <c r="B102" s="0" t="s">
        <v>235</v>
      </c>
      <c r="C102" s="0" t="s">
        <v>358</v>
      </c>
      <c r="D102" s="0" t="s">
        <v>359</v>
      </c>
      <c r="E102" s="0" t="b">
        <v>0</v>
      </c>
    </row>
    <row r="103">
      <c r="A103" s="0" t="s">
        <v>6</v>
      </c>
      <c r="B103" s="0" t="s">
        <v>235</v>
      </c>
      <c r="C103" s="0" t="s">
        <v>358</v>
      </c>
      <c r="D103" s="0" t="s">
        <v>360</v>
      </c>
      <c r="E103" s="0" t="s">
        <v>361</v>
      </c>
    </row>
    <row r="104">
      <c r="A104" s="0" t="s">
        <v>6</v>
      </c>
      <c r="B104" s="0" t="s">
        <v>235</v>
      </c>
      <c r="C104" s="0" t="s">
        <v>358</v>
      </c>
      <c r="D104" s="0" t="s">
        <v>362</v>
      </c>
      <c r="E104" s="0">
        <v>3600000</v>
      </c>
    </row>
    <row r="105">
      <c r="A105" s="0" t="s">
        <v>6</v>
      </c>
      <c r="B105" s="0" t="s">
        <v>235</v>
      </c>
      <c r="C105" s="0" t="s">
        <v>358</v>
      </c>
      <c r="D105" s="0" t="s">
        <v>363</v>
      </c>
      <c r="E105" s="0" t="s">
        <v>364</v>
      </c>
    </row>
    <row r="106">
      <c r="A106" s="0" t="s">
        <v>6</v>
      </c>
      <c r="B106" s="0" t="s">
        <v>235</v>
      </c>
      <c r="C106" s="0" t="s">
        <v>358</v>
      </c>
      <c r="D106" s="0" t="s">
        <v>365</v>
      </c>
      <c r="E106" s="0" t="s">
        <v>331</v>
      </c>
    </row>
    <row r="107">
      <c r="A107" s="0" t="s">
        <v>6</v>
      </c>
      <c r="B107" s="0" t="s">
        <v>235</v>
      </c>
      <c r="C107" s="0" t="s">
        <v>358</v>
      </c>
      <c r="D107" s="0" t="s">
        <v>366</v>
      </c>
      <c r="E107" s="0" t="s">
        <v>367</v>
      </c>
    </row>
    <row r="108">
      <c r="A108" s="0" t="s">
        <v>6</v>
      </c>
      <c r="B108" s="0" t="s">
        <v>235</v>
      </c>
      <c r="C108" s="0" t="s">
        <v>358</v>
      </c>
      <c r="D108" s="0" t="s">
        <v>368</v>
      </c>
      <c r="E108" s="0" t="b">
        <v>0</v>
      </c>
    </row>
    <row r="109">
      <c r="A109" s="0" t="s">
        <v>6</v>
      </c>
      <c r="B109" s="0" t="s">
        <v>235</v>
      </c>
      <c r="C109" s="0" t="s">
        <v>358</v>
      </c>
      <c r="D109" s="0" t="s">
        <v>369</v>
      </c>
      <c r="E109" s="0" t="s">
        <v>370</v>
      </c>
    </row>
    <row r="110">
      <c r="A110" s="0" t="s">
        <v>6</v>
      </c>
      <c r="B110" s="0" t="s">
        <v>235</v>
      </c>
      <c r="C110" s="0" t="s">
        <v>358</v>
      </c>
      <c r="D110" s="0" t="s">
        <v>371</v>
      </c>
      <c r="E110" s="0" t="b">
        <v>1</v>
      </c>
    </row>
    <row r="111">
      <c r="A111" s="0" t="s">
        <v>6</v>
      </c>
      <c r="B111" s="0" t="s">
        <v>235</v>
      </c>
      <c r="C111" s="0" t="s">
        <v>358</v>
      </c>
      <c r="D111" s="0" t="s">
        <v>372</v>
      </c>
      <c r="E111" s="0" t="s">
        <v>373</v>
      </c>
    </row>
    <row r="112">
      <c r="A112" s="0" t="s">
        <v>6</v>
      </c>
      <c r="B112" s="0" t="s">
        <v>235</v>
      </c>
      <c r="C112" s="0" t="s">
        <v>358</v>
      </c>
      <c r="D112" s="0" t="s">
        <v>374</v>
      </c>
      <c r="E112" s="0" t="b">
        <v>0</v>
      </c>
    </row>
    <row r="113">
      <c r="A113" s="0" t="s">
        <v>6</v>
      </c>
      <c r="B113" s="0" t="s">
        <v>235</v>
      </c>
      <c r="C113" s="0" t="s">
        <v>358</v>
      </c>
      <c r="D113" s="0" t="s">
        <v>375</v>
      </c>
      <c r="E113" s="0">
        <v>1000</v>
      </c>
    </row>
    <row r="114">
      <c r="A114" s="0" t="s">
        <v>6</v>
      </c>
      <c r="B114" s="0" t="s">
        <v>235</v>
      </c>
      <c r="C114" s="0" t="s">
        <v>358</v>
      </c>
      <c r="D114" s="0" t="s">
        <v>376</v>
      </c>
      <c r="E114" s="0">
        <v>0.8</v>
      </c>
    </row>
    <row r="115">
      <c r="A115" s="0" t="s">
        <v>6</v>
      </c>
      <c r="B115" s="0" t="s">
        <v>235</v>
      </c>
      <c r="C115" s="0" t="s">
        <v>358</v>
      </c>
      <c r="D115" s="0" t="s">
        <v>377</v>
      </c>
      <c r="E115" s="0" t="s">
        <v>378</v>
      </c>
    </row>
    <row r="116">
      <c r="A116" s="0" t="s">
        <v>6</v>
      </c>
      <c r="B116" s="0" t="s">
        <v>235</v>
      </c>
      <c r="C116" s="0" t="s">
        <v>358</v>
      </c>
      <c r="D116" s="0" t="s">
        <v>379</v>
      </c>
      <c r="E116" s="0" t="s">
        <v>236</v>
      </c>
    </row>
    <row r="117">
      <c r="A117" s="0" t="s">
        <v>6</v>
      </c>
      <c r="B117" s="0" t="s">
        <v>235</v>
      </c>
      <c r="C117" s="0" t="s">
        <v>358</v>
      </c>
      <c r="D117" s="0" t="s">
        <v>380</v>
      </c>
      <c r="E117" s="0" t="s">
        <v>236</v>
      </c>
    </row>
    <row r="118">
      <c r="A118" s="0" t="s">
        <v>6</v>
      </c>
      <c r="B118" s="0" t="s">
        <v>235</v>
      </c>
      <c r="C118" s="0" t="s">
        <v>358</v>
      </c>
      <c r="D118" s="0" t="s">
        <v>381</v>
      </c>
      <c r="E118" s="0">
        <v>0</v>
      </c>
    </row>
    <row r="119">
      <c r="A119" s="0" t="s">
        <v>6</v>
      </c>
      <c r="B119" s="0" t="s">
        <v>235</v>
      </c>
      <c r="C119" s="0" t="s">
        <v>358</v>
      </c>
      <c r="D119" s="0" t="s">
        <v>382</v>
      </c>
      <c r="E119" s="0" t="b">
        <v>0</v>
      </c>
    </row>
    <row r="120">
      <c r="A120" s="0" t="s">
        <v>6</v>
      </c>
      <c r="B120" s="0" t="s">
        <v>235</v>
      </c>
      <c r="C120" s="0" t="s">
        <v>358</v>
      </c>
      <c r="D120" s="0" t="s">
        <v>383</v>
      </c>
      <c r="E120" s="0">
        <v>28</v>
      </c>
    </row>
    <row r="121">
      <c r="A121" s="0" t="s">
        <v>6</v>
      </c>
      <c r="B121" s="0" t="s">
        <v>235</v>
      </c>
      <c r="C121" s="0" t="s">
        <v>358</v>
      </c>
      <c r="D121" s="0" t="s">
        <v>384</v>
      </c>
      <c r="E121" s="0" t="b">
        <v>0</v>
      </c>
    </row>
    <row r="122">
      <c r="A122" s="0" t="s">
        <v>6</v>
      </c>
      <c r="B122" s="0" t="s">
        <v>235</v>
      </c>
      <c r="C122" s="0" t="s">
        <v>358</v>
      </c>
      <c r="D122" s="0" t="s">
        <v>385</v>
      </c>
      <c r="E122" s="0" t="b">
        <v>1</v>
      </c>
    </row>
    <row r="123">
      <c r="A123" s="0" t="s">
        <v>6</v>
      </c>
      <c r="B123" s="0" t="s">
        <v>235</v>
      </c>
      <c r="C123" s="0" t="s">
        <v>358</v>
      </c>
      <c r="D123" s="0" t="s">
        <v>386</v>
      </c>
      <c r="E123" s="0" t="s">
        <v>387</v>
      </c>
    </row>
    <row r="124">
      <c r="A124" s="0" t="s">
        <v>6</v>
      </c>
      <c r="B124" s="0" t="s">
        <v>235</v>
      </c>
      <c r="C124" s="0" t="s">
        <v>358</v>
      </c>
      <c r="D124" s="0" t="s">
        <v>388</v>
      </c>
      <c r="E124" s="0">
        <v>2000</v>
      </c>
    </row>
    <row r="125">
      <c r="A125" s="0" t="s">
        <v>6</v>
      </c>
      <c r="B125" s="0" t="s">
        <v>235</v>
      </c>
      <c r="C125" s="0" t="s">
        <v>358</v>
      </c>
      <c r="D125" s="0" t="s">
        <v>389</v>
      </c>
      <c r="E125" s="0" t="s">
        <v>390</v>
      </c>
    </row>
    <row r="126">
      <c r="A126" s="0" t="s">
        <v>6</v>
      </c>
      <c r="B126" s="0" t="s">
        <v>235</v>
      </c>
      <c r="C126" s="0" t="s">
        <v>358</v>
      </c>
      <c r="D126" s="0" t="s">
        <v>391</v>
      </c>
      <c r="E126" s="0">
        <v>10000</v>
      </c>
    </row>
    <row r="127">
      <c r="A127" s="0" t="s">
        <v>6</v>
      </c>
      <c r="B127" s="0" t="s">
        <v>235</v>
      </c>
      <c r="C127" s="0" t="s">
        <v>358</v>
      </c>
      <c r="D127" s="0" t="s">
        <v>392</v>
      </c>
      <c r="E127" s="0" t="b">
        <v>0</v>
      </c>
    </row>
    <row r="128">
      <c r="A128" s="0" t="s">
        <v>6</v>
      </c>
      <c r="B128" s="0" t="s">
        <v>235</v>
      </c>
      <c r="C128" s="0" t="s">
        <v>358</v>
      </c>
      <c r="D128" s="0" t="s">
        <v>393</v>
      </c>
      <c r="E128" s="0" t="b">
        <v>0</v>
      </c>
    </row>
    <row r="129">
      <c r="A129" s="0" t="s">
        <v>6</v>
      </c>
      <c r="B129" s="0" t="s">
        <v>235</v>
      </c>
      <c r="C129" s="0" t="s">
        <v>358</v>
      </c>
      <c r="D129" s="0" t="s">
        <v>394</v>
      </c>
      <c r="E129" s="0" t="b">
        <v>0</v>
      </c>
    </row>
    <row r="130">
      <c r="A130" s="0" t="s">
        <v>6</v>
      </c>
      <c r="B130" s="0" t="s">
        <v>235</v>
      </c>
      <c r="C130" s="0" t="s">
        <v>358</v>
      </c>
      <c r="D130" s="0" t="s">
        <v>395</v>
      </c>
      <c r="E130" s="0" t="s">
        <v>396</v>
      </c>
    </row>
    <row r="131">
      <c r="A131" s="0" t="s">
        <v>6</v>
      </c>
      <c r="B131" s="0" t="s">
        <v>235</v>
      </c>
      <c r="C131" s="0" t="s">
        <v>358</v>
      </c>
      <c r="D131" s="0" t="s">
        <v>397</v>
      </c>
      <c r="E131" s="0" t="b">
        <v>0</v>
      </c>
    </row>
    <row r="132">
      <c r="A132" s="0" t="s">
        <v>6</v>
      </c>
      <c r="B132" s="0" t="s">
        <v>235</v>
      </c>
      <c r="C132" s="0" t="s">
        <v>358</v>
      </c>
      <c r="D132" s="0" t="s">
        <v>398</v>
      </c>
      <c r="E132" s="0" t="b">
        <v>0</v>
      </c>
    </row>
    <row r="133">
      <c r="A133" s="0" t="s">
        <v>6</v>
      </c>
      <c r="B133" s="0" t="s">
        <v>235</v>
      </c>
      <c r="C133" s="0" t="s">
        <v>358</v>
      </c>
      <c r="D133" s="0" t="s">
        <v>399</v>
      </c>
      <c r="E133" s="0" t="b">
        <v>0</v>
      </c>
    </row>
    <row r="134">
      <c r="A134" s="0" t="s">
        <v>6</v>
      </c>
      <c r="B134" s="0" t="s">
        <v>235</v>
      </c>
      <c r="C134" s="0" t="s">
        <v>358</v>
      </c>
      <c r="D134" s="0" t="s">
        <v>400</v>
      </c>
      <c r="E134" s="0" t="s">
        <v>401</v>
      </c>
    </row>
    <row r="135">
      <c r="A135" s="0" t="s">
        <v>6</v>
      </c>
      <c r="B135" s="0" t="s">
        <v>235</v>
      </c>
      <c r="C135" s="0" t="s">
        <v>358</v>
      </c>
      <c r="D135" s="0" t="s">
        <v>402</v>
      </c>
      <c r="E135" s="0">
        <v>5</v>
      </c>
    </row>
    <row r="136">
      <c r="A136" s="0" t="s">
        <v>6</v>
      </c>
      <c r="B136" s="0" t="s">
        <v>235</v>
      </c>
      <c r="C136" s="0" t="s">
        <v>358</v>
      </c>
      <c r="D136" s="0" t="s">
        <v>403</v>
      </c>
    </row>
    <row r="137">
      <c r="A137" s="0" t="s">
        <v>6</v>
      </c>
      <c r="B137" s="0" t="s">
        <v>235</v>
      </c>
      <c r="C137" s="0" t="s">
        <v>358</v>
      </c>
      <c r="D137" s="0" t="s">
        <v>404</v>
      </c>
      <c r="E137" s="0">
        <v>0</v>
      </c>
    </row>
    <row r="138">
      <c r="A138" s="0" t="s">
        <v>6</v>
      </c>
      <c r="B138" s="0" t="s">
        <v>235</v>
      </c>
      <c r="C138" s="0" t="s">
        <v>358</v>
      </c>
      <c r="D138" s="0" t="s">
        <v>405</v>
      </c>
    </row>
    <row r="139">
      <c r="A139" s="0" t="s">
        <v>6</v>
      </c>
      <c r="B139" s="0" t="s">
        <v>235</v>
      </c>
      <c r="C139" s="0" t="s">
        <v>358</v>
      </c>
      <c r="D139" s="0" t="s">
        <v>406</v>
      </c>
      <c r="E139" s="0" t="s">
        <v>407</v>
      </c>
    </row>
    <row r="140">
      <c r="A140" s="0" t="s">
        <v>6</v>
      </c>
      <c r="B140" s="0" t="s">
        <v>235</v>
      </c>
      <c r="C140" s="0" t="s">
        <v>358</v>
      </c>
      <c r="D140" s="0" t="s">
        <v>408</v>
      </c>
    </row>
    <row r="141">
      <c r="A141" s="0" t="s">
        <v>6</v>
      </c>
      <c r="B141" s="0" t="s">
        <v>235</v>
      </c>
      <c r="C141" s="0" t="s">
        <v>358</v>
      </c>
      <c r="D141" s="0" t="s">
        <v>409</v>
      </c>
      <c r="E141" s="0">
        <v>0</v>
      </c>
    </row>
    <row r="142">
      <c r="A142" s="0" t="s">
        <v>6</v>
      </c>
      <c r="B142" s="0" t="s">
        <v>235</v>
      </c>
      <c r="C142" s="0" t="s">
        <v>358</v>
      </c>
      <c r="D142" s="0" t="s">
        <v>410</v>
      </c>
      <c r="E142" s="0" t="s">
        <v>411</v>
      </c>
    </row>
    <row r="143">
      <c r="A143" s="0" t="s">
        <v>6</v>
      </c>
      <c r="B143" s="0" t="s">
        <v>235</v>
      </c>
      <c r="C143" s="0" t="s">
        <v>358</v>
      </c>
      <c r="D143" s="0" t="s">
        <v>412</v>
      </c>
      <c r="E143" s="0" t="b">
        <v>0</v>
      </c>
    </row>
    <row r="144">
      <c r="A144" s="0" t="s">
        <v>6</v>
      </c>
      <c r="B144" s="0" t="s">
        <v>235</v>
      </c>
      <c r="C144" s="0" t="s">
        <v>358</v>
      </c>
      <c r="D144" s="0" t="s">
        <v>413</v>
      </c>
      <c r="E144" s="0" t="b">
        <v>1</v>
      </c>
    </row>
    <row r="145">
      <c r="A145" s="0" t="s">
        <v>6</v>
      </c>
      <c r="B145" s="0" t="s">
        <v>235</v>
      </c>
      <c r="C145" s="0" t="s">
        <v>358</v>
      </c>
      <c r="D145" s="0" t="s">
        <v>414</v>
      </c>
      <c r="E145" s="0" t="s">
        <v>415</v>
      </c>
    </row>
    <row r="146">
      <c r="A146" s="0" t="s">
        <v>6</v>
      </c>
      <c r="B146" s="0" t="s">
        <v>235</v>
      </c>
      <c r="C146" s="0" t="s">
        <v>358</v>
      </c>
      <c r="D146" s="0" t="s">
        <v>416</v>
      </c>
      <c r="E146" s="0">
        <v>20</v>
      </c>
    </row>
    <row r="147">
      <c r="A147" s="0" t="s">
        <v>6</v>
      </c>
      <c r="B147" s="0" t="s">
        <v>235</v>
      </c>
      <c r="C147" s="0" t="s">
        <v>358</v>
      </c>
      <c r="D147" s="0" t="s">
        <v>417</v>
      </c>
    </row>
    <row r="148">
      <c r="A148" s="0" t="s">
        <v>6</v>
      </c>
      <c r="B148" s="0" t="s">
        <v>235</v>
      </c>
      <c r="C148" s="0" t="s">
        <v>358</v>
      </c>
      <c r="D148" s="0" t="s">
        <v>418</v>
      </c>
      <c r="E148" s="0">
        <v>0.7</v>
      </c>
    </row>
    <row r="149">
      <c r="A149" s="0" t="s">
        <v>6</v>
      </c>
      <c r="B149" s="0" t="s">
        <v>235</v>
      </c>
      <c r="C149" s="0" t="s">
        <v>358</v>
      </c>
      <c r="D149" s="0" t="s">
        <v>419</v>
      </c>
      <c r="E149" s="0">
        <v>8609</v>
      </c>
    </row>
    <row r="150">
      <c r="A150" s="0" t="s">
        <v>6</v>
      </c>
      <c r="B150" s="0" t="s">
        <v>235</v>
      </c>
      <c r="C150" s="0" t="s">
        <v>358</v>
      </c>
      <c r="D150" s="0" t="s">
        <v>420</v>
      </c>
      <c r="E150" s="0" t="s">
        <v>421</v>
      </c>
    </row>
    <row r="151">
      <c r="A151" s="0" t="s">
        <v>6</v>
      </c>
      <c r="B151" s="0" t="s">
        <v>235</v>
      </c>
      <c r="C151" s="0" t="s">
        <v>358</v>
      </c>
      <c r="D151" s="0" t="s">
        <v>422</v>
      </c>
      <c r="E151" s="0" t="s">
        <v>423</v>
      </c>
    </row>
    <row r="152">
      <c r="A152" s="0" t="s">
        <v>6</v>
      </c>
      <c r="B152" s="0" t="s">
        <v>235</v>
      </c>
      <c r="C152" s="0" t="s">
        <v>358</v>
      </c>
      <c r="D152" s="0" t="s">
        <v>424</v>
      </c>
      <c r="E152" s="0" t="s">
        <v>425</v>
      </c>
    </row>
    <row r="153">
      <c r="A153" s="0" t="s">
        <v>6</v>
      </c>
      <c r="B153" s="0" t="s">
        <v>235</v>
      </c>
      <c r="C153" s="0" t="s">
        <v>358</v>
      </c>
      <c r="D153" s="0" t="s">
        <v>426</v>
      </c>
      <c r="E153" s="0" t="s">
        <v>427</v>
      </c>
    </row>
    <row r="154">
      <c r="A154" s="0" t="s">
        <v>6</v>
      </c>
      <c r="B154" s="0" t="s">
        <v>235</v>
      </c>
      <c r="C154" s="0" t="s">
        <v>358</v>
      </c>
      <c r="D154" s="0" t="s">
        <v>428</v>
      </c>
      <c r="E154" s="0" t="s">
        <v>429</v>
      </c>
    </row>
    <row r="155">
      <c r="A155" s="0" t="s">
        <v>6</v>
      </c>
      <c r="B155" s="0" t="s">
        <v>235</v>
      </c>
      <c r="C155" s="0" t="s">
        <v>358</v>
      </c>
      <c r="D155" s="0" t="s">
        <v>430</v>
      </c>
      <c r="E155" s="0" t="s">
        <v>431</v>
      </c>
    </row>
    <row r="156">
      <c r="A156" s="0" t="s">
        <v>6</v>
      </c>
      <c r="B156" s="0" t="s">
        <v>235</v>
      </c>
      <c r="C156" s="0" t="s">
        <v>358</v>
      </c>
      <c r="D156" s="0" t="s">
        <v>432</v>
      </c>
      <c r="E156" s="0" t="s">
        <v>433</v>
      </c>
    </row>
    <row r="157">
      <c r="A157" s="0" t="s">
        <v>6</v>
      </c>
      <c r="B157" s="0" t="s">
        <v>235</v>
      </c>
      <c r="C157" s="0" t="s">
        <v>358</v>
      </c>
      <c r="D157" s="0" t="s">
        <v>434</v>
      </c>
      <c r="E157" s="0" t="s">
        <v>435</v>
      </c>
    </row>
    <row r="158">
      <c r="A158" s="0" t="s">
        <v>6</v>
      </c>
      <c r="B158" s="0" t="s">
        <v>235</v>
      </c>
      <c r="C158" s="0" t="s">
        <v>358</v>
      </c>
      <c r="D158" s="0" t="s">
        <v>436</v>
      </c>
      <c r="E158" s="0" t="s">
        <v>437</v>
      </c>
    </row>
    <row r="159">
      <c r="A159" s="0" t="s">
        <v>6</v>
      </c>
      <c r="B159" s="0" t="s">
        <v>235</v>
      </c>
      <c r="C159" s="0" t="s">
        <v>358</v>
      </c>
      <c r="D159" s="0" t="s">
        <v>438</v>
      </c>
      <c r="E159" s="0" t="b">
        <v>0</v>
      </c>
    </row>
    <row r="160">
      <c r="A160" s="0" t="s">
        <v>6</v>
      </c>
      <c r="B160" s="0" t="s">
        <v>235</v>
      </c>
      <c r="C160" s="0" t="s">
        <v>358</v>
      </c>
      <c r="D160" s="0" t="s">
        <v>439</v>
      </c>
      <c r="E160" s="0">
        <v>5</v>
      </c>
    </row>
    <row r="161">
      <c r="A161" s="0" t="s">
        <v>6</v>
      </c>
      <c r="B161" s="0" t="s">
        <v>235</v>
      </c>
      <c r="C161" s="0" t="s">
        <v>358</v>
      </c>
      <c r="D161" s="0" t="s">
        <v>440</v>
      </c>
      <c r="E161" s="0">
        <v>0.2</v>
      </c>
    </row>
    <row r="162">
      <c r="A162" s="0" t="s">
        <v>6</v>
      </c>
      <c r="B162" s="0" t="s">
        <v>235</v>
      </c>
      <c r="C162" s="0" t="s">
        <v>358</v>
      </c>
      <c r="D162" s="0" t="s">
        <v>441</v>
      </c>
      <c r="E162" s="0">
        <v>10240</v>
      </c>
    </row>
    <row r="163">
      <c r="A163" s="0" t="s">
        <v>6</v>
      </c>
      <c r="B163" s="0" t="s">
        <v>235</v>
      </c>
      <c r="C163" s="0" t="s">
        <v>358</v>
      </c>
      <c r="D163" s="0" t="s">
        <v>442</v>
      </c>
      <c r="E163" s="0">
        <v>10000</v>
      </c>
    </row>
    <row r="164">
      <c r="A164" s="0" t="s">
        <v>6</v>
      </c>
      <c r="B164" s="0" t="s">
        <v>235</v>
      </c>
      <c r="C164" s="0" t="s">
        <v>358</v>
      </c>
      <c r="D164" s="0" t="s">
        <v>443</v>
      </c>
      <c r="E164" s="0">
        <v>2</v>
      </c>
    </row>
    <row r="165">
      <c r="A165" s="0" t="s">
        <v>6</v>
      </c>
      <c r="B165" s="0" t="s">
        <v>235</v>
      </c>
      <c r="C165" s="0" t="s">
        <v>358</v>
      </c>
      <c r="D165" s="0" t="s">
        <v>444</v>
      </c>
      <c r="E165" s="0">
        <v>4096000</v>
      </c>
    </row>
    <row r="166">
      <c r="A166" s="0" t="s">
        <v>6</v>
      </c>
      <c r="B166" s="0" t="s">
        <v>235</v>
      </c>
      <c r="C166" s="0" t="s">
        <v>358</v>
      </c>
      <c r="D166" s="0" t="s">
        <v>445</v>
      </c>
      <c r="E166" s="0">
        <v>65536000</v>
      </c>
    </row>
    <row r="167">
      <c r="A167" s="0" t="s">
        <v>6</v>
      </c>
      <c r="B167" s="0" t="s">
        <v>235</v>
      </c>
      <c r="C167" s="0" t="s">
        <v>358</v>
      </c>
      <c r="D167" s="0" t="s">
        <v>446</v>
      </c>
      <c r="E167" s="0">
        <v>512</v>
      </c>
    </row>
    <row r="168">
      <c r="A168" s="0" t="s">
        <v>6</v>
      </c>
      <c r="B168" s="0" t="s">
        <v>235</v>
      </c>
      <c r="C168" s="0" t="s">
        <v>358</v>
      </c>
      <c r="D168" s="0" t="s">
        <v>447</v>
      </c>
    </row>
    <row r="169">
      <c r="A169" s="0" t="s">
        <v>6</v>
      </c>
      <c r="B169" s="0" t="s">
        <v>235</v>
      </c>
      <c r="C169" s="0" t="s">
        <v>358</v>
      </c>
      <c r="D169" s="0" t="s">
        <v>448</v>
      </c>
      <c r="E169" s="0" t="s">
        <v>449</v>
      </c>
    </row>
    <row r="170">
      <c r="A170" s="0" t="s">
        <v>6</v>
      </c>
      <c r="B170" s="0" t="s">
        <v>235</v>
      </c>
      <c r="C170" s="0" t="s">
        <v>358</v>
      </c>
      <c r="D170" s="0" t="s">
        <v>450</v>
      </c>
      <c r="E170" s="0" t="s">
        <v>451</v>
      </c>
    </row>
    <row r="171">
      <c r="A171" s="0" t="s">
        <v>6</v>
      </c>
      <c r="B171" s="0" t="s">
        <v>235</v>
      </c>
      <c r="C171" s="0" t="s">
        <v>358</v>
      </c>
      <c r="D171" s="0" t="s">
        <v>452</v>
      </c>
      <c r="E171" s="0">
        <v>32</v>
      </c>
    </row>
    <row r="172">
      <c r="A172" s="0" t="s">
        <v>6</v>
      </c>
      <c r="B172" s="0" t="s">
        <v>235</v>
      </c>
      <c r="C172" s="0" t="s">
        <v>358</v>
      </c>
      <c r="D172" s="0" t="s">
        <v>453</v>
      </c>
      <c r="E172" s="0" t="s">
        <v>454</v>
      </c>
    </row>
    <row r="173">
      <c r="A173" s="0" t="s">
        <v>6</v>
      </c>
      <c r="B173" s="0" t="s">
        <v>235</v>
      </c>
      <c r="C173" s="0" t="s">
        <v>358</v>
      </c>
      <c r="D173" s="0" t="s">
        <v>455</v>
      </c>
      <c r="E173" s="0">
        <v>8182</v>
      </c>
    </row>
    <row r="174">
      <c r="A174" s="0" t="s">
        <v>6</v>
      </c>
      <c r="B174" s="0" t="s">
        <v>235</v>
      </c>
      <c r="C174" s="0" t="s">
        <v>358</v>
      </c>
      <c r="D174" s="0" t="s">
        <v>456</v>
      </c>
      <c r="E174" s="0" t="s">
        <v>407</v>
      </c>
    </row>
    <row r="175">
      <c r="A175" s="0" t="s">
        <v>6</v>
      </c>
      <c r="B175" s="0" t="s">
        <v>235</v>
      </c>
      <c r="C175" s="0" t="s">
        <v>358</v>
      </c>
      <c r="D175" s="0" t="s">
        <v>457</v>
      </c>
      <c r="E175" s="0" t="s">
        <v>458</v>
      </c>
    </row>
    <row r="176">
      <c r="A176" s="0" t="s">
        <v>6</v>
      </c>
      <c r="B176" s="0" t="s">
        <v>235</v>
      </c>
      <c r="C176" s="0" t="s">
        <v>358</v>
      </c>
      <c r="D176" s="0" t="s">
        <v>459</v>
      </c>
      <c r="E176" s="0" t="b">
        <v>0</v>
      </c>
    </row>
    <row r="177">
      <c r="A177" s="0" t="s">
        <v>6</v>
      </c>
      <c r="B177" s="0" t="s">
        <v>235</v>
      </c>
      <c r="C177" s="0" t="s">
        <v>358</v>
      </c>
      <c r="D177" s="0" t="s">
        <v>460</v>
      </c>
      <c r="E177" s="0" t="s">
        <v>407</v>
      </c>
    </row>
    <row r="178">
      <c r="A178" s="0" t="s">
        <v>6</v>
      </c>
      <c r="B178" s="0" t="s">
        <v>235</v>
      </c>
      <c r="C178" s="0" t="s">
        <v>358</v>
      </c>
      <c r="D178" s="0" t="s">
        <v>461</v>
      </c>
      <c r="E178" s="0" t="s">
        <v>462</v>
      </c>
    </row>
    <row r="179">
      <c r="A179" s="0" t="s">
        <v>6</v>
      </c>
      <c r="B179" s="0" t="s">
        <v>235</v>
      </c>
      <c r="C179" s="0" t="s">
        <v>358</v>
      </c>
      <c r="D179" s="0" t="s">
        <v>463</v>
      </c>
      <c r="E179" s="0" t="s">
        <v>464</v>
      </c>
    </row>
    <row r="180">
      <c r="A180" s="0" t="s">
        <v>6</v>
      </c>
      <c r="B180" s="0" t="s">
        <v>235</v>
      </c>
      <c r="C180" s="0" t="s">
        <v>358</v>
      </c>
      <c r="D180" s="0" t="s">
        <v>465</v>
      </c>
      <c r="E180" s="0">
        <v>60000</v>
      </c>
    </row>
    <row r="181">
      <c r="A181" s="0" t="s">
        <v>6</v>
      </c>
      <c r="B181" s="0" t="s">
        <v>235</v>
      </c>
      <c r="C181" s="0" t="s">
        <v>358</v>
      </c>
      <c r="D181" s="0" t="s">
        <v>466</v>
      </c>
    </row>
    <row r="182">
      <c r="A182" s="0" t="s">
        <v>6</v>
      </c>
      <c r="B182" s="0" t="s">
        <v>235</v>
      </c>
      <c r="C182" s="0" t="s">
        <v>358</v>
      </c>
      <c r="D182" s="0" t="s">
        <v>467</v>
      </c>
      <c r="E182" s="0" t="b">
        <v>0</v>
      </c>
    </row>
    <row r="183">
      <c r="A183" s="0" t="s">
        <v>6</v>
      </c>
      <c r="B183" s="0" t="s">
        <v>235</v>
      </c>
      <c r="C183" s="0" t="s">
        <v>358</v>
      </c>
      <c r="D183" s="0" t="s">
        <v>468</v>
      </c>
      <c r="E183" s="0">
        <v>0</v>
      </c>
    </row>
    <row r="184">
      <c r="A184" s="0" t="s">
        <v>6</v>
      </c>
      <c r="B184" s="0" t="s">
        <v>235</v>
      </c>
      <c r="C184" s="0" t="s">
        <v>358</v>
      </c>
      <c r="D184" s="0" t="s">
        <v>469</v>
      </c>
      <c r="E184" s="0" t="b">
        <v>1</v>
      </c>
    </row>
    <row r="185">
      <c r="A185" s="0" t="s">
        <v>6</v>
      </c>
      <c r="B185" s="0" t="s">
        <v>235</v>
      </c>
      <c r="C185" s="0" t="s">
        <v>358</v>
      </c>
      <c r="D185" s="0" t="s">
        <v>470</v>
      </c>
      <c r="E185" s="0">
        <v>256</v>
      </c>
    </row>
    <row r="186">
      <c r="A186" s="0" t="s">
        <v>6</v>
      </c>
      <c r="B186" s="0" t="s">
        <v>235</v>
      </c>
      <c r="C186" s="0" t="s">
        <v>358</v>
      </c>
      <c r="D186" s="0" t="s">
        <v>471</v>
      </c>
      <c r="E186" s="0" t="b">
        <v>0</v>
      </c>
    </row>
    <row r="187">
      <c r="A187" s="0" t="s">
        <v>6</v>
      </c>
      <c r="B187" s="0" t="s">
        <v>235</v>
      </c>
      <c r="C187" s="0" t="s">
        <v>358</v>
      </c>
      <c r="D187" s="0" t="s">
        <v>472</v>
      </c>
      <c r="E187" s="0" t="b">
        <v>0</v>
      </c>
    </row>
    <row r="188">
      <c r="A188" s="0" t="s">
        <v>6</v>
      </c>
      <c r="B188" s="0" t="s">
        <v>235</v>
      </c>
      <c r="C188" s="0" t="s">
        <v>358</v>
      </c>
      <c r="D188" s="0" t="s">
        <v>473</v>
      </c>
      <c r="E188" s="0" t="b">
        <v>0</v>
      </c>
    </row>
    <row r="189">
      <c r="A189" s="0" t="s">
        <v>6</v>
      </c>
      <c r="B189" s="0" t="s">
        <v>235</v>
      </c>
      <c r="C189" s="0" t="s">
        <v>358</v>
      </c>
      <c r="D189" s="0" t="s">
        <v>474</v>
      </c>
      <c r="E189" s="0" t="b">
        <v>0</v>
      </c>
    </row>
    <row r="190">
      <c r="A190" s="0" t="s">
        <v>6</v>
      </c>
      <c r="B190" s="0" t="s">
        <v>235</v>
      </c>
      <c r="C190" s="0" t="s">
        <v>358</v>
      </c>
      <c r="D190" s="0" t="s">
        <v>475</v>
      </c>
      <c r="E190" s="0" t="b">
        <v>0</v>
      </c>
    </row>
    <row r="191">
      <c r="A191" s="0" t="s">
        <v>6</v>
      </c>
      <c r="B191" s="0" t="s">
        <v>235</v>
      </c>
      <c r="C191" s="0" t="s">
        <v>358</v>
      </c>
      <c r="D191" s="0" t="s">
        <v>476</v>
      </c>
      <c r="E191" s="0" t="b">
        <v>0</v>
      </c>
    </row>
    <row r="192">
      <c r="A192" s="0" t="s">
        <v>6</v>
      </c>
      <c r="B192" s="0" t="s">
        <v>235</v>
      </c>
      <c r="C192" s="0" t="s">
        <v>358</v>
      </c>
      <c r="D192" s="0" t="s">
        <v>477</v>
      </c>
      <c r="E192" s="0" t="b">
        <v>0</v>
      </c>
    </row>
    <row r="193">
      <c r="A193" s="0" t="s">
        <v>6</v>
      </c>
      <c r="B193" s="0" t="s">
        <v>235</v>
      </c>
      <c r="C193" s="0" t="s">
        <v>358</v>
      </c>
      <c r="D193" s="0" t="s">
        <v>478</v>
      </c>
      <c r="E193" s="0" t="b">
        <v>0</v>
      </c>
    </row>
    <row r="194">
      <c r="A194" s="0" t="s">
        <v>6</v>
      </c>
      <c r="B194" s="0" t="s">
        <v>235</v>
      </c>
      <c r="C194" s="0" t="s">
        <v>358</v>
      </c>
      <c r="D194" s="0" t="s">
        <v>479</v>
      </c>
      <c r="E194" s="0" t="b">
        <v>0</v>
      </c>
    </row>
    <row r="195">
      <c r="A195" s="0" t="s">
        <v>6</v>
      </c>
      <c r="B195" s="0" t="s">
        <v>235</v>
      </c>
      <c r="C195" s="0" t="s">
        <v>358</v>
      </c>
      <c r="D195" s="0" t="s">
        <v>480</v>
      </c>
      <c r="E195" s="0" t="b">
        <v>0</v>
      </c>
    </row>
    <row r="196">
      <c r="A196" s="0" t="s">
        <v>6</v>
      </c>
      <c r="B196" s="0" t="s">
        <v>235</v>
      </c>
      <c r="C196" s="0" t="s">
        <v>358</v>
      </c>
      <c r="D196" s="0" t="s">
        <v>481</v>
      </c>
      <c r="E196" s="0" t="b">
        <v>0</v>
      </c>
    </row>
    <row r="197">
      <c r="A197" s="0" t="s">
        <v>6</v>
      </c>
      <c r="B197" s="0" t="s">
        <v>235</v>
      </c>
      <c r="C197" s="0" t="s">
        <v>358</v>
      </c>
      <c r="D197" s="0" t="s">
        <v>482</v>
      </c>
      <c r="E197" s="0" t="b">
        <v>0</v>
      </c>
    </row>
    <row r="198">
      <c r="A198" s="0" t="s">
        <v>6</v>
      </c>
      <c r="B198" s="0" t="s">
        <v>235</v>
      </c>
      <c r="C198" s="0" t="s">
        <v>358</v>
      </c>
      <c r="D198" s="0" t="s">
        <v>483</v>
      </c>
      <c r="E198" s="0" t="b">
        <v>0</v>
      </c>
    </row>
    <row r="199">
      <c r="A199" s="0" t="s">
        <v>6</v>
      </c>
      <c r="B199" s="0" t="s">
        <v>235</v>
      </c>
      <c r="C199" s="0" t="s">
        <v>358</v>
      </c>
      <c r="D199" s="0" t="s">
        <v>484</v>
      </c>
      <c r="E199" s="0" t="b">
        <v>0</v>
      </c>
    </row>
    <row r="200">
      <c r="A200" s="0" t="s">
        <v>6</v>
      </c>
      <c r="B200" s="0" t="s">
        <v>235</v>
      </c>
      <c r="C200" s="0" t="s">
        <v>358</v>
      </c>
      <c r="D200" s="0" t="s">
        <v>485</v>
      </c>
      <c r="E200" s="0" t="b">
        <v>0</v>
      </c>
    </row>
    <row r="201">
      <c r="A201" s="0" t="s">
        <v>6</v>
      </c>
      <c r="B201" s="0" t="s">
        <v>235</v>
      </c>
      <c r="C201" s="0" t="s">
        <v>358</v>
      </c>
      <c r="D201" s="0" t="s">
        <v>486</v>
      </c>
      <c r="E201" s="0" t="b">
        <v>0</v>
      </c>
    </row>
    <row r="202">
      <c r="A202" s="0" t="s">
        <v>6</v>
      </c>
      <c r="B202" s="0" t="s">
        <v>235</v>
      </c>
      <c r="C202" s="0" t="s">
        <v>358</v>
      </c>
      <c r="D202" s="0" t="s">
        <v>487</v>
      </c>
      <c r="E202" s="0" t="s">
        <v>488</v>
      </c>
    </row>
    <row r="203">
      <c r="A203" s="0" t="s">
        <v>6</v>
      </c>
      <c r="B203" s="0" t="s">
        <v>235</v>
      </c>
      <c r="C203" s="0" t="s">
        <v>358</v>
      </c>
      <c r="D203" s="0" t="s">
        <v>489</v>
      </c>
      <c r="E203" s="0">
        <v>1000</v>
      </c>
    </row>
    <row r="204">
      <c r="A204" s="0" t="s">
        <v>6</v>
      </c>
      <c r="B204" s="0" t="s">
        <v>235</v>
      </c>
      <c r="C204" s="0" t="s">
        <v>358</v>
      </c>
      <c r="D204" s="0" t="s">
        <v>490</v>
      </c>
      <c r="E204" s="0">
        <v>0</v>
      </c>
    </row>
    <row r="205">
      <c r="A205" s="0" t="s">
        <v>6</v>
      </c>
      <c r="B205" s="0" t="s">
        <v>235</v>
      </c>
      <c r="C205" s="0" t="s">
        <v>358</v>
      </c>
      <c r="D205" s="0" t="s">
        <v>491</v>
      </c>
      <c r="E205" s="0" t="s">
        <v>492</v>
      </c>
    </row>
    <row r="206">
      <c r="A206" s="0" t="s">
        <v>6</v>
      </c>
      <c r="B206" s="0" t="s">
        <v>235</v>
      </c>
      <c r="C206" s="0" t="s">
        <v>358</v>
      </c>
      <c r="D206" s="0" t="s">
        <v>493</v>
      </c>
      <c r="E206" s="0" t="b">
        <v>0</v>
      </c>
    </row>
    <row r="207">
      <c r="A207" s="0" t="s">
        <v>6</v>
      </c>
      <c r="B207" s="0" t="s">
        <v>235</v>
      </c>
      <c r="C207" s="0" t="s">
        <v>358</v>
      </c>
      <c r="D207" s="0" t="s">
        <v>494</v>
      </c>
      <c r="E207" s="0" t="s">
        <v>495</v>
      </c>
    </row>
    <row r="208">
      <c r="A208" s="0" t="s">
        <v>6</v>
      </c>
      <c r="B208" s="0" t="s">
        <v>235</v>
      </c>
      <c r="C208" s="0" t="s">
        <v>358</v>
      </c>
      <c r="D208" s="0" t="s">
        <v>496</v>
      </c>
      <c r="E208" s="0" t="s">
        <v>497</v>
      </c>
    </row>
    <row r="209">
      <c r="A209" s="0" t="s">
        <v>6</v>
      </c>
      <c r="B209" s="0" t="s">
        <v>235</v>
      </c>
      <c r="C209" s="0" t="s">
        <v>358</v>
      </c>
      <c r="D209" s="0" t="s">
        <v>498</v>
      </c>
      <c r="E209" s="0" t="s">
        <v>495</v>
      </c>
    </row>
    <row r="210">
      <c r="A210" s="0" t="s">
        <v>6</v>
      </c>
      <c r="B210" s="0" t="s">
        <v>235</v>
      </c>
      <c r="C210" s="0" t="s">
        <v>358</v>
      </c>
      <c r="D210" s="0" t="s">
        <v>499</v>
      </c>
      <c r="E210" s="0" t="s">
        <v>500</v>
      </c>
    </row>
    <row r="211">
      <c r="A211" s="0" t="s">
        <v>6</v>
      </c>
      <c r="B211" s="0" t="s">
        <v>235</v>
      </c>
      <c r="C211" s="0" t="s">
        <v>358</v>
      </c>
      <c r="D211" s="0" t="s">
        <v>501</v>
      </c>
      <c r="E211" s="0" t="s">
        <v>502</v>
      </c>
    </row>
    <row r="212">
      <c r="A212" s="0" t="s">
        <v>6</v>
      </c>
      <c r="B212" s="0" t="s">
        <v>235</v>
      </c>
      <c r="C212" s="0" t="s">
        <v>358</v>
      </c>
      <c r="D212" s="0" t="s">
        <v>503</v>
      </c>
      <c r="E212" s="0" t="s">
        <v>495</v>
      </c>
    </row>
    <row r="213">
      <c r="A213" s="0" t="s">
        <v>6</v>
      </c>
      <c r="B213" s="0" t="s">
        <v>235</v>
      </c>
      <c r="C213" s="0" t="s">
        <v>358</v>
      </c>
      <c r="D213" s="0" t="s">
        <v>504</v>
      </c>
      <c r="E213" s="0" t="b">
        <v>0</v>
      </c>
    </row>
    <row r="214">
      <c r="A214" s="0" t="s">
        <v>6</v>
      </c>
      <c r="B214" s="0" t="s">
        <v>235</v>
      </c>
      <c r="C214" s="0" t="s">
        <v>358</v>
      </c>
      <c r="D214" s="0" t="s">
        <v>505</v>
      </c>
      <c r="E214" s="0">
        <v>256</v>
      </c>
    </row>
    <row r="215">
      <c r="A215" s="0" t="s">
        <v>6</v>
      </c>
      <c r="B215" s="0" t="s">
        <v>235</v>
      </c>
      <c r="C215" s="0" t="s">
        <v>358</v>
      </c>
      <c r="D215" s="0" t="s">
        <v>506</v>
      </c>
      <c r="E215" s="0" t="s">
        <v>507</v>
      </c>
    </row>
    <row r="216">
      <c r="A216" s="0" t="s">
        <v>6</v>
      </c>
      <c r="B216" s="0" t="s">
        <v>235</v>
      </c>
      <c r="C216" s="0" t="s">
        <v>358</v>
      </c>
      <c r="D216" s="0" t="s">
        <v>508</v>
      </c>
    </row>
    <row r="217">
      <c r="A217" s="0" t="s">
        <v>6</v>
      </c>
      <c r="B217" s="0" t="s">
        <v>235</v>
      </c>
      <c r="C217" s="0" t="s">
        <v>358</v>
      </c>
      <c r="D217" s="0" t="s">
        <v>509</v>
      </c>
      <c r="E217" s="0" t="s">
        <v>510</v>
      </c>
    </row>
    <row r="218">
      <c r="A218" s="0" t="s">
        <v>6</v>
      </c>
      <c r="B218" s="0" t="s">
        <v>235</v>
      </c>
      <c r="C218" s="0" t="s">
        <v>358</v>
      </c>
      <c r="D218" s="0" t="s">
        <v>511</v>
      </c>
      <c r="E218" s="0">
        <v>300</v>
      </c>
    </row>
    <row r="219">
      <c r="A219" s="0" t="s">
        <v>6</v>
      </c>
      <c r="B219" s="0" t="s">
        <v>235</v>
      </c>
      <c r="C219" s="0" t="s">
        <v>358</v>
      </c>
      <c r="D219" s="0" t="s">
        <v>512</v>
      </c>
      <c r="E219" s="0">
        <v>20</v>
      </c>
    </row>
    <row r="220">
      <c r="A220" s="0" t="s">
        <v>6</v>
      </c>
      <c r="B220" s="0" t="s">
        <v>235</v>
      </c>
      <c r="C220" s="0" t="s">
        <v>358</v>
      </c>
      <c r="D220" s="0" t="s">
        <v>513</v>
      </c>
      <c r="E220" s="0">
        <v>200</v>
      </c>
    </row>
    <row r="221">
      <c r="A221" s="0" t="s">
        <v>6</v>
      </c>
      <c r="B221" s="0" t="s">
        <v>235</v>
      </c>
      <c r="C221" s="0" t="s">
        <v>358</v>
      </c>
      <c r="D221" s="0" t="s">
        <v>514</v>
      </c>
      <c r="E221" s="0">
        <v>1</v>
      </c>
    </row>
    <row r="222">
      <c r="A222" s="0" t="s">
        <v>6</v>
      </c>
      <c r="B222" s="0" t="s">
        <v>235</v>
      </c>
      <c r="C222" s="0" t="s">
        <v>358</v>
      </c>
      <c r="D222" s="0" t="s">
        <v>515</v>
      </c>
      <c r="E222" s="0">
        <v>600</v>
      </c>
    </row>
    <row r="223">
      <c r="A223" s="0" t="s">
        <v>6</v>
      </c>
      <c r="B223" s="0" t="s">
        <v>235</v>
      </c>
      <c r="C223" s="0" t="s">
        <v>358</v>
      </c>
      <c r="D223" s="0" t="s">
        <v>516</v>
      </c>
      <c r="E223" s="0" t="b">
        <v>0</v>
      </c>
    </row>
    <row r="224">
      <c r="A224" s="0" t="s">
        <v>6</v>
      </c>
      <c r="B224" s="0" t="s">
        <v>235</v>
      </c>
      <c r="C224" s="0" t="s">
        <v>358</v>
      </c>
      <c r="D224" s="0" t="s">
        <v>517</v>
      </c>
      <c r="E224" s="0">
        <v>100000</v>
      </c>
    </row>
    <row r="225">
      <c r="A225" s="0" t="s">
        <v>6</v>
      </c>
      <c r="B225" s="0" t="s">
        <v>7</v>
      </c>
      <c r="C225" s="0" t="s">
        <v>236</v>
      </c>
      <c r="D225" s="0" t="s">
        <v>518</v>
      </c>
      <c r="E225" s="0" t="s">
        <v>7</v>
      </c>
    </row>
    <row r="226">
      <c r="A226" s="0" t="s">
        <v>6</v>
      </c>
      <c r="B226" s="0" t="s">
        <v>7</v>
      </c>
      <c r="C226" s="0" t="s">
        <v>236</v>
      </c>
      <c r="D226" s="0" t="s">
        <v>519</v>
      </c>
      <c r="E226" s="0" t="s">
        <v>7</v>
      </c>
    </row>
    <row r="227">
      <c r="A227" s="0" t="s">
        <v>6</v>
      </c>
      <c r="B227" s="0" t="s">
        <v>7</v>
      </c>
      <c r="C227" s="0" t="s">
        <v>236</v>
      </c>
      <c r="D227" s="0" t="s">
        <v>520</v>
      </c>
      <c r="E227" s="0" t="s">
        <v>7</v>
      </c>
    </row>
    <row r="228">
      <c r="A228" s="0" t="s">
        <v>6</v>
      </c>
      <c r="B228" s="0" t="s">
        <v>7</v>
      </c>
      <c r="C228" s="0" t="s">
        <v>236</v>
      </c>
      <c r="D228" s="0" t="s">
        <v>521</v>
      </c>
      <c r="E228" s="0" t="s">
        <v>7</v>
      </c>
    </row>
    <row r="229">
      <c r="A229" s="0" t="s">
        <v>6</v>
      </c>
      <c r="B229" s="0" t="s">
        <v>89</v>
      </c>
      <c r="C229" s="0" t="s">
        <v>236</v>
      </c>
      <c r="D229" s="0" t="s">
        <v>518</v>
      </c>
      <c r="E229" s="0" t="s">
        <v>89</v>
      </c>
    </row>
    <row r="230">
      <c r="A230" s="0" t="s">
        <v>6</v>
      </c>
      <c r="B230" s="0" t="s">
        <v>89</v>
      </c>
      <c r="C230" s="0" t="s">
        <v>236</v>
      </c>
      <c r="D230" s="0" t="s">
        <v>519</v>
      </c>
      <c r="E230" s="0" t="s">
        <v>89</v>
      </c>
    </row>
    <row r="231">
      <c r="A231" s="0" t="s">
        <v>6</v>
      </c>
      <c r="B231" s="0" t="s">
        <v>89</v>
      </c>
      <c r="C231" s="0" t="s">
        <v>236</v>
      </c>
      <c r="D231" s="0" t="s">
        <v>520</v>
      </c>
      <c r="E231" s="0" t="s">
        <v>89</v>
      </c>
    </row>
    <row r="232">
      <c r="A232" s="0" t="s">
        <v>6</v>
      </c>
      <c r="B232" s="0" t="s">
        <v>89</v>
      </c>
      <c r="C232" s="0" t="s">
        <v>236</v>
      </c>
      <c r="D232" s="0" t="s">
        <v>521</v>
      </c>
      <c r="E232" s="0" t="s">
        <v>89</v>
      </c>
    </row>
  </sheetData>
  <autoFilter ref="A1:E1"/>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state="frozen" activePane="bottomLeft"/>
      <selection pane="bottomLeft" activeCell="A3" sqref="A3"/>
    </sheetView>
  </sheetViews>
  <sheetFormatPr defaultRowHeight="15"/>
  <cols>
    <col min="1" max="1" width="11.9492473602295" customWidth="1"/>
    <col min="2" max="2" width="21.2461223602295" customWidth="1"/>
    <col min="3" max="3" width="17.0911750793457" customWidth="1"/>
    <col min="4" max="4" width="19.5058879852295" customWidth="1"/>
    <col min="5" max="5" width="113.15495300293" customWidth="1"/>
  </cols>
  <sheetData>
    <row r="1" s="94" customFormat="1">
      <c r="A1" s="94" t="s">
        <v>653</v>
      </c>
      <c r="B1" s="94" t="s">
        <v>654</v>
      </c>
      <c r="C1" s="94" t="s">
        <v>0</v>
      </c>
      <c r="D1" s="94" t="s">
        <v>655</v>
      </c>
      <c r="E1" s="94" t="s">
        <v>656</v>
      </c>
    </row>
    <row r="2">
      <c r="A2" s="0" t="s">
        <v>531</v>
      </c>
      <c r="B2" s="0" t="s">
        <v>657</v>
      </c>
      <c r="C2" s="0" t="s">
        <v>658</v>
      </c>
      <c r="D2" s="0">
        <v>1</v>
      </c>
      <c r="E2" s="0" t="s">
        <v>659</v>
      </c>
    </row>
  </sheetData>
  <autoFilter ref="A1:E1"/>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4"/>
  <sheetViews>
    <sheetView workbookViewId="0">
      <pane ySplit="2" topLeftCell="A3" state="frozen" activePane="bottomLeft"/>
      <selection pane="bottomLeft" activeCell="A4" sqref="A4"/>
    </sheetView>
  </sheetViews>
  <sheetFormatPr defaultRowHeight="15"/>
  <cols>
    <col min="1" max="1" width="9.140625" customWidth="1"/>
    <col min="2" max="2" width="17.5456943511963" customWidth="1"/>
    <col min="3" max="3" width="9.140625" customWidth="1"/>
    <col min="4" max="4" width="14.9317626953125" customWidth="1"/>
    <col min="5" max="5" width="13.4964017868042" customWidth="1"/>
    <col min="6" max="6" width="28.278392791748" customWidth="1"/>
    <col min="7" max="7" width="15.0893144607544" customWidth="1"/>
    <col min="8" max="8" width="9.140625" customWidth="1"/>
    <col min="9" max="9" width="10.100848197937" customWidth="1" style="126"/>
    <col min="10" max="10" width="13.0677366256714" customWidth="1" style="126"/>
    <col min="11" max="11" width="14.094614982605" customWidth="1"/>
    <col min="12" max="12" width="17.9927740097046" customWidth="1" style="105"/>
    <col min="13" max="13" width="13.2621202468872" customWidth="1" style="129"/>
    <col min="14" max="14" width="11.6119155883789" customWidth="1" style="129"/>
    <col min="15" max="15" width="9.140625" customWidth="1" style="129"/>
    <col min="16" max="16" width="9.140625" customWidth="1" style="129"/>
    <col min="17" max="17" width="9.60363817214966" customWidth="1" style="129"/>
    <col min="18" max="18" width="9.140625" customWidth="1" style="129"/>
  </cols>
  <sheetData>
    <row r="1" s="94" customFormat="1">
      <c r="A1" s="128"/>
      <c r="B1" s="128"/>
      <c r="C1" s="128"/>
      <c r="D1" s="128"/>
      <c r="E1" s="128"/>
      <c r="F1" s="128"/>
      <c r="G1" s="128"/>
      <c r="H1" s="108" t="s">
        <v>660</v>
      </c>
      <c r="I1" s="127" t="s">
        <v>660</v>
      </c>
      <c r="J1" s="127" t="s">
        <v>660</v>
      </c>
      <c r="K1" s="110" t="s">
        <v>660</v>
      </c>
      <c r="L1" s="106"/>
      <c r="M1" s="130" t="s">
        <v>661</v>
      </c>
      <c r="N1" s="132" t="s">
        <v>661</v>
      </c>
      <c r="O1" s="132" t="s">
        <v>661</v>
      </c>
      <c r="P1" s="132" t="s">
        <v>661</v>
      </c>
      <c r="Q1" s="132" t="s">
        <v>661</v>
      </c>
      <c r="R1" s="134" t="s">
        <v>661</v>
      </c>
    </row>
    <row r="2" s="94" customFormat="1">
      <c r="A2" s="128" t="s">
        <v>540</v>
      </c>
      <c r="B2" s="128" t="s">
        <v>662</v>
      </c>
      <c r="C2" s="128" t="s">
        <v>653</v>
      </c>
      <c r="D2" s="128" t="s">
        <v>663</v>
      </c>
      <c r="E2" s="128" t="s">
        <v>664</v>
      </c>
      <c r="F2" s="128" t="s">
        <v>529</v>
      </c>
      <c r="G2" s="128" t="s">
        <v>665</v>
      </c>
      <c r="H2" s="109" t="s">
        <v>666</v>
      </c>
      <c r="I2" s="128" t="s">
        <v>667</v>
      </c>
      <c r="J2" s="128" t="s">
        <v>668</v>
      </c>
      <c r="K2" s="111" t="s">
        <v>669</v>
      </c>
      <c r="L2" s="106" t="s">
        <v>670</v>
      </c>
      <c r="M2" s="131" t="s">
        <v>671</v>
      </c>
      <c r="N2" s="133" t="s">
        <v>672</v>
      </c>
      <c r="O2" s="133" t="s">
        <v>673</v>
      </c>
      <c r="P2" s="133" t="s">
        <v>674</v>
      </c>
      <c r="Q2" s="133" t="s">
        <v>675</v>
      </c>
      <c r="R2" s="135" t="s">
        <v>676</v>
      </c>
      <c r="S2" s="94" t="s">
        <v>677</v>
      </c>
      <c r="T2" s="94" t="s">
        <v>656</v>
      </c>
    </row>
    <row r="3">
      <c r="A3" s="0" t="b">
        <v>0</v>
      </c>
      <c r="B3" s="0" t="s">
        <v>531</v>
      </c>
      <c r="C3" s="0" t="s">
        <v>678</v>
      </c>
      <c r="D3" s="0" t="s">
        <v>679</v>
      </c>
      <c r="F3" s="0" t="s">
        <v>533</v>
      </c>
      <c r="G3" s="0" t="s">
        <v>680</v>
      </c>
      <c r="I3" s="126">
        <v>0</v>
      </c>
      <c r="J3" s="126">
        <v>0.1</v>
      </c>
      <c r="K3" s="0" t="s">
        <v>681</v>
      </c>
      <c r="L3" s="105">
        <v>10</v>
      </c>
      <c r="M3" s="129">
        <v>0</v>
      </c>
      <c r="N3" s="129">
        <v>0</v>
      </c>
      <c r="O3" s="129">
        <v>0</v>
      </c>
      <c r="P3" s="129">
        <v>0</v>
      </c>
      <c r="Q3" s="129">
        <v>0</v>
      </c>
      <c r="R3" s="129">
        <v>2</v>
      </c>
      <c r="T3" s="0" t="s">
        <v>682</v>
      </c>
    </row>
    <row r="4">
      <c r="A4" s="0" t="b">
        <v>1</v>
      </c>
      <c r="B4" s="0" t="s">
        <v>531</v>
      </c>
      <c r="C4" s="0" t="s">
        <v>532</v>
      </c>
      <c r="D4" s="0" t="s">
        <v>683</v>
      </c>
      <c r="F4" s="0" t="s">
        <v>533</v>
      </c>
      <c r="G4" s="0" t="s">
        <v>680</v>
      </c>
      <c r="I4" s="126">
        <v>0</v>
      </c>
      <c r="J4" s="126">
        <v>0.1</v>
      </c>
      <c r="K4" s="0" t="s">
        <v>681</v>
      </c>
      <c r="L4" s="105">
        <v>10</v>
      </c>
      <c r="M4" s="129">
        <v>0</v>
      </c>
      <c r="N4" s="129">
        <v>0</v>
      </c>
      <c r="O4" s="129">
        <v>0</v>
      </c>
      <c r="P4" s="129">
        <v>0</v>
      </c>
      <c r="Q4" s="129">
        <v>0</v>
      </c>
      <c r="R4" s="129">
        <v>2</v>
      </c>
      <c r="T4" s="0" t="s">
        <v>684</v>
      </c>
    </row>
  </sheetData>
  <autoFilter ref="A2:R2"/>
  <mergeCells>
    <mergeCell ref="H1:K1"/>
    <mergeCell ref="M1:R1"/>
  </mergeCells>
  <pageMargins left="0.7" right="0.7" top="0.75" bottom="0.75" header="0.3" footer="0.3"/>
  <pageSetup orientation="portrait"/>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customWidth="1" style="33"/>
    <col min="11" max="11" width="6.5703125" customWidth="1" style="33"/>
    <col min="12" max="12" width="11.42578125" customWidth="1" style="33"/>
    <col min="13" max="14" width="24.28515625" customWidth="1" style="33"/>
    <col min="15" max="15" width="4.42578125" customWidth="1" style="33"/>
    <col min="16" max="16" width="11.42578125" customWidth="1" style="33"/>
    <col min="17" max="17" width="24.28515625" customWidth="1" style="33"/>
    <col min="18" max="18" width="24.28515625" customWidth="1"/>
    <col min="19" max="19" width="8.5703125" customWidth="1" style="33"/>
    <col min="20" max="20" width="18" customWidth="1"/>
    <col min="21" max="21" width="20.42578125" customWidth="1"/>
    <col min="22" max="22" width="27.42578125" customWidth="1"/>
  </cols>
  <sheetData>
    <row r="1" s="29" customFormat="1">
      <c r="A1" s="14"/>
      <c r="B1" s="15"/>
      <c r="C1" s="79" t="s">
        <v>536</v>
      </c>
      <c r="D1" s="80"/>
      <c r="E1" s="80"/>
      <c r="F1" s="80"/>
      <c r="G1" s="80"/>
      <c r="H1" s="80"/>
      <c r="I1" s="80"/>
      <c r="J1" s="80"/>
      <c r="L1" s="79" t="s">
        <v>139</v>
      </c>
      <c r="M1" s="80"/>
      <c r="N1" s="80"/>
      <c r="O1" s="80"/>
      <c r="P1" s="80"/>
      <c r="Q1" s="80"/>
      <c r="R1" s="80"/>
      <c r="S1" s="37"/>
      <c r="T1" s="37"/>
      <c r="U1" s="37"/>
      <c r="V1" s="37"/>
    </row>
    <row r="2">
      <c r="A2" s="14"/>
      <c r="B2" s="15"/>
      <c r="C2" s="75" t="s">
        <v>0</v>
      </c>
      <c r="D2" s="76" t="s">
        <v>539</v>
      </c>
      <c r="E2" s="30"/>
      <c r="F2" s="30"/>
      <c r="G2" s="75" t="s">
        <v>0</v>
      </c>
      <c r="H2" s="76" t="s">
        <v>539</v>
      </c>
      <c r="I2" s="30"/>
      <c r="J2" s="37"/>
      <c r="K2" s="37"/>
      <c r="L2" s="71" t="s">
        <v>0</v>
      </c>
      <c r="M2" s="72" t="s">
        <v>539</v>
      </c>
      <c r="N2" s="37"/>
      <c r="O2" s="37"/>
      <c r="P2" s="71" t="s">
        <v>0</v>
      </c>
      <c r="Q2" s="72" t="s">
        <v>539</v>
      </c>
      <c r="R2" s="37"/>
      <c r="S2" s="37"/>
      <c r="T2" s="33"/>
      <c r="U2" s="33"/>
      <c r="V2" s="37"/>
    </row>
    <row r="3">
      <c r="A3" s="14"/>
      <c r="B3" s="14"/>
      <c r="C3" s="75" t="s">
        <v>522</v>
      </c>
      <c r="D3" s="76" t="s">
        <v>539</v>
      </c>
      <c r="G3" s="75" t="s">
        <v>522</v>
      </c>
      <c r="H3" s="76" t="s">
        <v>539</v>
      </c>
      <c r="L3" s="71" t="s">
        <v>522</v>
      </c>
      <c r="M3" s="72" t="s">
        <v>539</v>
      </c>
      <c r="P3" s="71" t="s">
        <v>522</v>
      </c>
      <c r="Q3" s="72" t="s">
        <v>539</v>
      </c>
      <c r="R3" s="33"/>
      <c r="T3" s="33"/>
      <c r="U3" s="33"/>
      <c r="V3" s="33"/>
    </row>
    <row r="4">
      <c r="A4" s="14"/>
      <c r="B4" s="14"/>
      <c r="C4" s="75" t="s">
        <v>540</v>
      </c>
      <c r="D4" s="76" t="s">
        <v>539</v>
      </c>
      <c r="G4" s="75" t="s">
        <v>540</v>
      </c>
      <c r="H4" s="76" t="s">
        <v>539</v>
      </c>
      <c r="L4" s="71" t="s">
        <v>540</v>
      </c>
      <c r="M4" s="72" t="s">
        <v>539</v>
      </c>
      <c r="P4" s="71" t="s">
        <v>540</v>
      </c>
      <c r="Q4" s="72" t="s">
        <v>539</v>
      </c>
      <c r="R4" s="33"/>
      <c r="T4" s="33"/>
      <c r="U4" s="33"/>
      <c r="V4" s="33"/>
    </row>
    <row r="5">
      <c r="A5" s="14"/>
      <c r="B5" s="14"/>
      <c r="C5" s="75" t="s">
        <v>541</v>
      </c>
      <c r="D5" s="76" t="s">
        <v>685</v>
      </c>
      <c r="G5" s="75" t="s">
        <v>541</v>
      </c>
      <c r="H5" s="76" t="s">
        <v>686</v>
      </c>
      <c r="L5" s="71" t="s">
        <v>541</v>
      </c>
      <c r="M5" s="72" t="s">
        <v>687</v>
      </c>
      <c r="P5" s="71" t="s">
        <v>541</v>
      </c>
      <c r="Q5" s="72" t="s">
        <v>688</v>
      </c>
      <c r="R5" s="33"/>
      <c r="T5" s="33"/>
      <c r="U5" s="33"/>
      <c r="V5" s="33"/>
    </row>
    <row r="6">
      <c r="A6" s="14"/>
      <c r="B6" s="14"/>
      <c r="R6" s="33"/>
      <c r="T6" s="33"/>
      <c r="U6" s="33"/>
      <c r="V6" s="33"/>
    </row>
    <row r="7">
      <c r="A7" s="10" t="s">
        <v>548</v>
      </c>
      <c r="B7" s="10" t="s">
        <v>529</v>
      </c>
      <c r="C7" s="75" t="s">
        <v>523</v>
      </c>
      <c r="D7" s="76" t="s">
        <v>689</v>
      </c>
      <c r="E7" s="76" t="s">
        <v>553</v>
      </c>
      <c r="G7" s="75" t="s">
        <v>523</v>
      </c>
      <c r="H7" s="76" t="s">
        <v>690</v>
      </c>
      <c r="I7" s="76" t="s">
        <v>691</v>
      </c>
      <c r="J7" s="76" t="s">
        <v>692</v>
      </c>
      <c r="L7" s="71" t="s">
        <v>523</v>
      </c>
      <c r="M7" s="72" t="s">
        <v>693</v>
      </c>
      <c r="N7" s="72" t="s">
        <v>553</v>
      </c>
      <c r="P7" s="71" t="s">
        <v>523</v>
      </c>
      <c r="Q7" s="72" t="s">
        <v>689</v>
      </c>
      <c r="R7" s="72" t="s">
        <v>553</v>
      </c>
      <c r="T7" s="33"/>
      <c r="U7" s="33"/>
      <c r="V7" s="33"/>
    </row>
    <row r="8">
      <c r="A8" s="9" t="str">
        <f>INDEX('DDL Tables'!$B:$B,MATCH(C8,'DDL Tables'!$C:$C,0))</f>
        <v>TestKS</v>
      </c>
      <c r="B8" s="9" t="str">
        <f>INDEX('DDL Tables'!$F:$F,MATCH(C8,'DDL Tables'!$C:$C,0))</f>
        <v>SizeTieredCompactionStrategy</v>
      </c>
      <c r="C8" s="2" t="s">
        <v>559</v>
      </c>
      <c r="D8" s="6">
        <v>0.025</v>
      </c>
      <c r="E8" s="6">
        <v>0</v>
      </c>
      <c r="G8" s="2" t="s">
        <v>559</v>
      </c>
      <c r="H8" s="3">
        <v>23</v>
      </c>
      <c r="I8" s="3">
        <v>23</v>
      </c>
      <c r="J8" s="76">
        <v>23</v>
      </c>
      <c r="K8" s="3"/>
      <c r="L8" s="2" t="s">
        <v>559</v>
      </c>
      <c r="M8" s="3">
        <v>35</v>
      </c>
      <c r="N8" s="3">
        <v>0</v>
      </c>
      <c r="O8" s="3"/>
      <c r="P8" s="2" t="s">
        <v>559</v>
      </c>
      <c r="Q8" s="6">
        <v>10</v>
      </c>
      <c r="R8" s="6">
        <v>0</v>
      </c>
      <c r="S8" s="3"/>
      <c r="T8" s="2"/>
      <c r="U8" s="3"/>
      <c r="V8" s="3"/>
    </row>
    <row r="9">
      <c r="C9" s="2" t="s">
        <v>560</v>
      </c>
      <c r="D9" s="6">
        <v>0.025</v>
      </c>
      <c r="E9" s="6">
        <v>0</v>
      </c>
      <c r="G9" s="2" t="s">
        <v>560</v>
      </c>
      <c r="H9" s="3">
        <v>23</v>
      </c>
      <c r="I9" s="3">
        <v>23</v>
      </c>
      <c r="J9" s="76">
        <v>23</v>
      </c>
      <c r="K9" s="3"/>
      <c r="L9" s="2" t="s">
        <v>560</v>
      </c>
      <c r="M9" s="3">
        <v>35</v>
      </c>
      <c r="N9" s="3">
        <v>0</v>
      </c>
      <c r="O9" s="3"/>
      <c r="P9" s="2" t="s">
        <v>560</v>
      </c>
      <c r="Q9" s="6">
        <v>10</v>
      </c>
      <c r="R9" s="6">
        <v>0</v>
      </c>
      <c r="S9" s="3"/>
      <c r="T9" s="2"/>
      <c r="U9" s="3"/>
      <c r="V9" s="3"/>
    </row>
  </sheetData>
  <mergeCells>
    <mergeCell ref="L1:R1"/>
    <mergeCell ref="C1:J1"/>
  </mergeCells>
  <pageMargins left="0.7" right="0.7" top="0.75" bottom="0.75" header="0.3" footer="0.3"/>
  <pageSetup orientation="portrait"/>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customWidth="1" style="33"/>
    <col min="2" max="2" bestFit="1" width="11.42578125" customWidth="1" style="33"/>
    <col min="3" max="3" bestFit="1" width="19.140625" customWidth="1" style="33"/>
    <col min="4" max="4" width="24.28515625" customWidth="1" style="33"/>
    <col min="5" max="5" width="9.140625" customWidth="1" style="33"/>
    <col min="6" max="6" bestFit="1" width="11.42578125" customWidth="1" style="33"/>
    <col min="7" max="7" width="17.7109375" customWidth="1" style="33"/>
    <col min="8" max="8" width="8" customWidth="1" style="33"/>
    <col min="9" max="9" width="11.42578125" customWidth="1" style="33"/>
    <col min="10" max="11" width="24.28515625" customWidth="1" style="33"/>
    <col min="12" max="12" width="9.140625" customWidth="1" style="33"/>
    <col min="13" max="13" width="11.42578125" customWidth="1" style="33"/>
    <col min="14" max="14" width="17.85546875" customWidth="1" style="33"/>
    <col min="15" max="15" width="11.5703125" customWidth="1" style="33"/>
    <col min="16" max="16" width="17.5703125" customWidth="1" style="33"/>
    <col min="17" max="17" width="19.5703125" customWidth="1" style="33"/>
    <col min="18" max="18" width="6.85546875" customWidth="1" style="33"/>
    <col min="19" max="19" width="11.42578125" customWidth="1" style="33"/>
    <col min="20" max="20" width="19.5703125" customWidth="1" style="33"/>
    <col min="21" max="21" width="16.5703125" customWidth="1" style="33"/>
    <col min="22" max="22" width="24.28515625" customWidth="1" style="33"/>
    <col min="23" max="16384" width="9.140625" customWidth="1" style="33"/>
  </cols>
  <sheetData>
    <row r="1">
      <c r="A1" s="15"/>
      <c r="B1" s="79" t="s">
        <v>536</v>
      </c>
      <c r="C1" s="80"/>
      <c r="D1" s="80"/>
      <c r="E1" s="80"/>
      <c r="F1" s="80"/>
      <c r="G1" s="80"/>
      <c r="H1" s="37"/>
      <c r="I1" s="79" t="s">
        <v>139</v>
      </c>
      <c r="J1" s="80"/>
      <c r="K1" s="80"/>
      <c r="M1" s="83" t="s">
        <v>694</v>
      </c>
      <c r="N1" s="84"/>
      <c r="O1" s="80"/>
      <c r="P1" s="80"/>
      <c r="Q1" s="80"/>
      <c r="R1" s="80"/>
      <c r="S1" s="80"/>
      <c r="T1" s="80"/>
      <c r="U1" s="80"/>
      <c r="V1" s="80"/>
      <c r="W1" s="80"/>
      <c r="X1" s="80"/>
    </row>
    <row r="2">
      <c r="A2" s="15"/>
      <c r="B2" s="75" t="s">
        <v>0</v>
      </c>
      <c r="C2" s="76" t="s">
        <v>539</v>
      </c>
      <c r="D2" s="15"/>
      <c r="E2" s="15"/>
      <c r="F2" s="81" t="s">
        <v>0</v>
      </c>
      <c r="G2" s="82" t="s">
        <v>539</v>
      </c>
      <c r="I2" s="71" t="s">
        <v>0</v>
      </c>
      <c r="J2" s="72" t="s">
        <v>539</v>
      </c>
      <c r="K2" s="37"/>
      <c r="M2" s="38"/>
      <c r="N2" s="38"/>
      <c r="O2" s="38"/>
      <c r="P2" s="38"/>
      <c r="Q2" s="38"/>
      <c r="R2" s="38"/>
      <c r="S2" s="38"/>
      <c r="T2" s="38"/>
      <c r="U2" s="38"/>
      <c r="V2" s="38"/>
      <c r="W2" s="38"/>
      <c r="X2" s="38"/>
    </row>
    <row r="3">
      <c r="A3" s="15"/>
      <c r="B3" s="75" t="s">
        <v>522</v>
      </c>
      <c r="C3" s="76" t="s">
        <v>539</v>
      </c>
      <c r="D3" s="15"/>
      <c r="E3" s="15"/>
      <c r="F3" s="81" t="s">
        <v>522</v>
      </c>
      <c r="G3" s="82" t="s">
        <v>539</v>
      </c>
      <c r="I3" s="71" t="s">
        <v>522</v>
      </c>
      <c r="J3" s="72" t="s">
        <v>539</v>
      </c>
      <c r="K3" s="37"/>
      <c r="M3" s="38"/>
      <c r="N3" s="39"/>
      <c r="O3" s="39"/>
      <c r="P3" s="39"/>
      <c r="Q3" s="39"/>
      <c r="R3" s="39"/>
      <c r="S3" s="39"/>
      <c r="T3" s="39"/>
      <c r="U3" s="39"/>
      <c r="V3" s="39"/>
      <c r="W3" s="39"/>
      <c r="X3" s="39"/>
    </row>
    <row r="4">
      <c r="A4" s="15"/>
      <c r="B4" s="75" t="s">
        <v>523</v>
      </c>
      <c r="C4" s="76" t="s">
        <v>539</v>
      </c>
      <c r="F4" s="75" t="s">
        <v>523</v>
      </c>
      <c r="G4" s="76" t="s">
        <v>539</v>
      </c>
      <c r="I4" s="71" t="s">
        <v>523</v>
      </c>
      <c r="J4" s="72" t="s">
        <v>539</v>
      </c>
      <c r="M4" s="15"/>
      <c r="N4" s="15"/>
      <c r="S4" s="15"/>
      <c r="T4" s="15"/>
    </row>
    <row r="5">
      <c r="A5" s="15"/>
      <c r="B5" s="75" t="s">
        <v>540</v>
      </c>
      <c r="C5" s="76" t="s">
        <v>539</v>
      </c>
      <c r="F5" s="75" t="s">
        <v>540</v>
      </c>
      <c r="G5" s="76" t="s">
        <v>539</v>
      </c>
      <c r="I5" s="71" t="s">
        <v>540</v>
      </c>
      <c r="J5" s="72" t="s">
        <v>539</v>
      </c>
      <c r="M5" s="73" t="s">
        <v>0</v>
      </c>
      <c r="N5" s="74" t="s">
        <v>539</v>
      </c>
      <c r="S5" s="73" t="s">
        <v>0</v>
      </c>
      <c r="T5" s="74" t="s">
        <v>539</v>
      </c>
    </row>
    <row r="6">
      <c r="A6" s="15"/>
      <c r="B6" s="75" t="s">
        <v>541</v>
      </c>
      <c r="C6" s="76" t="s">
        <v>685</v>
      </c>
      <c r="F6" s="75" t="s">
        <v>541</v>
      </c>
      <c r="G6" s="76" t="s">
        <v>686</v>
      </c>
      <c r="I6" s="71" t="s">
        <v>541</v>
      </c>
      <c r="J6" s="72" t="s">
        <v>688</v>
      </c>
      <c r="M6" s="73" t="s">
        <v>541</v>
      </c>
      <c r="N6" s="74" t="s">
        <v>538</v>
      </c>
      <c r="S6" s="73" t="s">
        <v>541</v>
      </c>
      <c r="T6" s="74" t="s">
        <v>538</v>
      </c>
    </row>
    <row r="7">
      <c r="A7" s="15"/>
    </row>
    <row r="8">
      <c r="A8" s="10" t="s">
        <v>148</v>
      </c>
      <c r="B8" s="75" t="s">
        <v>570</v>
      </c>
      <c r="C8" s="76" t="s">
        <v>689</v>
      </c>
      <c r="D8" s="76" t="s">
        <v>553</v>
      </c>
      <c r="F8" s="75" t="s">
        <v>570</v>
      </c>
      <c r="G8" s="33" t="s">
        <v>695</v>
      </c>
      <c r="I8" s="71" t="s">
        <v>523</v>
      </c>
      <c r="J8" s="72" t="s">
        <v>689</v>
      </c>
      <c r="K8" s="72" t="s">
        <v>553</v>
      </c>
      <c r="M8" s="73" t="s">
        <v>570</v>
      </c>
      <c r="N8" s="74" t="s">
        <v>624</v>
      </c>
      <c r="O8" s="74" t="s">
        <v>696</v>
      </c>
      <c r="P8" s="74" t="s">
        <v>626</v>
      </c>
      <c r="Q8" s="74" t="s">
        <v>627</v>
      </c>
      <c r="S8" s="73" t="s">
        <v>570</v>
      </c>
      <c r="T8" s="74" t="s">
        <v>697</v>
      </c>
      <c r="U8" s="74" t="s">
        <v>698</v>
      </c>
      <c r="V8" s="74" t="s">
        <v>699</v>
      </c>
    </row>
    <row r="9">
      <c r="A9" s="13">
        <f>INDEX('Node Information'!J:$J,MATCH(B9,'Node Information'!$A:$A,0))</f>
        <v>0.0654282407407407</v>
      </c>
      <c r="B9" s="2" t="s">
        <v>562</v>
      </c>
      <c r="C9" s="6">
        <v>0.025</v>
      </c>
      <c r="D9" s="6">
        <v>0</v>
      </c>
      <c r="E9" s="6"/>
      <c r="F9" s="2" t="s">
        <v>562</v>
      </c>
      <c r="G9" s="3">
        <v>23</v>
      </c>
      <c r="H9" s="3"/>
      <c r="I9" s="2" t="s">
        <v>562</v>
      </c>
      <c r="J9" s="6">
        <v>10</v>
      </c>
      <c r="K9" s="6">
        <v>0</v>
      </c>
      <c r="M9" s="2" t="s">
        <v>562</v>
      </c>
      <c r="N9" s="3">
        <v>1</v>
      </c>
      <c r="O9" s="3">
        <v>0.5</v>
      </c>
      <c r="P9" s="3">
        <v>0</v>
      </c>
      <c r="Q9" s="3">
        <v>0</v>
      </c>
      <c r="S9" s="2" t="s">
        <v>562</v>
      </c>
      <c r="T9" s="3">
        <v>20388021892</v>
      </c>
      <c r="U9" s="3">
        <v>0</v>
      </c>
      <c r="V9" s="3">
        <v>0</v>
      </c>
    </row>
    <row r="10">
      <c r="B10" s="2" t="s">
        <v>560</v>
      </c>
      <c r="C10" s="6">
        <v>0.025</v>
      </c>
      <c r="D10" s="6">
        <v>0</v>
      </c>
      <c r="E10" s="6"/>
      <c r="F10" s="2" t="s">
        <v>560</v>
      </c>
      <c r="G10" s="3">
        <v>23</v>
      </c>
      <c r="H10" s="3"/>
      <c r="I10" s="2" t="s">
        <v>560</v>
      </c>
      <c r="J10" s="6">
        <v>10</v>
      </c>
      <c r="K10" s="6">
        <v>0</v>
      </c>
      <c r="M10" s="2" t="s">
        <v>560</v>
      </c>
      <c r="N10" s="3">
        <v>1</v>
      </c>
      <c r="O10" s="3">
        <v>0.5</v>
      </c>
      <c r="P10" s="3">
        <v>0</v>
      </c>
      <c r="Q10" s="3">
        <v>0</v>
      </c>
      <c r="S10" s="2" t="s">
        <v>560</v>
      </c>
      <c r="T10" s="3">
        <v>20388021892</v>
      </c>
      <c r="U10" s="3">
        <v>0</v>
      </c>
      <c r="V10" s="3">
        <v>0</v>
      </c>
    </row>
    <row r="15">
      <c r="F15" s="37"/>
    </row>
    <row r="21">
      <c r="D21" s="2"/>
      <c r="E21" s="3"/>
      <c r="F21" s="3"/>
    </row>
    <row r="22">
      <c r="D22" s="2"/>
      <c r="E22" s="3"/>
      <c r="F22" s="3"/>
    </row>
  </sheetData>
  <mergeCells>
    <mergeCell ref="F2:G2"/>
    <mergeCell ref="M1:X1"/>
    <mergeCell ref="F3:G3"/>
    <mergeCell ref="B1:G1"/>
    <mergeCell ref="I1:K1"/>
  </mergeCells>
  <pageMargins left="0.7" right="0.7" top="0.75" bottom="0.75" header="0.3" footer="0.3"/>
  <pageSetup orientation="portrait"/>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customWidth="1" style="9"/>
    <col min="3" max="3" width="11.42578125" customWidth="1"/>
    <col min="4" max="4" width="20" customWidth="1"/>
    <col min="5" max="5" width="24.28515625" customWidth="1"/>
    <col min="7" max="7" width="11.42578125" customWidth="1"/>
    <col min="8" max="8" width="18.42578125" customWidth="1"/>
    <col min="9" max="9" width="28.5703125" customWidth="1"/>
    <col min="10" max="10" width="27" customWidth="1" style="33"/>
    <col min="11" max="11" width="6.85546875" customWidth="1" style="33"/>
    <col min="12" max="12" width="11.42578125" customWidth="1" style="33"/>
    <col min="13" max="13" width="24.85546875" customWidth="1" style="33"/>
    <col min="14" max="14" width="24.28515625" customWidth="1" style="33"/>
    <col min="15" max="15" width="9.28515625" customWidth="1"/>
  </cols>
  <sheetData>
    <row r="1" s="15" customFormat="1">
      <c r="B1" s="14"/>
      <c r="C1" s="79" t="s">
        <v>536</v>
      </c>
      <c r="D1" s="80"/>
      <c r="E1" s="80"/>
      <c r="F1" s="80"/>
      <c r="G1" s="80"/>
      <c r="H1" s="80"/>
      <c r="I1" s="80"/>
      <c r="J1" s="80"/>
      <c r="K1" s="37"/>
      <c r="L1" s="79" t="s">
        <v>139</v>
      </c>
      <c r="M1" s="80"/>
      <c r="N1" s="80"/>
      <c r="O1" s="30"/>
      <c r="P1" s="60"/>
      <c r="Q1" s="60"/>
      <c r="R1" s="60"/>
      <c r="S1" s="60"/>
      <c r="T1" s="60"/>
      <c r="U1" s="60"/>
      <c r="V1" s="60"/>
      <c r="W1" s="60"/>
      <c r="X1" s="60"/>
      <c r="Y1" s="60"/>
      <c r="Z1" s="60"/>
      <c r="AA1" s="60"/>
      <c r="AB1" s="60"/>
      <c r="AC1" s="60"/>
      <c r="AD1" s="60"/>
      <c r="AE1" s="60"/>
      <c r="AF1" s="60"/>
      <c r="AG1" s="60"/>
      <c r="AH1" s="60"/>
      <c r="AI1" s="60"/>
      <c r="AJ1" s="60"/>
      <c r="AK1" s="60"/>
      <c r="AL1" s="60"/>
      <c r="AM1" s="60"/>
      <c r="AN1" s="60"/>
    </row>
    <row r="2" s="15" customFormat="1">
      <c r="B2" s="14"/>
      <c r="C2" s="75" t="s">
        <v>0</v>
      </c>
      <c r="D2" s="76" t="s">
        <v>539</v>
      </c>
      <c r="E2" s="30"/>
      <c r="F2" s="30"/>
      <c r="G2" s="75" t="s">
        <v>0</v>
      </c>
      <c r="H2" s="76" t="s">
        <v>539</v>
      </c>
      <c r="I2" s="30"/>
      <c r="J2" s="37"/>
      <c r="K2" s="37"/>
      <c r="L2" s="71" t="s">
        <v>0</v>
      </c>
      <c r="M2" s="72" t="s">
        <v>539</v>
      </c>
      <c r="N2" s="37"/>
      <c r="O2" s="26"/>
      <c r="P2" s="60"/>
      <c r="Q2" s="60"/>
      <c r="R2" s="60"/>
      <c r="S2" s="60"/>
      <c r="T2" s="60"/>
      <c r="U2" s="60"/>
      <c r="V2" s="60"/>
      <c r="W2" s="60"/>
      <c r="X2" s="60"/>
      <c r="Y2" s="60"/>
      <c r="Z2" s="60"/>
      <c r="AA2" s="60"/>
      <c r="AB2" s="60"/>
      <c r="AC2" s="60"/>
      <c r="AD2" s="60"/>
      <c r="AE2" s="60"/>
      <c r="AF2" s="60"/>
      <c r="AG2" s="60"/>
      <c r="AH2" s="60"/>
      <c r="AI2" s="60"/>
      <c r="AJ2" s="60"/>
      <c r="AK2" s="60"/>
      <c r="AL2" s="60"/>
      <c r="AM2" s="60"/>
      <c r="AN2" s="60"/>
    </row>
    <row r="3">
      <c r="A3" s="14"/>
      <c r="B3" s="14"/>
      <c r="C3" s="75" t="s">
        <v>522</v>
      </c>
      <c r="D3" s="76" t="s">
        <v>539</v>
      </c>
      <c r="G3" s="75" t="s">
        <v>522</v>
      </c>
      <c r="H3" s="76" t="s">
        <v>539</v>
      </c>
      <c r="L3" s="71" t="s">
        <v>522</v>
      </c>
      <c r="M3" s="72" t="s">
        <v>539</v>
      </c>
    </row>
    <row r="4">
      <c r="A4" s="14"/>
      <c r="B4" s="14"/>
      <c r="C4" s="75" t="s">
        <v>540</v>
      </c>
      <c r="D4" s="76" t="s">
        <v>539</v>
      </c>
      <c r="G4" s="75" t="s">
        <v>540</v>
      </c>
      <c r="H4" s="76" t="s">
        <v>539</v>
      </c>
      <c r="L4" s="71" t="s">
        <v>540</v>
      </c>
      <c r="M4" s="72" t="s">
        <v>539</v>
      </c>
    </row>
    <row r="5">
      <c r="A5" s="14"/>
      <c r="B5" s="14"/>
      <c r="C5" s="75" t="s">
        <v>541</v>
      </c>
      <c r="D5" s="76" t="s">
        <v>700</v>
      </c>
      <c r="G5" s="75" t="s">
        <v>541</v>
      </c>
      <c r="H5" s="76" t="s">
        <v>701</v>
      </c>
      <c r="L5" s="71" t="s">
        <v>541</v>
      </c>
      <c r="M5" s="72" t="s">
        <v>702</v>
      </c>
    </row>
    <row r="6">
      <c r="A6" s="14"/>
      <c r="B6" s="14"/>
    </row>
    <row r="7">
      <c r="A7" s="10" t="s">
        <v>548</v>
      </c>
      <c r="B7" s="10" t="s">
        <v>529</v>
      </c>
      <c r="C7" s="75" t="s">
        <v>523</v>
      </c>
      <c r="D7" s="76" t="s">
        <v>689</v>
      </c>
      <c r="E7" s="76" t="s">
        <v>553</v>
      </c>
      <c r="G7" s="75" t="s">
        <v>523</v>
      </c>
      <c r="H7" s="76" t="s">
        <v>703</v>
      </c>
      <c r="I7" s="76" t="s">
        <v>704</v>
      </c>
      <c r="J7" s="76" t="s">
        <v>705</v>
      </c>
      <c r="L7" s="71" t="s">
        <v>523</v>
      </c>
      <c r="M7" s="72" t="s">
        <v>689</v>
      </c>
      <c r="N7" s="72" t="s">
        <v>553</v>
      </c>
    </row>
    <row r="8">
      <c r="A8" s="9" t="str">
        <f>INDEX('DDL Tables'!$B:$B,MATCH(C8,'DDL Tables'!$C:$C,0))</f>
        <v>TestKS</v>
      </c>
      <c r="B8" s="9" t="str">
        <f>INDEX('DDL Tables'!$F:$F,MATCH(Write!C8,'DDL Tables'!$C:$C,0))</f>
        <v>SizeTieredCompactionStrategy</v>
      </c>
      <c r="C8" s="2" t="s">
        <v>559</v>
      </c>
      <c r="D8" s="6">
        <v>0.03</v>
      </c>
      <c r="E8" s="6">
        <v>0</v>
      </c>
      <c r="G8" s="2" t="s">
        <v>559</v>
      </c>
      <c r="H8" s="3">
        <v>2</v>
      </c>
      <c r="I8" s="3">
        <v>2</v>
      </c>
      <c r="J8" s="76">
        <v>2</v>
      </c>
      <c r="K8" s="3"/>
      <c r="L8" s="2" t="s">
        <v>559</v>
      </c>
      <c r="M8" s="6">
        <v>0.045</v>
      </c>
      <c r="N8" s="6">
        <v>0</v>
      </c>
      <c r="O8" s="3"/>
    </row>
    <row r="9">
      <c r="C9" s="2" t="s">
        <v>560</v>
      </c>
      <c r="D9" s="6">
        <v>0.03</v>
      </c>
      <c r="E9" s="6">
        <v>0</v>
      </c>
      <c r="G9" s="2" t="s">
        <v>560</v>
      </c>
      <c r="H9" s="3">
        <v>2</v>
      </c>
      <c r="I9" s="3">
        <v>2</v>
      </c>
      <c r="J9" s="76">
        <v>2</v>
      </c>
      <c r="K9" s="3"/>
      <c r="L9" s="2" t="s">
        <v>560</v>
      </c>
      <c r="M9" s="6">
        <v>0.045</v>
      </c>
      <c r="N9" s="6">
        <v>0</v>
      </c>
      <c r="O9" s="3"/>
    </row>
  </sheetData>
  <mergeCells>
    <mergeCell ref="L1:N1"/>
    <mergeCell ref="C1:J1"/>
  </mergeCells>
  <pageMargins left="0.7" right="0.7" top="0.75" bottom="0.75" header="0.3" footer="0.3"/>
  <pageSetup orientation="portrait"/>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customWidth="1" style="33"/>
    <col min="2" max="2" bestFit="1" width="11.42578125" customWidth="1" style="33"/>
    <col min="3" max="3" bestFit="1" width="20" customWidth="1" style="33"/>
    <col min="4" max="4" width="24.28515625" customWidth="1" style="33"/>
    <col min="5" max="5" width="9.140625" customWidth="1" style="33"/>
    <col min="6" max="6" bestFit="1" width="11.42578125" customWidth="1" style="33"/>
    <col min="7" max="7" width="18.42578125" customWidth="1" style="33"/>
    <col min="8" max="8" width="7.42578125" customWidth="1" style="33"/>
    <col min="9" max="9" width="11.42578125" customWidth="1" style="33"/>
    <col min="10" max="10" width="24.85546875" customWidth="1" style="33"/>
    <col min="11" max="11" width="24.28515625" customWidth="1" style="33"/>
    <col min="12" max="12" width="9.140625" customWidth="1" style="33"/>
    <col min="13" max="13" width="11.42578125" customWidth="1" style="33"/>
    <col min="14" max="15" width="17.85546875" customWidth="1" style="33"/>
    <col min="16" max="16" width="17.5703125" customWidth="1" style="33"/>
    <col min="17" max="17" width="19.5703125" customWidth="1" style="33"/>
    <col min="18" max="18" width="7.42578125" customWidth="1" style="33"/>
    <col min="19" max="19" width="11.42578125" customWidth="1" style="33"/>
    <col min="20" max="20" width="19.5703125" customWidth="1" style="33"/>
    <col min="21" max="21" width="16.5703125" customWidth="1" style="33"/>
    <col min="22" max="22" width="24.28515625" customWidth="1" style="33"/>
    <col min="23" max="16384" width="9.140625" customWidth="1" style="33"/>
  </cols>
  <sheetData>
    <row r="1">
      <c r="A1" s="15"/>
      <c r="B1" s="79" t="s">
        <v>536</v>
      </c>
      <c r="C1" s="80"/>
      <c r="D1" s="80"/>
      <c r="E1" s="80"/>
      <c r="F1" s="80"/>
      <c r="G1" s="80"/>
      <c r="H1" s="37"/>
      <c r="I1" s="79" t="s">
        <v>139</v>
      </c>
      <c r="J1" s="80"/>
      <c r="K1" s="80"/>
      <c r="L1" s="37"/>
      <c r="M1" s="83" t="s">
        <v>706</v>
      </c>
      <c r="N1" s="84"/>
      <c r="O1" s="80"/>
      <c r="P1" s="80"/>
      <c r="Q1" s="80"/>
      <c r="R1" s="80"/>
      <c r="S1" s="80"/>
      <c r="T1" s="80"/>
      <c r="U1" s="80"/>
      <c r="V1" s="80"/>
    </row>
    <row r="2" s="15" customFormat="1">
      <c r="B2" s="75" t="s">
        <v>0</v>
      </c>
      <c r="C2" s="76" t="s">
        <v>539</v>
      </c>
      <c r="F2" s="81" t="s">
        <v>0</v>
      </c>
      <c r="G2" s="82" t="s">
        <v>539</v>
      </c>
      <c r="H2" s="33"/>
      <c r="I2" s="71" t="s">
        <v>0</v>
      </c>
      <c r="J2" s="72" t="s">
        <v>539</v>
      </c>
      <c r="L2" s="33"/>
      <c r="M2" s="38"/>
      <c r="N2" s="38"/>
      <c r="O2" s="38"/>
      <c r="P2" s="38"/>
      <c r="Q2" s="38"/>
      <c r="R2" s="38"/>
      <c r="S2" s="38"/>
      <c r="T2" s="38"/>
      <c r="U2" s="38"/>
      <c r="V2" s="38"/>
    </row>
    <row r="3" s="15" customFormat="1">
      <c r="B3" s="75" t="s">
        <v>522</v>
      </c>
      <c r="C3" s="76" t="s">
        <v>539</v>
      </c>
      <c r="F3" s="81" t="s">
        <v>522</v>
      </c>
      <c r="G3" s="82" t="s">
        <v>539</v>
      </c>
      <c r="H3" s="33"/>
      <c r="I3" s="71" t="s">
        <v>522</v>
      </c>
      <c r="J3" s="72" t="s">
        <v>539</v>
      </c>
      <c r="K3" s="37"/>
      <c r="L3" s="33"/>
      <c r="M3" s="38"/>
      <c r="N3" s="39"/>
      <c r="O3" s="39"/>
      <c r="P3" s="39"/>
      <c r="Q3" s="39"/>
      <c r="R3" s="39"/>
      <c r="S3" s="39"/>
      <c r="T3" s="39"/>
      <c r="U3" s="39"/>
      <c r="V3" s="39"/>
    </row>
    <row r="4">
      <c r="A4" s="15"/>
      <c r="B4" s="75" t="s">
        <v>523</v>
      </c>
      <c r="C4" s="76" t="s">
        <v>539</v>
      </c>
      <c r="F4" s="75" t="s">
        <v>523</v>
      </c>
      <c r="G4" s="76" t="s">
        <v>539</v>
      </c>
      <c r="I4" s="71" t="s">
        <v>523</v>
      </c>
      <c r="J4" s="72" t="s">
        <v>539</v>
      </c>
      <c r="M4" s="15"/>
      <c r="N4" s="15"/>
    </row>
    <row r="5">
      <c r="A5" s="15"/>
      <c r="B5" s="75" t="s">
        <v>540</v>
      </c>
      <c r="C5" s="76" t="s">
        <v>539</v>
      </c>
      <c r="F5" s="75" t="s">
        <v>540</v>
      </c>
      <c r="G5" s="76" t="s">
        <v>539</v>
      </c>
      <c r="I5" s="71" t="s">
        <v>540</v>
      </c>
      <c r="J5" s="72" t="s">
        <v>539</v>
      </c>
      <c r="M5" s="73" t="s">
        <v>0</v>
      </c>
      <c r="N5" s="74" t="s">
        <v>539</v>
      </c>
      <c r="S5" s="71" t="s">
        <v>0</v>
      </c>
      <c r="T5" s="72" t="s">
        <v>539</v>
      </c>
    </row>
    <row r="6">
      <c r="A6" s="15"/>
      <c r="B6" s="75" t="s">
        <v>541</v>
      </c>
      <c r="C6" s="76" t="s">
        <v>700</v>
      </c>
      <c r="F6" s="75" t="s">
        <v>541</v>
      </c>
      <c r="G6" s="76" t="s">
        <v>701</v>
      </c>
      <c r="I6" s="71" t="s">
        <v>541</v>
      </c>
      <c r="J6" s="72" t="s">
        <v>702</v>
      </c>
      <c r="M6" s="73" t="s">
        <v>541</v>
      </c>
      <c r="N6" s="74" t="s">
        <v>538</v>
      </c>
      <c r="S6" s="71" t="s">
        <v>541</v>
      </c>
      <c r="T6" s="72" t="s">
        <v>538</v>
      </c>
    </row>
    <row r="7">
      <c r="A7" s="15"/>
    </row>
    <row r="8">
      <c r="A8" s="10" t="s">
        <v>148</v>
      </c>
      <c r="B8" s="75" t="s">
        <v>523</v>
      </c>
      <c r="C8" s="76" t="s">
        <v>689</v>
      </c>
      <c r="D8" s="76" t="s">
        <v>553</v>
      </c>
      <c r="F8" s="75" t="s">
        <v>570</v>
      </c>
      <c r="G8" s="33" t="s">
        <v>707</v>
      </c>
      <c r="I8" s="71" t="s">
        <v>523</v>
      </c>
      <c r="J8" s="72" t="s">
        <v>689</v>
      </c>
      <c r="K8" s="72" t="s">
        <v>553</v>
      </c>
      <c r="M8" s="73" t="s">
        <v>570</v>
      </c>
      <c r="N8" s="74" t="s">
        <v>624</v>
      </c>
      <c r="O8" s="74" t="s">
        <v>625</v>
      </c>
      <c r="P8" s="74" t="s">
        <v>626</v>
      </c>
      <c r="Q8" s="74" t="s">
        <v>627</v>
      </c>
      <c r="S8" s="71" t="s">
        <v>570</v>
      </c>
      <c r="T8" s="72" t="s">
        <v>697</v>
      </c>
      <c r="U8" s="72" t="s">
        <v>698</v>
      </c>
      <c r="V8" s="72" t="s">
        <v>699</v>
      </c>
    </row>
    <row r="9">
      <c r="A9" s="13">
        <f>INDEX('Node Information'!J:$J,MATCH(B9,'Node Information'!$A:$A,0))</f>
        <v>0.0654282407407407</v>
      </c>
      <c r="B9" s="2" t="s">
        <v>562</v>
      </c>
      <c r="C9" s="6">
        <v>0.03</v>
      </c>
      <c r="D9" s="6">
        <v>0</v>
      </c>
      <c r="E9" s="6"/>
      <c r="F9" s="2" t="s">
        <v>562</v>
      </c>
      <c r="G9" s="3">
        <v>2</v>
      </c>
      <c r="H9" s="3"/>
      <c r="I9" s="2" t="s">
        <v>562</v>
      </c>
      <c r="J9" s="6">
        <v>0.045</v>
      </c>
      <c r="K9" s="6">
        <v>0</v>
      </c>
      <c r="M9" s="2" t="s">
        <v>562</v>
      </c>
      <c r="N9" s="3">
        <v>45</v>
      </c>
      <c r="O9" s="3">
        <v>22.5</v>
      </c>
      <c r="P9" s="3">
        <v>175</v>
      </c>
      <c r="Q9" s="3">
        <v>87.5</v>
      </c>
      <c r="R9" s="3"/>
      <c r="S9" s="2" t="s">
        <v>562</v>
      </c>
      <c r="T9" s="3">
        <v>96947910173</v>
      </c>
      <c r="U9" s="3">
        <v>0</v>
      </c>
      <c r="V9" s="3">
        <v>0</v>
      </c>
    </row>
    <row r="10">
      <c r="B10" s="2" t="s">
        <v>560</v>
      </c>
      <c r="C10" s="6">
        <v>0.03</v>
      </c>
      <c r="D10" s="6">
        <v>0</v>
      </c>
      <c r="E10" s="6"/>
      <c r="F10" s="2" t="s">
        <v>560</v>
      </c>
      <c r="G10" s="3">
        <v>2</v>
      </c>
      <c r="H10" s="3"/>
      <c r="I10" s="2" t="s">
        <v>560</v>
      </c>
      <c r="J10" s="3">
        <v>0.045</v>
      </c>
      <c r="K10" s="6">
        <v>0</v>
      </c>
      <c r="M10" s="2" t="s">
        <v>560</v>
      </c>
      <c r="N10" s="3">
        <v>45</v>
      </c>
      <c r="O10" s="3">
        <v>22.5</v>
      </c>
      <c r="P10" s="3">
        <v>175</v>
      </c>
      <c r="Q10" s="3">
        <v>87.5</v>
      </c>
      <c r="R10" s="3"/>
      <c r="S10" s="2" t="s">
        <v>560</v>
      </c>
      <c r="T10" s="3">
        <v>96947910173</v>
      </c>
      <c r="U10" s="3">
        <v>0</v>
      </c>
      <c r="V10" s="3">
        <v>0</v>
      </c>
    </row>
  </sheetData>
  <mergeCells>
    <mergeCell ref="I1:K1"/>
    <mergeCell ref="F2:G2"/>
    <mergeCell ref="M1:V1"/>
    <mergeCell ref="F3:G3"/>
    <mergeCell ref="B1:G1"/>
  </mergeCells>
  <pageMargins left="0.7" right="0.7" top="0.75" bottom="0.75" header="0.3" footer="0.3"/>
  <pageSetup orientation="portrait"/>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14" customFormat="1"/>
    <row r="2" s="29" customFormat="1">
      <c r="A2" s="14"/>
      <c r="B2" s="85" t="s">
        <v>644</v>
      </c>
      <c r="C2" s="86"/>
      <c r="D2" s="86"/>
      <c r="E2" s="86"/>
      <c r="F2" s="86"/>
      <c r="G2" s="86"/>
      <c r="H2" s="86"/>
      <c r="I2" s="86"/>
      <c r="J2" s="86"/>
      <c r="K2" s="86"/>
      <c r="L2" s="79" t="s">
        <v>536</v>
      </c>
      <c r="M2" s="80"/>
      <c r="N2" s="80"/>
      <c r="O2" s="30"/>
    </row>
    <row r="3">
      <c r="A3" s="14"/>
      <c r="B3" s="31"/>
      <c r="C3" s="32"/>
      <c r="D3" s="32"/>
      <c r="E3" s="32"/>
      <c r="F3" s="32"/>
      <c r="G3" s="32"/>
      <c r="H3" s="32"/>
      <c r="I3" s="32"/>
      <c r="J3" s="32"/>
      <c r="K3" s="32"/>
      <c r="L3" s="75" t="s">
        <v>0</v>
      </c>
      <c r="M3" s="76" t="s">
        <v>539</v>
      </c>
      <c r="N3" s="30"/>
      <c r="O3" s="26"/>
    </row>
    <row r="4">
      <c r="A4" s="14"/>
      <c r="B4" s="75" t="s">
        <v>0</v>
      </c>
      <c r="C4" s="76" t="s">
        <v>539</v>
      </c>
      <c r="D4" s="17"/>
      <c r="E4" s="17"/>
      <c r="F4" s="75" t="s">
        <v>0</v>
      </c>
      <c r="G4" s="76" t="s">
        <v>539</v>
      </c>
      <c r="I4" s="75" t="s">
        <v>0</v>
      </c>
      <c r="J4" s="76" t="s">
        <v>539</v>
      </c>
      <c r="K4" s="17"/>
      <c r="L4" s="75" t="s">
        <v>522</v>
      </c>
      <c r="M4" s="76" t="s">
        <v>539</v>
      </c>
    </row>
    <row r="5">
      <c r="A5" s="14"/>
      <c r="B5" s="75" t="s">
        <v>522</v>
      </c>
      <c r="C5" s="76" t="s">
        <v>539</v>
      </c>
      <c r="D5" s="17"/>
      <c r="E5" s="17"/>
      <c r="F5" s="75" t="s">
        <v>522</v>
      </c>
      <c r="G5" s="76" t="s">
        <v>539</v>
      </c>
      <c r="I5" s="75" t="s">
        <v>522</v>
      </c>
      <c r="J5" s="76" t="s">
        <v>539</v>
      </c>
      <c r="K5" s="17"/>
      <c r="L5" s="75" t="s">
        <v>540</v>
      </c>
      <c r="M5" s="76" t="s">
        <v>539</v>
      </c>
    </row>
    <row r="6">
      <c r="A6" s="14"/>
      <c r="B6" s="75" t="s">
        <v>541</v>
      </c>
      <c r="C6" s="76" t="s">
        <v>645</v>
      </c>
      <c r="D6" s="17"/>
      <c r="E6" s="17"/>
      <c r="F6" s="75" t="s">
        <v>541</v>
      </c>
      <c r="G6" s="76" t="s">
        <v>646</v>
      </c>
      <c r="I6" s="75" t="s">
        <v>541</v>
      </c>
      <c r="J6" s="76" t="s">
        <v>647</v>
      </c>
      <c r="K6" s="17"/>
      <c r="L6" s="75" t="s">
        <v>541</v>
      </c>
      <c r="M6" s="76" t="s">
        <v>648</v>
      </c>
    </row>
    <row r="7">
      <c r="A7" s="14"/>
    </row>
    <row r="8">
      <c r="A8" s="10" t="s">
        <v>548</v>
      </c>
      <c r="B8" s="75" t="s">
        <v>523</v>
      </c>
      <c r="C8" s="76" t="s">
        <v>649</v>
      </c>
      <c r="D8" s="76" t="s">
        <v>708</v>
      </c>
      <c r="F8" s="75" t="s">
        <v>523</v>
      </c>
      <c r="G8" s="0" t="s">
        <v>650</v>
      </c>
      <c r="I8" s="75" t="s">
        <v>523</v>
      </c>
      <c r="J8" s="0" t="s">
        <v>651</v>
      </c>
      <c r="L8" s="75" t="s">
        <v>523</v>
      </c>
      <c r="M8" s="76" t="s">
        <v>652</v>
      </c>
      <c r="N8" s="76" t="s">
        <v>553</v>
      </c>
    </row>
    <row r="9">
      <c r="A9" s="9" t="str">
        <f>INDEX('DDL Tables'!$B:$B,MATCH(B9,'DDL Tables'!$C:$C,0))</f>
        <v>TestKS</v>
      </c>
      <c r="B9" s="2" t="s">
        <v>559</v>
      </c>
      <c r="C9" s="3">
        <v>7475</v>
      </c>
      <c r="D9" s="3">
        <v>0</v>
      </c>
      <c r="E9" s="3"/>
      <c r="F9" s="2" t="s">
        <v>559</v>
      </c>
      <c r="G9" s="3">
        <v>2422</v>
      </c>
      <c r="H9" s="3"/>
      <c r="I9" s="2" t="s">
        <v>559</v>
      </c>
      <c r="J9" s="3">
        <v>17942</v>
      </c>
      <c r="K9" s="3"/>
      <c r="L9" s="2" t="s">
        <v>559</v>
      </c>
      <c r="M9" s="3">
        <v>0</v>
      </c>
      <c r="N9" s="3">
        <v>0</v>
      </c>
      <c r="O9" s="3"/>
    </row>
    <row r="10">
      <c r="B10" s="2" t="s">
        <v>560</v>
      </c>
      <c r="C10" s="3">
        <v>7475</v>
      </c>
      <c r="D10" s="3">
        <v>0</v>
      </c>
      <c r="E10" s="3"/>
      <c r="F10" s="2" t="s">
        <v>560</v>
      </c>
      <c r="G10" s="3">
        <v>2422</v>
      </c>
      <c r="H10" s="3"/>
      <c r="I10" s="2" t="s">
        <v>560</v>
      </c>
      <c r="J10" s="3">
        <v>17942</v>
      </c>
      <c r="K10" s="3"/>
      <c r="L10" s="2" t="s">
        <v>560</v>
      </c>
      <c r="M10" s="3">
        <v>0</v>
      </c>
      <c r="N10" s="3">
        <v>0</v>
      </c>
      <c r="O10" s="3"/>
    </row>
  </sheetData>
  <mergeCells>
    <mergeCell ref="B2:K2"/>
    <mergeCell ref="L2:N2"/>
  </mergeCells>
  <pageMargins left="0.7" right="0.7" top="0.75" bottom="0.75" header="0.3" footer="0.3"/>
  <pageSetup orientation="portrait"/>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29" customFormat="1">
      <c r="A1" s="15"/>
      <c r="B1" s="85" t="s">
        <v>644</v>
      </c>
      <c r="C1" s="86"/>
      <c r="D1" s="86"/>
      <c r="E1" s="86"/>
      <c r="F1" s="86"/>
      <c r="G1" s="86"/>
      <c r="H1" s="86"/>
      <c r="I1" s="86"/>
      <c r="J1" s="86"/>
      <c r="K1" s="86"/>
      <c r="L1" s="79" t="s">
        <v>536</v>
      </c>
      <c r="M1" s="80"/>
      <c r="N1" s="80"/>
    </row>
    <row r="2">
      <c r="A2" s="15"/>
      <c r="B2" s="31"/>
      <c r="C2" s="32"/>
      <c r="D2" s="32"/>
      <c r="E2" s="32"/>
      <c r="F2" s="32"/>
      <c r="G2" s="32"/>
      <c r="H2" s="32"/>
      <c r="I2" s="32"/>
      <c r="J2" s="32"/>
      <c r="K2" s="32"/>
      <c r="L2" s="75" t="s">
        <v>0</v>
      </c>
      <c r="M2" s="76" t="s">
        <v>539</v>
      </c>
      <c r="N2" s="30"/>
    </row>
    <row r="3">
      <c r="A3" s="15"/>
      <c r="B3" s="75" t="s">
        <v>0</v>
      </c>
      <c r="C3" s="76" t="s">
        <v>539</v>
      </c>
      <c r="F3" s="75" t="s">
        <v>0</v>
      </c>
      <c r="G3" s="76" t="s">
        <v>539</v>
      </c>
      <c r="I3" s="75" t="s">
        <v>0</v>
      </c>
      <c r="J3" s="76" t="s">
        <v>539</v>
      </c>
      <c r="L3" s="75" t="s">
        <v>522</v>
      </c>
      <c r="M3" s="76" t="s">
        <v>539</v>
      </c>
    </row>
    <row r="4">
      <c r="A4" s="15"/>
      <c r="B4" s="75" t="s">
        <v>522</v>
      </c>
      <c r="C4" s="76" t="s">
        <v>539</v>
      </c>
      <c r="D4" s="17"/>
      <c r="E4" s="17"/>
      <c r="F4" s="75" t="s">
        <v>522</v>
      </c>
      <c r="G4" s="76" t="s">
        <v>539</v>
      </c>
      <c r="I4" s="75" t="s">
        <v>522</v>
      </c>
      <c r="J4" s="76" t="s">
        <v>539</v>
      </c>
      <c r="K4" s="17"/>
      <c r="L4" s="75" t="s">
        <v>523</v>
      </c>
      <c r="M4" s="76" t="s">
        <v>539</v>
      </c>
    </row>
    <row r="5">
      <c r="A5" s="15"/>
      <c r="B5" s="75" t="s">
        <v>523</v>
      </c>
      <c r="C5" s="76" t="s">
        <v>539</v>
      </c>
      <c r="D5" s="17"/>
      <c r="E5" s="17"/>
      <c r="F5" s="75" t="s">
        <v>523</v>
      </c>
      <c r="G5" s="76" t="s">
        <v>539</v>
      </c>
      <c r="I5" s="75" t="s">
        <v>523</v>
      </c>
      <c r="J5" s="76" t="s">
        <v>539</v>
      </c>
      <c r="K5" s="17"/>
      <c r="L5" s="75" t="s">
        <v>540</v>
      </c>
      <c r="M5" s="76" t="s">
        <v>539</v>
      </c>
    </row>
    <row r="6">
      <c r="A6" s="15"/>
      <c r="B6" s="75" t="s">
        <v>541</v>
      </c>
      <c r="C6" s="76" t="s">
        <v>645</v>
      </c>
      <c r="D6" s="17"/>
      <c r="E6" s="17"/>
      <c r="F6" s="75" t="s">
        <v>541</v>
      </c>
      <c r="G6" s="76" t="s">
        <v>646</v>
      </c>
      <c r="I6" s="75" t="s">
        <v>541</v>
      </c>
      <c r="J6" s="76" t="s">
        <v>647</v>
      </c>
      <c r="K6" s="17"/>
      <c r="L6" s="75" t="s">
        <v>541</v>
      </c>
      <c r="M6" s="76" t="s">
        <v>648</v>
      </c>
    </row>
    <row r="7">
      <c r="A7" s="15"/>
    </row>
    <row r="8">
      <c r="A8" s="10" t="s">
        <v>148</v>
      </c>
      <c r="B8" s="75" t="s">
        <v>570</v>
      </c>
      <c r="C8" s="76" t="s">
        <v>649</v>
      </c>
      <c r="D8" s="76" t="s">
        <v>553</v>
      </c>
      <c r="F8" s="75" t="s">
        <v>570</v>
      </c>
      <c r="G8" s="0" t="s">
        <v>650</v>
      </c>
      <c r="I8" s="75" t="s">
        <v>570</v>
      </c>
      <c r="J8" s="0" t="s">
        <v>651</v>
      </c>
      <c r="L8" s="75" t="s">
        <v>570</v>
      </c>
      <c r="M8" s="76" t="s">
        <v>652</v>
      </c>
      <c r="N8" s="76" t="s">
        <v>553</v>
      </c>
    </row>
    <row r="9">
      <c r="A9" s="13">
        <f>INDEX('Node Information'!$J:J,MATCH(B9,'Node Information'!$A:$A,0))</f>
        <v>0.0654282407407407</v>
      </c>
      <c r="B9" s="2" t="s">
        <v>562</v>
      </c>
      <c r="C9" s="3">
        <v>7475</v>
      </c>
      <c r="D9" s="3">
        <v>0</v>
      </c>
      <c r="E9" s="3"/>
      <c r="F9" s="2" t="s">
        <v>562</v>
      </c>
      <c r="G9" s="3">
        <v>2422</v>
      </c>
      <c r="H9" s="3"/>
      <c r="I9" s="2" t="s">
        <v>562</v>
      </c>
      <c r="J9" s="3">
        <v>17942</v>
      </c>
      <c r="K9" s="3"/>
      <c r="L9" s="2" t="s">
        <v>562</v>
      </c>
      <c r="M9" s="3">
        <v>0</v>
      </c>
      <c r="N9" s="3">
        <v>0</v>
      </c>
    </row>
    <row r="10">
      <c r="B10" s="2" t="s">
        <v>560</v>
      </c>
      <c r="C10" s="3">
        <v>7475</v>
      </c>
      <c r="D10" s="3">
        <v>0</v>
      </c>
      <c r="E10" s="3"/>
      <c r="F10" s="2" t="s">
        <v>560</v>
      </c>
      <c r="G10" s="3">
        <v>2422</v>
      </c>
      <c r="H10" s="3"/>
      <c r="I10" s="2" t="s">
        <v>560</v>
      </c>
      <c r="J10" s="3">
        <v>17942</v>
      </c>
      <c r="K10" s="3"/>
      <c r="L10" s="2" t="s">
        <v>560</v>
      </c>
      <c r="M10" s="3">
        <v>0</v>
      </c>
      <c r="N10" s="3">
        <v>0</v>
      </c>
    </row>
  </sheetData>
  <mergeCells>
    <mergeCell ref="B1:K1"/>
    <mergeCell ref="L1:N1"/>
  </mergeCells>
  <pageMargins left="0.7" right="0.7" top="0.75" bottom="0.75" header="0.3" footer="0.3"/>
  <pageSetup orientation="portrait"/>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3: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bestFit="1" width="11.42578125" customWidth="1"/>
    <col min="15" max="15" width="32.7109375" customWidth="1"/>
    <col min="17" max="17" bestFit="1" width="11.42578125" customWidth="1"/>
    <col min="18" max="18" width="33.28515625" customWidth="1"/>
    <col min="19" max="19" width="29.28515625" customWidth="1"/>
  </cols>
  <sheetData>
    <row r="1" s="15" customFormat="1"/>
    <row r="2" s="15" customFormat="1"/>
    <row r="3" s="15" customFormat="1">
      <c r="B3" s="83" t="s">
        <v>631</v>
      </c>
      <c r="C3" s="78"/>
      <c r="D3" s="78"/>
      <c r="E3" s="78"/>
      <c r="F3" s="78"/>
      <c r="G3" s="78"/>
      <c r="H3" s="78"/>
      <c r="I3" s="78"/>
      <c r="J3" s="78"/>
      <c r="K3" s="78"/>
      <c r="M3" s="83" t="s">
        <v>632</v>
      </c>
      <c r="N3" s="80"/>
      <c r="O3" s="80"/>
      <c r="P3" s="80"/>
      <c r="Q3" s="80"/>
      <c r="R3" s="80"/>
      <c r="S3" s="80"/>
    </row>
    <row r="4">
      <c r="A4" s="15"/>
      <c r="B4" s="83"/>
      <c r="C4" s="78"/>
      <c r="D4" s="78"/>
      <c r="E4" s="78"/>
      <c r="F4" s="78"/>
      <c r="G4" s="78"/>
      <c r="H4" s="78"/>
      <c r="I4" s="78"/>
      <c r="J4" s="78"/>
      <c r="K4" s="78"/>
      <c r="M4" s="64"/>
      <c r="N4" s="75" t="s">
        <v>0</v>
      </c>
      <c r="O4" s="76" t="s">
        <v>539</v>
      </c>
      <c r="P4" s="64"/>
      <c r="Q4" s="75" t="s">
        <v>0</v>
      </c>
      <c r="R4" s="76" t="s">
        <v>539</v>
      </c>
      <c r="S4" s="17"/>
    </row>
    <row r="5">
      <c r="A5" s="15"/>
      <c r="B5" s="73" t="s">
        <v>0</v>
      </c>
      <c r="C5" s="74" t="s">
        <v>539</v>
      </c>
      <c r="E5" s="73" t="s">
        <v>0</v>
      </c>
      <c r="F5" s="74" t="s">
        <v>539</v>
      </c>
      <c r="I5" s="73" t="s">
        <v>0</v>
      </c>
      <c r="J5" s="74" t="s">
        <v>539</v>
      </c>
      <c r="K5" s="29"/>
      <c r="M5" s="64"/>
      <c r="N5" s="75" t="s">
        <v>522</v>
      </c>
      <c r="O5" s="76" t="s">
        <v>539</v>
      </c>
      <c r="P5" s="64"/>
      <c r="Q5" s="75" t="s">
        <v>522</v>
      </c>
      <c r="R5" s="76" t="s">
        <v>539</v>
      </c>
      <c r="S5" s="17"/>
    </row>
    <row r="6">
      <c r="A6" s="15"/>
      <c r="B6" s="73" t="s">
        <v>541</v>
      </c>
      <c r="C6" s="74" t="s">
        <v>633</v>
      </c>
      <c r="E6" s="73" t="s">
        <v>541</v>
      </c>
      <c r="F6" s="74" t="s">
        <v>634</v>
      </c>
      <c r="I6" s="73" t="s">
        <v>541</v>
      </c>
      <c r="J6" s="74" t="s">
        <v>635</v>
      </c>
      <c r="K6" s="29"/>
      <c r="M6" s="64"/>
      <c r="N6" s="75" t="s">
        <v>541</v>
      </c>
      <c r="O6" s="76" t="s">
        <v>636</v>
      </c>
      <c r="P6" s="64"/>
      <c r="Q6" s="75" t="s">
        <v>541</v>
      </c>
      <c r="R6" s="76" t="s">
        <v>637</v>
      </c>
      <c r="S6" s="17"/>
    </row>
    <row r="7">
      <c r="A7" s="15"/>
      <c r="E7" s="29"/>
      <c r="F7" s="29"/>
      <c r="I7" s="29"/>
      <c r="J7" s="29"/>
      <c r="K7" s="29"/>
      <c r="M7" s="64"/>
      <c r="N7" s="64"/>
      <c r="O7" s="64"/>
      <c r="P7" s="64"/>
      <c r="Q7" s="64"/>
      <c r="R7" s="64"/>
      <c r="S7" s="64"/>
    </row>
    <row r="8" ht="30">
      <c r="A8" s="10" t="s">
        <v>148</v>
      </c>
      <c r="B8" s="73" t="s">
        <v>570</v>
      </c>
      <c r="C8" s="0" t="s">
        <v>638</v>
      </c>
      <c r="E8" s="73" t="s">
        <v>570</v>
      </c>
      <c r="F8" s="74" t="s">
        <v>639</v>
      </c>
      <c r="G8" s="74" t="s">
        <v>553</v>
      </c>
      <c r="I8" s="73" t="s">
        <v>570</v>
      </c>
      <c r="J8" s="74" t="s">
        <v>640</v>
      </c>
      <c r="K8" s="74" t="s">
        <v>555</v>
      </c>
      <c r="M8" s="10" t="s">
        <v>548</v>
      </c>
      <c r="N8" s="75" t="s">
        <v>523</v>
      </c>
      <c r="O8" s="0" t="s">
        <v>641</v>
      </c>
      <c r="P8" s="64"/>
      <c r="Q8" s="75" t="s">
        <v>523</v>
      </c>
      <c r="R8" s="76" t="s">
        <v>642</v>
      </c>
      <c r="S8" s="76" t="s">
        <v>643</v>
      </c>
    </row>
    <row r="9" ht="20.25" customHeight="1">
      <c r="A9" s="13">
        <f>INDEX('Node Information'!J:$J,MATCH(B9,'Node Information'!$A:$A,0))</f>
        <v>0.0654282407407407</v>
      </c>
      <c r="B9" s="2" t="s">
        <v>562</v>
      </c>
      <c r="C9" s="3">
        <v>368</v>
      </c>
      <c r="E9" s="2" t="s">
        <v>562</v>
      </c>
      <c r="F9" s="3">
        <v>396</v>
      </c>
      <c r="G9" s="74">
        <v>0</v>
      </c>
      <c r="I9" s="2" t="s">
        <v>562</v>
      </c>
      <c r="J9" s="3">
        <v>240</v>
      </c>
      <c r="K9" s="3">
        <v>0</v>
      </c>
      <c r="M9" s="9" t="str">
        <f>INDEX('DDL Tables'!$B:$B,MATCH(N9,'DDL Tables'!$C:$C,0))</f>
        <v>TestKS</v>
      </c>
      <c r="N9" s="2" t="s">
        <v>559</v>
      </c>
      <c r="O9" s="3">
        <v>7</v>
      </c>
      <c r="P9" s="64"/>
      <c r="Q9" s="2" t="s">
        <v>559</v>
      </c>
      <c r="R9" s="3">
        <v>2</v>
      </c>
      <c r="S9" s="3">
        <v>0</v>
      </c>
    </row>
    <row r="10">
      <c r="B10" s="2" t="s">
        <v>560</v>
      </c>
      <c r="C10" s="3">
        <v>368</v>
      </c>
      <c r="E10" s="2" t="s">
        <v>560</v>
      </c>
      <c r="F10" s="74">
        <v>396</v>
      </c>
      <c r="G10" s="74">
        <v>0</v>
      </c>
      <c r="I10" s="2" t="s">
        <v>560</v>
      </c>
      <c r="J10" s="74">
        <v>240</v>
      </c>
      <c r="K10" s="3">
        <v>0</v>
      </c>
      <c r="M10" s="60"/>
      <c r="N10" s="2" t="s">
        <v>560</v>
      </c>
      <c r="O10" s="3">
        <v>7</v>
      </c>
      <c r="Q10" s="2" t="s">
        <v>560</v>
      </c>
      <c r="R10" s="3">
        <v>2</v>
      </c>
      <c r="S10" s="3">
        <v>0</v>
      </c>
    </row>
  </sheetData>
  <mergeCells>
    <mergeCell ref="B4:K4"/>
    <mergeCell ref="B3:K3"/>
    <mergeCell ref="M3:S3"/>
  </mergeCells>
  <pageMargins left="0.7" right="0.7" top="0.75" bottom="0.75" header="0.3" footer="0.3"/>
  <pageSetup orientation="portrait"/>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4: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22" customFormat="1"/>
    <row r="2" s="22" customFormat="1"/>
    <row r="3" s="22" customFormat="1"/>
    <row r="4">
      <c r="A4" s="22"/>
      <c r="B4" s="87" t="s">
        <v>622</v>
      </c>
      <c r="C4" s="88"/>
      <c r="D4" s="88"/>
      <c r="E4" s="88"/>
      <c r="F4" s="88"/>
      <c r="G4" s="88"/>
      <c r="H4" s="88"/>
      <c r="I4" s="88"/>
      <c r="J4" s="88"/>
      <c r="K4" s="88"/>
      <c r="M4" s="87" t="s">
        <v>623</v>
      </c>
      <c r="N4" s="88"/>
      <c r="O4" s="88"/>
      <c r="P4" s="88"/>
      <c r="Q4" s="88"/>
      <c r="R4" s="88"/>
      <c r="S4" s="88"/>
      <c r="T4" s="88"/>
      <c r="U4" s="88"/>
      <c r="V4" s="88"/>
    </row>
    <row r="5">
      <c r="A5" s="22"/>
      <c r="B5" s="73" t="s">
        <v>0</v>
      </c>
      <c r="C5" s="74" t="s">
        <v>539</v>
      </c>
      <c r="D5" s="17"/>
      <c r="G5" s="17"/>
      <c r="H5" s="73" t="s">
        <v>0</v>
      </c>
      <c r="I5" s="74" t="s">
        <v>539</v>
      </c>
      <c r="M5" s="73" t="s">
        <v>0</v>
      </c>
      <c r="N5" s="74" t="s">
        <v>539</v>
      </c>
      <c r="O5" s="17"/>
      <c r="R5" s="17"/>
      <c r="S5" s="73" t="s">
        <v>0</v>
      </c>
      <c r="T5" s="74" t="s">
        <v>539</v>
      </c>
    </row>
    <row r="6">
      <c r="A6" s="22"/>
      <c r="B6" s="73" t="s">
        <v>541</v>
      </c>
      <c r="C6" s="74" t="s">
        <v>538</v>
      </c>
      <c r="D6" s="17"/>
      <c r="G6" s="17"/>
      <c r="H6" s="73" t="s">
        <v>541</v>
      </c>
      <c r="I6" s="74" t="s">
        <v>538</v>
      </c>
      <c r="M6" s="73" t="s">
        <v>541</v>
      </c>
      <c r="N6" s="74" t="s">
        <v>538</v>
      </c>
      <c r="O6" s="17"/>
      <c r="R6" s="17"/>
      <c r="S6" s="73" t="s">
        <v>541</v>
      </c>
      <c r="T6" s="74" t="s">
        <v>538</v>
      </c>
    </row>
    <row r="7">
      <c r="A7" s="22"/>
    </row>
    <row r="8">
      <c r="A8" s="10" t="s">
        <v>148</v>
      </c>
      <c r="B8" s="73" t="s">
        <v>570</v>
      </c>
      <c r="C8" s="74" t="s">
        <v>624</v>
      </c>
      <c r="D8" s="74" t="s">
        <v>625</v>
      </c>
      <c r="E8" s="74" t="s">
        <v>626</v>
      </c>
      <c r="F8" s="74" t="s">
        <v>627</v>
      </c>
      <c r="H8" s="73" t="s">
        <v>570</v>
      </c>
      <c r="I8" s="74" t="s">
        <v>628</v>
      </c>
      <c r="J8" s="74" t="s">
        <v>629</v>
      </c>
      <c r="K8" s="74" t="s">
        <v>630</v>
      </c>
      <c r="M8" s="73" t="s">
        <v>570</v>
      </c>
      <c r="N8" s="74" t="s">
        <v>624</v>
      </c>
      <c r="O8" s="74" t="s">
        <v>625</v>
      </c>
      <c r="P8" s="74" t="s">
        <v>626</v>
      </c>
      <c r="Q8" s="74" t="s">
        <v>627</v>
      </c>
      <c r="S8" s="73" t="s">
        <v>570</v>
      </c>
      <c r="T8" s="74" t="s">
        <v>628</v>
      </c>
      <c r="U8" s="74" t="s">
        <v>629</v>
      </c>
      <c r="V8" s="74" t="s">
        <v>630</v>
      </c>
    </row>
    <row r="9">
      <c r="A9" s="13">
        <f>INDEX('Node Information'!J:$J,MATCH(B9,'Node Information'!$A:$A,0))</f>
        <v>0.0654282407407407</v>
      </c>
      <c r="B9" s="2" t="s">
        <v>562</v>
      </c>
      <c r="C9" s="3">
        <v>0</v>
      </c>
      <c r="D9" s="3">
        <v>0</v>
      </c>
      <c r="E9" s="3">
        <v>0</v>
      </c>
      <c r="F9" s="3">
        <v>0</v>
      </c>
      <c r="G9" s="3"/>
      <c r="H9" s="2" t="s">
        <v>562</v>
      </c>
      <c r="I9" s="3">
        <v>1205474744</v>
      </c>
      <c r="J9" s="3">
        <v>0</v>
      </c>
      <c r="K9" s="3">
        <v>0</v>
      </c>
      <c r="M9" s="2" t="s">
        <v>562</v>
      </c>
      <c r="N9" s="3">
        <v>1</v>
      </c>
      <c r="O9" s="3">
        <v>0.5</v>
      </c>
      <c r="P9" s="3">
        <v>0</v>
      </c>
      <c r="Q9" s="3">
        <v>0</v>
      </c>
      <c r="R9" s="3"/>
      <c r="S9" s="2" t="s">
        <v>562</v>
      </c>
      <c r="T9" s="3">
        <v>20378954531</v>
      </c>
      <c r="U9" s="3">
        <v>0</v>
      </c>
      <c r="V9" s="3">
        <v>0</v>
      </c>
    </row>
    <row r="10">
      <c r="B10" s="2" t="s">
        <v>560</v>
      </c>
      <c r="C10" s="3">
        <v>0</v>
      </c>
      <c r="D10" s="3">
        <v>0</v>
      </c>
      <c r="E10" s="3">
        <v>0</v>
      </c>
      <c r="F10" s="3">
        <v>0</v>
      </c>
      <c r="G10" s="3"/>
      <c r="H10" s="2" t="s">
        <v>560</v>
      </c>
      <c r="I10" s="3">
        <v>1205474744</v>
      </c>
      <c r="J10" s="3">
        <v>0</v>
      </c>
      <c r="K10" s="3">
        <v>0</v>
      </c>
      <c r="M10" s="2" t="s">
        <v>560</v>
      </c>
      <c r="N10" s="3">
        <v>1</v>
      </c>
      <c r="O10" s="3">
        <v>0.5</v>
      </c>
      <c r="P10" s="3">
        <v>0</v>
      </c>
      <c r="Q10" s="3">
        <v>0</v>
      </c>
      <c r="R10" s="3"/>
      <c r="S10" s="2" t="s">
        <v>560</v>
      </c>
      <c r="T10" s="3">
        <v>20378954531</v>
      </c>
      <c r="U10" s="3">
        <v>0</v>
      </c>
      <c r="V10" s="3">
        <v>0</v>
      </c>
    </row>
  </sheetData>
  <mergeCells>
    <mergeCell ref="B4:K4"/>
    <mergeCell ref="M4:V4"/>
  </mergeCells>
  <pageMargins left="0.7" right="0.7" top="0.75" bottom="0.75" header="0.3" footer="0.3"/>
  <pageSetup orientation="portrait"/>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customWidth="1" style="58"/>
    <col min="11" max="11" width="11.42578125" customWidth="1" style="58"/>
    <col min="12" max="12" width="25.5703125" customWidth="1" style="58"/>
    <col min="13" max="13" width="10.140625" customWidth="1"/>
    <col min="14" max="14" width="11.42578125" customWidth="1"/>
    <col min="15" max="15" width="36.85546875" customWidth="1"/>
    <col min="16" max="16" width="12.855468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14" customFormat="1"/>
    <row r="2" s="15" customFormat="1">
      <c r="A2" s="14"/>
      <c r="B2" s="89" t="s">
        <v>535</v>
      </c>
      <c r="C2" s="86"/>
      <c r="D2" s="86"/>
      <c r="E2" s="86"/>
      <c r="F2" s="86"/>
      <c r="G2" s="86"/>
      <c r="H2" s="86"/>
      <c r="I2" s="90"/>
      <c r="J2" s="58"/>
      <c r="K2" s="79" t="s">
        <v>139</v>
      </c>
      <c r="L2" s="78"/>
      <c r="M2" s="33"/>
      <c r="N2" s="79" t="s">
        <v>536</v>
      </c>
      <c r="O2" s="78"/>
      <c r="P2" s="78"/>
      <c r="Q2" s="78"/>
      <c r="R2" s="78"/>
      <c r="S2" s="78"/>
      <c r="T2" s="78"/>
      <c r="U2" s="78"/>
      <c r="V2" s="78"/>
      <c r="W2" s="78"/>
      <c r="X2" s="78"/>
      <c r="Y2" s="78"/>
    </row>
    <row r="3" s="15" customFormat="1">
      <c r="A3" s="14"/>
      <c r="B3" s="75" t="s">
        <v>537</v>
      </c>
      <c r="C3" s="76" t="s">
        <v>538</v>
      </c>
      <c r="D3" s="32"/>
      <c r="E3" s="75" t="s">
        <v>537</v>
      </c>
      <c r="F3" s="76" t="s">
        <v>538</v>
      </c>
      <c r="G3" s="32"/>
      <c r="H3" s="75" t="s">
        <v>537</v>
      </c>
      <c r="I3" s="76" t="s">
        <v>538</v>
      </c>
      <c r="J3" s="58"/>
      <c r="K3" s="75" t="s">
        <v>537</v>
      </c>
      <c r="L3" s="76" t="s">
        <v>139</v>
      </c>
      <c r="M3" s="33"/>
      <c r="N3" s="75" t="s">
        <v>0</v>
      </c>
      <c r="O3" s="76" t="s">
        <v>539</v>
      </c>
      <c r="R3" s="75" t="s">
        <v>0</v>
      </c>
      <c r="S3" s="76" t="s">
        <v>539</v>
      </c>
      <c r="T3" s="18"/>
      <c r="V3" s="75" t="s">
        <v>0</v>
      </c>
      <c r="W3" s="76" t="s">
        <v>539</v>
      </c>
    </row>
    <row r="4">
      <c r="A4" s="14"/>
      <c r="B4" s="75" t="s">
        <v>0</v>
      </c>
      <c r="C4" s="76" t="s">
        <v>539</v>
      </c>
      <c r="D4" s="17"/>
      <c r="E4" s="75" t="s">
        <v>0</v>
      </c>
      <c r="F4" s="76" t="s">
        <v>539</v>
      </c>
      <c r="G4" s="17"/>
      <c r="H4" s="75" t="s">
        <v>0</v>
      </c>
      <c r="I4" s="76" t="s">
        <v>539</v>
      </c>
      <c r="K4" s="75" t="s">
        <v>0</v>
      </c>
      <c r="L4" s="76" t="s">
        <v>539</v>
      </c>
      <c r="N4" s="75" t="s">
        <v>522</v>
      </c>
      <c r="O4" s="76" t="s">
        <v>539</v>
      </c>
      <c r="Q4" s="5"/>
      <c r="R4" s="75" t="s">
        <v>522</v>
      </c>
      <c r="S4" s="76" t="s">
        <v>539</v>
      </c>
      <c r="V4" s="75" t="s">
        <v>522</v>
      </c>
      <c r="W4" s="76" t="s">
        <v>539</v>
      </c>
      <c r="Z4" s="5"/>
    </row>
    <row r="5">
      <c r="A5" s="14"/>
      <c r="B5" s="75" t="s">
        <v>522</v>
      </c>
      <c r="C5" s="76" t="s">
        <v>539</v>
      </c>
      <c r="D5" s="17"/>
      <c r="E5" s="75" t="s">
        <v>522</v>
      </c>
      <c r="F5" s="76" t="s">
        <v>539</v>
      </c>
      <c r="G5" s="17"/>
      <c r="H5" s="75" t="s">
        <v>522</v>
      </c>
      <c r="I5" s="76" t="s">
        <v>539</v>
      </c>
      <c r="K5" s="75" t="s">
        <v>522</v>
      </c>
      <c r="L5" s="76" t="s">
        <v>539</v>
      </c>
      <c r="N5" s="75" t="s">
        <v>540</v>
      </c>
      <c r="O5" s="76" t="s">
        <v>539</v>
      </c>
      <c r="Q5" s="5"/>
      <c r="R5" s="75" t="s">
        <v>540</v>
      </c>
      <c r="S5" s="76" t="s">
        <v>539</v>
      </c>
      <c r="V5" s="75" t="s">
        <v>540</v>
      </c>
      <c r="W5" s="76" t="s">
        <v>539</v>
      </c>
      <c r="Z5" s="5"/>
    </row>
    <row r="6">
      <c r="A6" s="14"/>
      <c r="B6" s="75" t="s">
        <v>541</v>
      </c>
      <c r="C6" s="76" t="s">
        <v>542</v>
      </c>
      <c r="D6" s="17"/>
      <c r="E6" s="75" t="s">
        <v>541</v>
      </c>
      <c r="F6" s="76" t="s">
        <v>543</v>
      </c>
      <c r="G6" s="17"/>
      <c r="H6" s="75" t="s">
        <v>541</v>
      </c>
      <c r="I6" s="76" t="s">
        <v>544</v>
      </c>
      <c r="K6" s="75" t="s">
        <v>541</v>
      </c>
      <c r="L6" s="76" t="s">
        <v>542</v>
      </c>
      <c r="N6" s="75" t="s">
        <v>541</v>
      </c>
      <c r="O6" s="76" t="s">
        <v>545</v>
      </c>
      <c r="Q6" s="5"/>
      <c r="R6" s="75" t="s">
        <v>541</v>
      </c>
      <c r="S6" s="76" t="s">
        <v>546</v>
      </c>
      <c r="V6" s="75" t="s">
        <v>541</v>
      </c>
      <c r="W6" s="76" t="s">
        <v>547</v>
      </c>
      <c r="Z6" s="5"/>
    </row>
    <row r="7">
      <c r="A7" s="14"/>
      <c r="Q7" s="5"/>
      <c r="Z7" s="5"/>
    </row>
    <row r="8" ht="30">
      <c r="A8" s="10" t="s">
        <v>548</v>
      </c>
      <c r="B8" s="75" t="s">
        <v>523</v>
      </c>
      <c r="C8" s="0" t="s">
        <v>549</v>
      </c>
      <c r="E8" s="75" t="s">
        <v>523</v>
      </c>
      <c r="F8" s="16" t="s">
        <v>550</v>
      </c>
      <c r="H8" s="75" t="s">
        <v>523</v>
      </c>
      <c r="I8" s="16" t="s">
        <v>551</v>
      </c>
      <c r="J8" s="16"/>
      <c r="K8" s="75" t="s">
        <v>523</v>
      </c>
      <c r="L8" s="58" t="s">
        <v>549</v>
      </c>
      <c r="N8" s="75" t="s">
        <v>523</v>
      </c>
      <c r="O8" s="16" t="s">
        <v>552</v>
      </c>
      <c r="P8" s="16" t="s">
        <v>553</v>
      </c>
      <c r="Q8" s="5"/>
      <c r="R8" s="75" t="s">
        <v>523</v>
      </c>
      <c r="S8" s="16" t="s">
        <v>554</v>
      </c>
      <c r="T8" s="16" t="s">
        <v>555</v>
      </c>
      <c r="V8" s="75" t="s">
        <v>523</v>
      </c>
      <c r="W8" s="76" t="s">
        <v>556</v>
      </c>
      <c r="X8" s="16" t="s">
        <v>557</v>
      </c>
      <c r="Y8" s="16" t="s">
        <v>558</v>
      </c>
      <c r="Z8" s="5"/>
    </row>
    <row r="9">
      <c r="A9" s="9" t="str">
        <f>INDEX('DDL Tables'!$B:$B,MATCH(B9,'DDL Tables'!$C:$C,0))</f>
        <v>TestKS</v>
      </c>
      <c r="B9" s="2" t="s">
        <v>559</v>
      </c>
      <c r="C9" s="4">
        <v>311.17886066436768</v>
      </c>
      <c r="D9" s="4"/>
      <c r="E9" s="2" t="s">
        <v>559</v>
      </c>
      <c r="F9" s="3">
        <v>531</v>
      </c>
      <c r="G9" s="4"/>
      <c r="H9" s="2" t="s">
        <v>559</v>
      </c>
      <c r="I9" s="4">
        <v>220.30964517593384</v>
      </c>
      <c r="J9" s="4"/>
      <c r="K9" s="2" t="s">
        <v>559</v>
      </c>
      <c r="L9" s="68">
        <v>1.97</v>
      </c>
      <c r="N9" s="2" t="s">
        <v>559</v>
      </c>
      <c r="O9" s="4">
        <v>0</v>
      </c>
      <c r="P9" s="4">
        <v>0</v>
      </c>
      <c r="Q9" s="25">
        <f>T9/IF(O9 = 0,1,O9)</f>
        <v>0</v>
      </c>
      <c r="R9" s="2" t="s">
        <v>559</v>
      </c>
      <c r="S9" s="4">
        <v>0</v>
      </c>
      <c r="T9" s="4">
        <v>0</v>
      </c>
      <c r="V9" s="2" t="s">
        <v>559</v>
      </c>
      <c r="W9" s="3">
        <v>0</v>
      </c>
      <c r="X9" s="3">
        <v>0</v>
      </c>
      <c r="Y9" s="3">
        <v>0</v>
      </c>
      <c r="Z9" s="25">
        <f>X9/IF(W9=0,1,W9)</f>
        <v>0</v>
      </c>
    </row>
    <row r="10">
      <c r="B10" s="2" t="s">
        <v>560</v>
      </c>
      <c r="C10" s="4">
        <v>311.17886066436768</v>
      </c>
      <c r="D10" s="4"/>
      <c r="E10" s="2" t="s">
        <v>560</v>
      </c>
      <c r="F10" s="3">
        <v>531</v>
      </c>
      <c r="G10" s="4"/>
      <c r="H10" s="2" t="s">
        <v>560</v>
      </c>
      <c r="I10" s="4">
        <v>220.30964517593384</v>
      </c>
      <c r="J10" s="4"/>
      <c r="K10" s="2" t="s">
        <v>560</v>
      </c>
      <c r="L10" s="76">
        <v>1.97</v>
      </c>
      <c r="N10" s="2" t="s">
        <v>560</v>
      </c>
      <c r="O10" s="4">
        <v>0</v>
      </c>
      <c r="P10" s="4">
        <v>0</v>
      </c>
      <c r="Q10" s="5"/>
      <c r="R10" s="2" t="s">
        <v>560</v>
      </c>
      <c r="S10" s="4">
        <v>0</v>
      </c>
      <c r="T10" s="4">
        <v>0</v>
      </c>
      <c r="V10" s="2" t="s">
        <v>560</v>
      </c>
      <c r="W10" s="3">
        <v>0</v>
      </c>
      <c r="X10" s="3">
        <v>0</v>
      </c>
      <c r="Y10" s="3">
        <v>0</v>
      </c>
      <c r="Z10" s="5"/>
    </row>
  </sheetData>
  <mergeCells>
    <mergeCell ref="B2:I2"/>
    <mergeCell ref="N2:Y2"/>
    <mergeCell ref="K2:L2"/>
  </mergeCells>
  <pageMargins left="0.7" right="0.7" top="0.75" bottom="0.75" header="0.3" footer="0.3"/>
  <pageSetup orientation="portrait"/>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customWidth="1" style="58"/>
    <col min="11" max="11" width="11.42578125" customWidth="1" style="58"/>
    <col min="12" max="12" width="25.5703125" customWidth="1" style="58"/>
    <col min="13" max="13" width="11" customWidth="1"/>
    <col min="14" max="14" width="11.42578125" customWidth="1"/>
    <col min="15" max="15" width="36.85546875" customWidth="1"/>
    <col min="16" max="16" width="14.7109375" customWidth="1"/>
    <col min="17" max="17" bestFit="1" width="13.140625" customWidth="1"/>
    <col min="18" max="18" width="11.42578125" customWidth="1"/>
    <col min="19" max="19" width="32.85546875" customWidth="1"/>
    <col min="20" max="20" width="12.85546875" customWidth="1" style="5"/>
    <col min="22" max="22" width="11.42578125" customWidth="1"/>
    <col min="23" max="23" width="27.42578125" customWidth="1"/>
    <col min="24" max="24" width="16.7109375" customWidth="1"/>
    <col min="25" max="25" width="13.5703125" customWidth="1"/>
  </cols>
  <sheetData>
    <row r="1" s="29" customFormat="1">
      <c r="A1" s="15"/>
      <c r="B1" s="89" t="s">
        <v>561</v>
      </c>
      <c r="C1" s="86"/>
      <c r="D1" s="86"/>
      <c r="E1" s="86"/>
      <c r="F1" s="86"/>
      <c r="G1" s="86"/>
      <c r="H1" s="86"/>
      <c r="I1" s="90"/>
      <c r="J1" s="58"/>
      <c r="K1" s="79" t="s">
        <v>139</v>
      </c>
      <c r="L1" s="80"/>
      <c r="M1" s="58"/>
      <c r="N1" s="91" t="s">
        <v>536</v>
      </c>
      <c r="O1" s="80"/>
      <c r="P1" s="80"/>
      <c r="Q1" s="80"/>
      <c r="R1" s="80"/>
      <c r="S1" s="80"/>
      <c r="T1" s="80"/>
      <c r="U1" s="80"/>
      <c r="V1" s="80"/>
      <c r="W1" s="80"/>
      <c r="X1" s="80"/>
      <c r="Y1" s="80"/>
    </row>
    <row r="2">
      <c r="A2" s="15"/>
      <c r="B2" s="75" t="s">
        <v>537</v>
      </c>
      <c r="C2" s="76" t="s">
        <v>538</v>
      </c>
      <c r="D2" s="32"/>
      <c r="E2" s="75" t="s">
        <v>537</v>
      </c>
      <c r="F2" s="76" t="s">
        <v>538</v>
      </c>
      <c r="G2" s="32"/>
      <c r="H2" s="75" t="s">
        <v>537</v>
      </c>
      <c r="I2" s="76" t="s">
        <v>538</v>
      </c>
      <c r="K2" s="75" t="s">
        <v>537</v>
      </c>
      <c r="L2" s="76" t="s">
        <v>139</v>
      </c>
      <c r="M2" s="58"/>
      <c r="N2" s="75" t="s">
        <v>0</v>
      </c>
      <c r="O2" s="76" t="s">
        <v>539</v>
      </c>
      <c r="P2" s="15"/>
      <c r="Q2" s="15"/>
      <c r="R2" s="75" t="s">
        <v>0</v>
      </c>
      <c r="S2" s="76" t="s">
        <v>539</v>
      </c>
      <c r="T2" s="15"/>
      <c r="U2" s="15"/>
      <c r="V2" s="75" t="s">
        <v>0</v>
      </c>
      <c r="W2" s="76" t="s">
        <v>539</v>
      </c>
      <c r="X2" s="58"/>
      <c r="Y2" s="58"/>
      <c r="Z2" s="58"/>
      <c r="AA2" s="58"/>
      <c r="AB2" s="58"/>
      <c r="AC2" s="58"/>
      <c r="AD2" s="58"/>
      <c r="AE2" s="58"/>
      <c r="AF2" s="58"/>
      <c r="AG2" s="58"/>
      <c r="AH2" s="58"/>
      <c r="AI2" s="58"/>
      <c r="AJ2" s="58"/>
    </row>
    <row r="3" s="15" customFormat="1">
      <c r="B3" s="75" t="s">
        <v>0</v>
      </c>
      <c r="C3" s="76" t="s">
        <v>539</v>
      </c>
      <c r="E3" s="75" t="s">
        <v>0</v>
      </c>
      <c r="F3" s="76" t="s">
        <v>539</v>
      </c>
      <c r="H3" s="75" t="s">
        <v>0</v>
      </c>
      <c r="I3" s="76" t="s">
        <v>539</v>
      </c>
      <c r="J3" s="58"/>
      <c r="K3" s="75" t="s">
        <v>0</v>
      </c>
      <c r="L3" s="76" t="s">
        <v>539</v>
      </c>
      <c r="M3" s="58"/>
      <c r="N3" s="75" t="s">
        <v>522</v>
      </c>
      <c r="O3" s="76" t="s">
        <v>539</v>
      </c>
      <c r="R3" s="75" t="s">
        <v>522</v>
      </c>
      <c r="S3" s="76" t="s">
        <v>539</v>
      </c>
      <c r="T3" s="18"/>
      <c r="V3" s="75" t="s">
        <v>522</v>
      </c>
      <c r="W3" s="76" t="s">
        <v>539</v>
      </c>
      <c r="X3" s="58"/>
      <c r="Y3" s="58"/>
      <c r="Z3" s="58"/>
      <c r="AA3" s="58"/>
      <c r="AB3" s="58"/>
      <c r="AC3" s="58"/>
      <c r="AD3" s="58"/>
      <c r="AE3" s="58"/>
      <c r="AF3" s="58"/>
      <c r="AG3" s="58"/>
      <c r="AH3" s="58"/>
      <c r="AI3" s="58"/>
      <c r="AJ3" s="58"/>
    </row>
    <row r="4">
      <c r="A4" s="15"/>
      <c r="B4" s="75" t="s">
        <v>522</v>
      </c>
      <c r="C4" s="76" t="s">
        <v>539</v>
      </c>
      <c r="D4" s="17"/>
      <c r="E4" s="75" t="s">
        <v>522</v>
      </c>
      <c r="F4" s="76" t="s">
        <v>539</v>
      </c>
      <c r="G4" s="17"/>
      <c r="H4" s="75" t="s">
        <v>522</v>
      </c>
      <c r="I4" s="76" t="s">
        <v>539</v>
      </c>
      <c r="K4" s="75" t="s">
        <v>522</v>
      </c>
      <c r="L4" s="76" t="s">
        <v>539</v>
      </c>
      <c r="N4" s="75" t="s">
        <v>523</v>
      </c>
      <c r="O4" s="76" t="s">
        <v>539</v>
      </c>
      <c r="Q4" s="5"/>
      <c r="R4" s="75" t="s">
        <v>523</v>
      </c>
      <c r="S4" s="76" t="s">
        <v>539</v>
      </c>
      <c r="V4" s="75" t="s">
        <v>523</v>
      </c>
      <c r="W4" s="76" t="s">
        <v>539</v>
      </c>
      <c r="X4" s="58"/>
      <c r="Z4" s="58"/>
      <c r="AA4" s="58"/>
      <c r="AB4" s="58"/>
      <c r="AC4" s="58"/>
      <c r="AD4" s="58"/>
      <c r="AE4" s="58"/>
      <c r="AF4" s="58"/>
      <c r="AG4" s="58"/>
      <c r="AH4" s="58"/>
      <c r="AI4" s="58"/>
      <c r="AJ4" s="58"/>
    </row>
    <row r="5">
      <c r="A5" s="15"/>
      <c r="B5" s="75" t="s">
        <v>523</v>
      </c>
      <c r="C5" s="76" t="s">
        <v>539</v>
      </c>
      <c r="D5" s="17"/>
      <c r="E5" s="75" t="s">
        <v>523</v>
      </c>
      <c r="F5" s="76" t="s">
        <v>539</v>
      </c>
      <c r="G5" s="17"/>
      <c r="H5" s="75" t="s">
        <v>523</v>
      </c>
      <c r="I5" s="76" t="s">
        <v>539</v>
      </c>
      <c r="K5" s="75" t="s">
        <v>523</v>
      </c>
      <c r="L5" s="76" t="s">
        <v>539</v>
      </c>
      <c r="N5" s="75" t="s">
        <v>540</v>
      </c>
      <c r="O5" s="76" t="s">
        <v>539</v>
      </c>
      <c r="Q5" s="5"/>
      <c r="R5" s="75" t="s">
        <v>540</v>
      </c>
      <c r="S5" s="76" t="s">
        <v>539</v>
      </c>
      <c r="V5" s="75" t="s">
        <v>540</v>
      </c>
      <c r="W5" s="76" t="s">
        <v>539</v>
      </c>
      <c r="Z5" s="5"/>
    </row>
    <row r="6">
      <c r="A6" s="15"/>
      <c r="B6" s="75" t="s">
        <v>541</v>
      </c>
      <c r="C6" s="76" t="s">
        <v>542</v>
      </c>
      <c r="D6" s="17"/>
      <c r="E6" s="75" t="s">
        <v>541</v>
      </c>
      <c r="F6" s="76" t="s">
        <v>543</v>
      </c>
      <c r="G6" s="17"/>
      <c r="H6" s="75" t="s">
        <v>541</v>
      </c>
      <c r="I6" s="76" t="s">
        <v>544</v>
      </c>
      <c r="K6" s="75" t="s">
        <v>541</v>
      </c>
      <c r="L6" s="76" t="s">
        <v>542</v>
      </c>
      <c r="N6" s="75" t="s">
        <v>541</v>
      </c>
      <c r="O6" s="76" t="s">
        <v>545</v>
      </c>
      <c r="Q6" s="5"/>
      <c r="R6" s="75" t="s">
        <v>541</v>
      </c>
      <c r="S6" s="76" t="s">
        <v>546</v>
      </c>
      <c r="V6" s="75" t="s">
        <v>541</v>
      </c>
      <c r="W6" s="76" t="s">
        <v>547</v>
      </c>
      <c r="Z6" s="5"/>
    </row>
    <row r="7">
      <c r="A7" s="15"/>
      <c r="Q7" s="5"/>
      <c r="Z7" s="5"/>
    </row>
    <row r="8" ht="30">
      <c r="A8" s="10" t="s">
        <v>148</v>
      </c>
      <c r="B8" s="75" t="s">
        <v>523</v>
      </c>
      <c r="C8" s="0" t="s">
        <v>552</v>
      </c>
      <c r="E8" s="75" t="s">
        <v>523</v>
      </c>
      <c r="F8" s="16" t="s">
        <v>550</v>
      </c>
      <c r="H8" s="75" t="s">
        <v>523</v>
      </c>
      <c r="I8" s="16" t="s">
        <v>554</v>
      </c>
      <c r="J8" s="16"/>
      <c r="K8" s="75" t="s">
        <v>523</v>
      </c>
      <c r="L8" s="58" t="s">
        <v>552</v>
      </c>
      <c r="N8" s="75" t="s">
        <v>523</v>
      </c>
      <c r="O8" s="16" t="s">
        <v>552</v>
      </c>
      <c r="P8" s="16" t="s">
        <v>554</v>
      </c>
      <c r="Q8" s="5"/>
      <c r="R8" s="75" t="s">
        <v>523</v>
      </c>
      <c r="S8" s="16" t="s">
        <v>554</v>
      </c>
      <c r="T8" s="16" t="s">
        <v>555</v>
      </c>
      <c r="V8" s="75" t="s">
        <v>523</v>
      </c>
      <c r="W8" s="76" t="s">
        <v>556</v>
      </c>
      <c r="X8" s="16" t="s">
        <v>557</v>
      </c>
      <c r="Y8" s="16" t="s">
        <v>558</v>
      </c>
      <c r="Z8" s="5"/>
    </row>
    <row r="9">
      <c r="A9" s="13">
        <f>INDEX('Node Information'!$J:J,MATCH(B9,'Node Information'!$A:$A,0))</f>
        <v>0.0654282407407407</v>
      </c>
      <c r="B9" s="2" t="s">
        <v>562</v>
      </c>
      <c r="C9" s="4">
        <v>311.17886066436768</v>
      </c>
      <c r="D9" s="4"/>
      <c r="E9" s="2" t="s">
        <v>562</v>
      </c>
      <c r="F9" s="3">
        <v>531</v>
      </c>
      <c r="G9" s="4"/>
      <c r="H9" s="2" t="s">
        <v>562</v>
      </c>
      <c r="I9" s="4">
        <v>220.30964517593384</v>
      </c>
      <c r="J9" s="4"/>
      <c r="K9" s="2" t="s">
        <v>562</v>
      </c>
      <c r="L9" s="68">
        <v>1.97</v>
      </c>
      <c r="N9" s="2" t="s">
        <v>562</v>
      </c>
      <c r="O9" s="4">
        <v>0</v>
      </c>
      <c r="P9" s="4">
        <v>0</v>
      </c>
      <c r="Q9" s="25">
        <f>T9/IF(O9 = 0,1,O9)</f>
        <v>0</v>
      </c>
      <c r="R9" s="2" t="s">
        <v>562</v>
      </c>
      <c r="S9" s="4">
        <v>0</v>
      </c>
      <c r="T9" s="4">
        <v>0</v>
      </c>
      <c r="V9" s="2" t="s">
        <v>562</v>
      </c>
      <c r="W9" s="3">
        <v>0</v>
      </c>
      <c r="X9" s="3">
        <v>0</v>
      </c>
      <c r="Y9" s="3">
        <v>0</v>
      </c>
      <c r="Z9" s="25">
        <f>X9/IF(W9=0,1,W9)</f>
        <v>0</v>
      </c>
    </row>
    <row r="10">
      <c r="B10" s="2" t="s">
        <v>560</v>
      </c>
      <c r="C10" s="4">
        <v>311.17886066436768</v>
      </c>
      <c r="D10" s="4"/>
      <c r="E10" s="2" t="s">
        <v>560</v>
      </c>
      <c r="F10" s="3">
        <v>531</v>
      </c>
      <c r="G10" s="4"/>
      <c r="H10" s="2" t="s">
        <v>560</v>
      </c>
      <c r="I10" s="4">
        <v>220.30964517593384</v>
      </c>
      <c r="J10" s="4"/>
      <c r="K10" s="2" t="s">
        <v>560</v>
      </c>
      <c r="L10" s="68">
        <v>1.97</v>
      </c>
      <c r="N10" s="2" t="s">
        <v>560</v>
      </c>
      <c r="O10" s="4">
        <v>0</v>
      </c>
      <c r="P10" s="4">
        <v>0</v>
      </c>
      <c r="Q10" s="5"/>
      <c r="R10" s="2" t="s">
        <v>560</v>
      </c>
      <c r="S10" s="4">
        <v>0</v>
      </c>
      <c r="T10" s="4">
        <v>0</v>
      </c>
      <c r="V10" s="2" t="s">
        <v>560</v>
      </c>
      <c r="W10" s="3">
        <v>0</v>
      </c>
      <c r="X10" s="3">
        <v>0</v>
      </c>
      <c r="Y10" s="3">
        <v>0</v>
      </c>
      <c r="Z10" s="5"/>
    </row>
  </sheetData>
  <mergeCells>
    <mergeCell ref="B1:I1"/>
    <mergeCell ref="N1:Y1"/>
    <mergeCell ref="K1:L1"/>
  </mergeCells>
  <pageMargins left="0.7" right="0.7" top="0.75" bottom="0.75" header="0.3" footer="0.3"/>
  <pageSetup orientation="portrait"/>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4: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22" customFormat="1"/>
    <row r="2" s="22" customFormat="1"/>
    <row r="3" s="22" customFormat="1"/>
    <row r="4">
      <c r="A4" s="22"/>
      <c r="B4" s="85" t="s">
        <v>563</v>
      </c>
      <c r="C4" s="80"/>
      <c r="D4" s="80"/>
      <c r="E4" s="80"/>
      <c r="F4" s="80"/>
      <c r="G4" s="80"/>
      <c r="H4" s="80"/>
      <c r="I4" s="80"/>
      <c r="J4" s="80"/>
      <c r="K4" s="80"/>
      <c r="L4" s="80"/>
      <c r="M4" s="80"/>
      <c r="N4" s="80"/>
      <c r="O4" s="80"/>
      <c r="P4" s="80"/>
      <c r="Q4" s="80"/>
      <c r="R4" s="80"/>
      <c r="S4" s="80"/>
      <c r="T4" s="80"/>
      <c r="U4" s="80"/>
      <c r="V4" s="80"/>
      <c r="W4" s="80"/>
      <c r="X4" s="80"/>
      <c r="Y4" s="80"/>
      <c r="Z4" s="80"/>
      <c r="AA4" s="21"/>
      <c r="AB4" s="21"/>
    </row>
    <row r="5">
      <c r="A5" s="22"/>
      <c r="B5" s="73" t="s">
        <v>0</v>
      </c>
      <c r="C5" s="74" t="s">
        <v>539</v>
      </c>
      <c r="D5" s="17"/>
      <c r="E5" s="73" t="s">
        <v>0</v>
      </c>
      <c r="F5" s="74" t="s">
        <v>539</v>
      </c>
      <c r="G5" s="17"/>
      <c r="H5" s="73" t="s">
        <v>0</v>
      </c>
      <c r="I5" s="74" t="s">
        <v>539</v>
      </c>
      <c r="K5" s="73" t="s">
        <v>0</v>
      </c>
      <c r="L5" s="74" t="s">
        <v>539</v>
      </c>
      <c r="M5" s="92" t="s">
        <v>564</v>
      </c>
      <c r="N5" s="78"/>
      <c r="S5" s="73" t="s">
        <v>0</v>
      </c>
      <c r="T5" s="74" t="s">
        <v>539</v>
      </c>
      <c r="U5" s="92" t="s">
        <v>565</v>
      </c>
      <c r="V5" s="78"/>
      <c r="W5" s="78"/>
      <c r="X5" s="74"/>
      <c r="Y5" s="74"/>
    </row>
    <row r="6">
      <c r="A6" s="22"/>
      <c r="B6" s="73" t="s">
        <v>541</v>
      </c>
      <c r="C6" s="74" t="s">
        <v>566</v>
      </c>
      <c r="D6" s="17"/>
      <c r="E6" s="73" t="s">
        <v>541</v>
      </c>
      <c r="F6" s="74" t="s">
        <v>567</v>
      </c>
      <c r="G6" s="17"/>
      <c r="H6" s="73" t="s">
        <v>541</v>
      </c>
      <c r="I6" s="74" t="s">
        <v>568</v>
      </c>
      <c r="K6" s="73" t="s">
        <v>541</v>
      </c>
      <c r="L6" s="74" t="s">
        <v>538</v>
      </c>
      <c r="S6" s="73" t="s">
        <v>541</v>
      </c>
      <c r="T6" s="74" t="s">
        <v>538</v>
      </c>
      <c r="U6" s="74"/>
      <c r="V6" s="74"/>
      <c r="W6" s="74"/>
      <c r="X6" s="74"/>
      <c r="Y6" s="74"/>
    </row>
    <row r="7">
      <c r="A7" s="22"/>
      <c r="K7" s="72"/>
      <c r="L7" s="72"/>
      <c r="S7" s="74"/>
      <c r="T7" s="74"/>
      <c r="U7" s="74"/>
      <c r="V7" s="74"/>
      <c r="W7" s="74"/>
      <c r="X7" s="74"/>
      <c r="Y7" s="74"/>
    </row>
    <row r="8">
      <c r="A8" s="23" t="s">
        <v>569</v>
      </c>
      <c r="B8" s="73" t="s">
        <v>570</v>
      </c>
      <c r="C8" s="0" t="s">
        <v>571</v>
      </c>
      <c r="E8" s="73" t="s">
        <v>570</v>
      </c>
      <c r="F8" s="0" t="s">
        <v>572</v>
      </c>
      <c r="H8" s="73" t="s">
        <v>570</v>
      </c>
      <c r="I8" s="0" t="s">
        <v>573</v>
      </c>
      <c r="K8" s="73" t="s">
        <v>570</v>
      </c>
      <c r="L8" s="74" t="s">
        <v>574</v>
      </c>
      <c r="M8" s="74" t="s">
        <v>575</v>
      </c>
      <c r="N8" s="74" t="s">
        <v>576</v>
      </c>
      <c r="O8" s="74" t="s">
        <v>577</v>
      </c>
      <c r="P8" s="74" t="s">
        <v>183</v>
      </c>
      <c r="Q8" s="74" t="s">
        <v>578</v>
      </c>
      <c r="S8" s="73" t="s">
        <v>570</v>
      </c>
      <c r="T8" s="74" t="s">
        <v>579</v>
      </c>
      <c r="U8" s="74" t="s">
        <v>575</v>
      </c>
      <c r="V8" s="74" t="s">
        <v>580</v>
      </c>
      <c r="W8" s="74" t="s">
        <v>576</v>
      </c>
      <c r="X8" s="74" t="s">
        <v>577</v>
      </c>
      <c r="Y8" s="74" t="s">
        <v>183</v>
      </c>
      <c r="Z8" s="74" t="s">
        <v>578</v>
      </c>
    </row>
    <row r="9">
      <c r="A9" s="24" t="str">
        <f>INDEX('OS-Machine Info'!$X:X,MATCH(B9,'OS-Machine Info'!$A:$A,0))</f>
        <v>GC-CMS</v>
      </c>
      <c r="B9" s="2" t="s">
        <v>562</v>
      </c>
      <c r="C9" s="3">
        <v>396</v>
      </c>
      <c r="D9" s="3"/>
      <c r="E9" s="2" t="s">
        <v>562</v>
      </c>
      <c r="F9" s="74">
        <v>368</v>
      </c>
      <c r="H9" s="2" t="s">
        <v>562</v>
      </c>
      <c r="I9" s="3">
        <v>240</v>
      </c>
      <c r="K9" s="2" t="s">
        <v>562</v>
      </c>
      <c r="L9" s="3">
        <v>1</v>
      </c>
      <c r="M9" s="3">
        <v>5</v>
      </c>
      <c r="N9" s="3">
        <v>357</v>
      </c>
      <c r="O9" s="3">
        <v>357</v>
      </c>
      <c r="P9" s="3">
        <v>357</v>
      </c>
      <c r="Q9" s="4">
        <v>0</v>
      </c>
      <c r="S9" s="2" t="s">
        <v>562</v>
      </c>
      <c r="T9" s="3">
        <v>1</v>
      </c>
      <c r="U9" s="3">
        <v>10</v>
      </c>
      <c r="V9" s="5">
        <v>26.34</v>
      </c>
      <c r="W9" s="3">
        <v>4500</v>
      </c>
      <c r="X9" s="3">
        <v>4500</v>
      </c>
      <c r="Y9" s="3">
        <v>4500</v>
      </c>
      <c r="Z9" s="4">
        <v>0</v>
      </c>
    </row>
    <row r="10">
      <c r="B10" s="2" t="s">
        <v>560</v>
      </c>
      <c r="C10" s="3">
        <v>396</v>
      </c>
      <c r="D10" s="3"/>
      <c r="E10" s="2" t="s">
        <v>560</v>
      </c>
      <c r="F10" s="74">
        <v>368</v>
      </c>
      <c r="H10" s="2" t="s">
        <v>560</v>
      </c>
      <c r="I10" s="3">
        <v>240</v>
      </c>
      <c r="K10" s="2" t="s">
        <v>560</v>
      </c>
      <c r="L10" s="3">
        <v>1</v>
      </c>
      <c r="M10" s="3">
        <v>5</v>
      </c>
      <c r="N10" s="3">
        <v>357</v>
      </c>
      <c r="O10" s="3">
        <v>357</v>
      </c>
      <c r="P10" s="3">
        <v>357</v>
      </c>
      <c r="Q10" s="4">
        <v>0</v>
      </c>
      <c r="S10" s="2" t="s">
        <v>560</v>
      </c>
      <c r="T10" s="3">
        <v>1</v>
      </c>
      <c r="U10" s="3">
        <v>10</v>
      </c>
      <c r="V10" s="5">
        <v>26.34</v>
      </c>
      <c r="W10" s="3">
        <v>4500</v>
      </c>
      <c r="X10" s="3">
        <v>4500</v>
      </c>
      <c r="Y10" s="3">
        <v>4500</v>
      </c>
      <c r="Z10" s="4">
        <v>0</v>
      </c>
    </row>
  </sheetData>
  <mergeCells>
    <mergeCell ref="M5:N5"/>
    <mergeCell ref="B4:Z4"/>
    <mergeCell ref="U5:W5"/>
  </mergeCells>
  <pageMargins left="0.7" right="0.7" top="0.75" bottom="0.75" header="0.3" footer="0.3"/>
  <pageSetup orientation="portrait"/>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4:L10"/>
  <sheetViews>
    <sheetView workbookViewId="0">
      <selection activeCell="A11" sqref="A11"/>
    </sheetView>
  </sheetViews>
  <sheetFormatPr defaultColWidth="9.140625" defaultRowHeight="15"/>
  <cols>
    <col min="1" max="1" width="15.85546875" customWidth="1" style="28"/>
    <col min="2" max="2" width="11.42578125" customWidth="1" style="28"/>
    <col min="3" max="3" width="26.140625" customWidth="1" style="28"/>
    <col min="4" max="4" width="9.140625" customWidth="1" style="28"/>
    <col min="5" max="5" width="11.42578125" customWidth="1" style="28"/>
    <col min="6" max="6" width="32.140625" customWidth="1" style="28"/>
    <col min="7" max="7" width="9.140625" customWidth="1" style="28"/>
    <col min="8" max="8" width="11.42578125" customWidth="1" style="28"/>
    <col min="9" max="9" width="55.7109375" customWidth="1" style="28"/>
    <col min="10" max="10" width="9.140625" customWidth="1" style="28"/>
    <col min="11" max="11" width="11.42578125" customWidth="1" style="28"/>
    <col min="12" max="12" width="35.85546875" customWidth="1" style="28"/>
    <col min="13" max="16384" width="9.140625" customWidth="1" style="28"/>
  </cols>
  <sheetData>
    <row r="1" s="22" customFormat="1"/>
    <row r="2" s="22" customFormat="1"/>
    <row r="3" s="22" customFormat="1"/>
    <row r="4" s="22" customFormat="1">
      <c r="B4" s="85" t="s">
        <v>581</v>
      </c>
      <c r="C4" s="80"/>
      <c r="D4" s="80"/>
      <c r="E4" s="80"/>
      <c r="F4" s="80"/>
      <c r="G4" s="80"/>
      <c r="H4" s="80"/>
      <c r="I4" s="80"/>
      <c r="J4" s="80"/>
      <c r="K4" s="80"/>
      <c r="L4" s="80"/>
    </row>
    <row r="5">
      <c r="A5" s="22"/>
      <c r="B5" s="73" t="s">
        <v>0</v>
      </c>
      <c r="C5" s="74" t="s">
        <v>539</v>
      </c>
      <c r="D5" s="17"/>
      <c r="E5" s="73" t="s">
        <v>0</v>
      </c>
      <c r="F5" s="74" t="s">
        <v>539</v>
      </c>
      <c r="G5" s="17"/>
      <c r="H5" s="73" t="s">
        <v>0</v>
      </c>
      <c r="I5" s="74" t="s">
        <v>539</v>
      </c>
      <c r="K5" s="73" t="s">
        <v>0</v>
      </c>
      <c r="L5" s="74" t="s">
        <v>539</v>
      </c>
    </row>
    <row r="6">
      <c r="A6" s="22"/>
      <c r="B6" s="73" t="s">
        <v>541</v>
      </c>
      <c r="C6" s="74" t="s">
        <v>582</v>
      </c>
      <c r="D6" s="17"/>
      <c r="E6" s="73" t="s">
        <v>541</v>
      </c>
      <c r="F6" s="74" t="s">
        <v>583</v>
      </c>
      <c r="G6" s="17"/>
      <c r="H6" s="73" t="s">
        <v>541</v>
      </c>
      <c r="I6" s="74" t="s">
        <v>584</v>
      </c>
      <c r="K6" s="73" t="s">
        <v>541</v>
      </c>
      <c r="L6" s="74" t="s">
        <v>585</v>
      </c>
    </row>
    <row r="7">
      <c r="A7" s="22"/>
      <c r="B7" s="33"/>
      <c r="C7" s="33"/>
      <c r="E7" s="56"/>
      <c r="F7" s="56"/>
      <c r="H7" s="57"/>
      <c r="I7" s="57"/>
      <c r="K7" s="60"/>
      <c r="L7" s="60"/>
    </row>
    <row r="8">
      <c r="A8" s="23" t="s">
        <v>569</v>
      </c>
      <c r="B8" s="73" t="s">
        <v>570</v>
      </c>
      <c r="C8" s="28" t="s">
        <v>586</v>
      </c>
      <c r="E8" s="73" t="s">
        <v>570</v>
      </c>
      <c r="F8" s="28" t="s">
        <v>587</v>
      </c>
      <c r="H8" s="73" t="s">
        <v>570</v>
      </c>
      <c r="I8" s="28" t="s">
        <v>588</v>
      </c>
      <c r="K8" s="73" t="s">
        <v>570</v>
      </c>
      <c r="L8" s="28" t="s">
        <v>589</v>
      </c>
    </row>
    <row r="9">
      <c r="A9" s="24" t="str">
        <f>INDEX('OS-Machine Info'!$X:X,MATCH(B9,'OS-Machine Info'!$A:$A,0))</f>
        <v>GC-CMS</v>
      </c>
      <c r="B9" s="2" t="s">
        <v>562</v>
      </c>
      <c r="C9" s="74">
        <v>2</v>
      </c>
      <c r="D9" s="3"/>
      <c r="E9" s="2" t="s">
        <v>562</v>
      </c>
      <c r="F9" s="74">
        <v>1</v>
      </c>
      <c r="G9" s="3"/>
      <c r="H9" s="2" t="s">
        <v>562</v>
      </c>
      <c r="I9" s="74">
        <v>3</v>
      </c>
      <c r="K9" s="2" t="s">
        <v>562</v>
      </c>
      <c r="L9" s="74">
        <v>1</v>
      </c>
    </row>
    <row r="10">
      <c r="B10" s="2" t="s">
        <v>560</v>
      </c>
      <c r="C10" s="74">
        <v>2</v>
      </c>
      <c r="D10" s="3"/>
      <c r="E10" s="2" t="s">
        <v>560</v>
      </c>
      <c r="F10" s="74">
        <v>1</v>
      </c>
      <c r="G10" s="3"/>
      <c r="H10" s="2" t="s">
        <v>560</v>
      </c>
      <c r="I10" s="74">
        <v>3</v>
      </c>
      <c r="K10" s="2" t="s">
        <v>560</v>
      </c>
      <c r="L10" s="74">
        <v>1</v>
      </c>
    </row>
  </sheetData>
  <mergeCells>
    <mergeCell ref="B4:L4"/>
  </mergeCells>
  <pageMargins left="0.7" right="0.7" top="0.75" bottom="0.75" header="0.3" footer="0.3"/>
  <pageSetup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15" customFormat="1"/>
    <row r="2" s="15" customFormat="1">
      <c r="C2" s="85" t="s">
        <v>581</v>
      </c>
      <c r="D2" s="80"/>
      <c r="E2" s="80"/>
      <c r="F2" s="80"/>
      <c r="G2" s="80"/>
      <c r="H2" s="80"/>
      <c r="I2" s="80"/>
      <c r="J2" s="80"/>
      <c r="K2" s="80"/>
      <c r="L2" s="80"/>
      <c r="M2" s="80"/>
      <c r="N2" s="80"/>
      <c r="O2" s="80"/>
      <c r="P2" s="80"/>
      <c r="Q2" s="80"/>
      <c r="R2" s="80"/>
      <c r="S2" s="80"/>
      <c r="T2" s="80"/>
      <c r="U2" s="80"/>
    </row>
    <row r="3">
      <c r="A3" s="14"/>
      <c r="B3" s="14"/>
      <c r="C3" s="75" t="s">
        <v>0</v>
      </c>
      <c r="D3" s="76" t="s">
        <v>539</v>
      </c>
      <c r="F3" s="75" t="s">
        <v>0</v>
      </c>
      <c r="G3" s="76" t="s">
        <v>539</v>
      </c>
      <c r="I3" s="75" t="s">
        <v>0</v>
      </c>
      <c r="J3" s="76" t="s">
        <v>539</v>
      </c>
      <c r="L3" s="75" t="s">
        <v>0</v>
      </c>
      <c r="M3" s="76" t="s">
        <v>539</v>
      </c>
      <c r="O3" s="75" t="s">
        <v>0</v>
      </c>
      <c r="P3" s="76" t="s">
        <v>539</v>
      </c>
      <c r="Q3" s="17"/>
      <c r="R3" s="17"/>
      <c r="S3" s="75" t="s">
        <v>0</v>
      </c>
      <c r="T3" s="76" t="s">
        <v>539</v>
      </c>
      <c r="U3" s="17"/>
    </row>
    <row r="4">
      <c r="A4" s="14"/>
      <c r="B4" s="14"/>
      <c r="C4" s="75" t="s">
        <v>522</v>
      </c>
      <c r="D4" s="76" t="s">
        <v>539</v>
      </c>
      <c r="F4" s="75" t="s">
        <v>522</v>
      </c>
      <c r="G4" s="76" t="s">
        <v>539</v>
      </c>
      <c r="I4" s="75" t="s">
        <v>522</v>
      </c>
      <c r="J4" s="76" t="s">
        <v>539</v>
      </c>
      <c r="L4" s="75" t="s">
        <v>522</v>
      </c>
      <c r="M4" s="76" t="s">
        <v>539</v>
      </c>
      <c r="O4" s="75" t="s">
        <v>522</v>
      </c>
      <c r="P4" s="76" t="s">
        <v>539</v>
      </c>
      <c r="Q4" s="17"/>
      <c r="R4" s="17"/>
      <c r="S4" s="75" t="s">
        <v>522</v>
      </c>
      <c r="T4" s="76" t="s">
        <v>539</v>
      </c>
      <c r="U4" s="17"/>
    </row>
    <row r="5">
      <c r="A5" s="14"/>
      <c r="B5" s="14"/>
      <c r="C5" s="75" t="s">
        <v>541</v>
      </c>
      <c r="D5" s="76" t="s">
        <v>590</v>
      </c>
      <c r="F5" s="75" t="s">
        <v>541</v>
      </c>
      <c r="G5" s="76" t="s">
        <v>591</v>
      </c>
      <c r="I5" s="75" t="s">
        <v>541</v>
      </c>
      <c r="J5" s="76" t="s">
        <v>592</v>
      </c>
      <c r="L5" s="75" t="s">
        <v>541</v>
      </c>
      <c r="M5" s="76" t="s">
        <v>593</v>
      </c>
      <c r="O5" s="75" t="s">
        <v>541</v>
      </c>
      <c r="P5" s="76" t="s">
        <v>594</v>
      </c>
      <c r="S5" s="75" t="s">
        <v>541</v>
      </c>
      <c r="T5" s="76" t="s">
        <v>595</v>
      </c>
    </row>
    <row r="6">
      <c r="A6" s="14"/>
      <c r="B6" s="14"/>
    </row>
    <row r="7">
      <c r="A7" s="10" t="s">
        <v>548</v>
      </c>
      <c r="B7" s="10" t="s">
        <v>529</v>
      </c>
      <c r="C7" s="75" t="s">
        <v>523</v>
      </c>
      <c r="D7" s="0" t="s">
        <v>596</v>
      </c>
      <c r="F7" s="75" t="s">
        <v>523</v>
      </c>
      <c r="G7" s="0" t="s">
        <v>597</v>
      </c>
      <c r="I7" s="75" t="s">
        <v>523</v>
      </c>
      <c r="J7" s="0" t="s">
        <v>598</v>
      </c>
      <c r="L7" s="75" t="s">
        <v>523</v>
      </c>
      <c r="M7" s="0" t="s">
        <v>599</v>
      </c>
      <c r="O7" s="75" t="s">
        <v>523</v>
      </c>
      <c r="P7" s="76" t="s">
        <v>600</v>
      </c>
      <c r="Q7" s="76" t="s">
        <v>553</v>
      </c>
      <c r="S7" s="75" t="s">
        <v>601</v>
      </c>
      <c r="T7" s="0" t="s">
        <v>573</v>
      </c>
    </row>
    <row r="8">
      <c r="A8" s="9" t="str">
        <f>INDEX('DDL Tables'!$B:$B,MATCH(C8,'DDL Tables'!$C:$C,0))</f>
        <v>TestKS</v>
      </c>
      <c r="B8" s="9" t="str">
        <f>INDEX('DDL Tables'!$F:$F,MATCH(C8,'DDL Tables'!$C:$C,0))</f>
        <v>SizeTieredCompactionStrategy</v>
      </c>
      <c r="C8" s="2" t="s">
        <v>559</v>
      </c>
      <c r="D8" s="3">
        <v>107</v>
      </c>
      <c r="F8" s="2" t="s">
        <v>559</v>
      </c>
      <c r="G8" s="4">
        <v>4.554629</v>
      </c>
      <c r="I8" s="2" t="s">
        <v>559</v>
      </c>
      <c r="J8" s="4">
        <v>0.191833</v>
      </c>
      <c r="L8" s="2" t="s">
        <v>559</v>
      </c>
      <c r="M8" s="4">
        <v>2.03721035</v>
      </c>
      <c r="O8" s="2" t="s">
        <v>559</v>
      </c>
      <c r="P8" s="3">
        <v>21671</v>
      </c>
      <c r="Q8" s="3">
        <v>0</v>
      </c>
      <c r="S8" s="2" t="s">
        <v>559</v>
      </c>
      <c r="T8" s="3">
        <v>14414</v>
      </c>
    </row>
    <row r="9">
      <c r="C9" s="2" t="s">
        <v>560</v>
      </c>
      <c r="D9" s="3">
        <v>107</v>
      </c>
      <c r="F9" s="2" t="s">
        <v>560</v>
      </c>
      <c r="G9" s="4">
        <v>4.554629</v>
      </c>
      <c r="I9" s="2" t="s">
        <v>560</v>
      </c>
      <c r="J9" s="4">
        <v>0.191833</v>
      </c>
      <c r="L9" s="2" t="s">
        <v>560</v>
      </c>
      <c r="M9" s="4">
        <v>2.03721035</v>
      </c>
      <c r="O9" s="2" t="s">
        <v>560</v>
      </c>
      <c r="P9" s="3">
        <v>21671</v>
      </c>
      <c r="Q9" s="3">
        <v>0</v>
      </c>
      <c r="S9" s="2" t="s">
        <v>560</v>
      </c>
      <c r="T9" s="3">
        <v>14414</v>
      </c>
    </row>
  </sheetData>
  <mergeCells>
    <mergeCell ref="C2:U2"/>
  </mergeCells>
  <pageMargins left="0.7" right="0.7" top="0.75" bottom="0.75" header="0.3" footer="0.3"/>
  <pageSetup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15" customFormat="1"/>
    <row r="2">
      <c r="A2" s="15"/>
      <c r="B2" s="85" t="s">
        <v>581</v>
      </c>
      <c r="C2" s="80"/>
      <c r="D2" s="80"/>
      <c r="E2" s="80"/>
      <c r="F2" s="80"/>
      <c r="G2" s="80"/>
      <c r="H2" s="80"/>
      <c r="I2" s="80"/>
      <c r="J2" s="80"/>
      <c r="K2" s="80"/>
      <c r="L2" s="80"/>
      <c r="M2" s="80"/>
      <c r="N2" s="80"/>
      <c r="O2" s="80"/>
      <c r="P2" s="80"/>
      <c r="Q2" s="80"/>
      <c r="R2" s="80"/>
      <c r="S2" s="80"/>
      <c r="T2" s="80"/>
    </row>
    <row r="3" s="15" customFormat="1">
      <c r="B3" s="75" t="s">
        <v>0</v>
      </c>
      <c r="C3" s="76" t="s">
        <v>539</v>
      </c>
      <c r="E3" s="75" t="s">
        <v>0</v>
      </c>
      <c r="F3" s="76" t="s">
        <v>539</v>
      </c>
      <c r="H3" s="75" t="s">
        <v>0</v>
      </c>
      <c r="I3" s="76" t="s">
        <v>539</v>
      </c>
      <c r="K3" s="75" t="s">
        <v>0</v>
      </c>
      <c r="L3" s="76" t="s">
        <v>539</v>
      </c>
      <c r="N3" s="75" t="s">
        <v>0</v>
      </c>
      <c r="O3" s="76" t="s">
        <v>539</v>
      </c>
      <c r="R3" s="75" t="s">
        <v>0</v>
      </c>
      <c r="S3" s="76" t="s">
        <v>539</v>
      </c>
    </row>
    <row r="4">
      <c r="A4" s="14"/>
      <c r="B4" s="75" t="s">
        <v>522</v>
      </c>
      <c r="C4" s="76" t="s">
        <v>539</v>
      </c>
      <c r="E4" s="75" t="s">
        <v>522</v>
      </c>
      <c r="F4" s="76" t="s">
        <v>539</v>
      </c>
      <c r="H4" s="75" t="s">
        <v>522</v>
      </c>
      <c r="I4" s="76" t="s">
        <v>539</v>
      </c>
      <c r="K4" s="75" t="s">
        <v>522</v>
      </c>
      <c r="L4" s="76" t="s">
        <v>539</v>
      </c>
      <c r="N4" s="75" t="s">
        <v>522</v>
      </c>
      <c r="O4" s="76" t="s">
        <v>539</v>
      </c>
      <c r="P4" s="17"/>
      <c r="Q4" s="17"/>
      <c r="R4" s="75" t="s">
        <v>522</v>
      </c>
      <c r="S4" s="76" t="s">
        <v>539</v>
      </c>
      <c r="T4" s="17"/>
    </row>
    <row r="5">
      <c r="A5" s="14"/>
      <c r="B5" s="75" t="s">
        <v>523</v>
      </c>
      <c r="C5" s="76" t="s">
        <v>539</v>
      </c>
      <c r="E5" s="75" t="s">
        <v>523</v>
      </c>
      <c r="F5" s="76" t="s">
        <v>539</v>
      </c>
      <c r="H5" s="75" t="s">
        <v>523</v>
      </c>
      <c r="I5" s="76" t="s">
        <v>539</v>
      </c>
      <c r="K5" s="75" t="s">
        <v>523</v>
      </c>
      <c r="L5" s="76" t="s">
        <v>539</v>
      </c>
      <c r="N5" s="75" t="s">
        <v>523</v>
      </c>
      <c r="O5" s="76" t="s">
        <v>539</v>
      </c>
      <c r="P5" s="17"/>
      <c r="Q5" s="17"/>
      <c r="R5" s="75" t="s">
        <v>523</v>
      </c>
      <c r="S5" s="76" t="s">
        <v>539</v>
      </c>
      <c r="T5" s="17"/>
    </row>
    <row r="6">
      <c r="A6" s="14"/>
      <c r="B6" s="75" t="s">
        <v>541</v>
      </c>
      <c r="C6" s="76" t="s">
        <v>590</v>
      </c>
      <c r="E6" s="75" t="s">
        <v>541</v>
      </c>
      <c r="F6" s="76" t="s">
        <v>591</v>
      </c>
      <c r="H6" s="75" t="s">
        <v>541</v>
      </c>
      <c r="I6" s="76" t="s">
        <v>592</v>
      </c>
      <c r="K6" s="75" t="s">
        <v>541</v>
      </c>
      <c r="L6" s="76" t="s">
        <v>593</v>
      </c>
      <c r="N6" s="75" t="s">
        <v>541</v>
      </c>
      <c r="O6" s="76" t="s">
        <v>594</v>
      </c>
      <c r="R6" s="75" t="s">
        <v>541</v>
      </c>
      <c r="S6" s="76" t="s">
        <v>595</v>
      </c>
    </row>
    <row r="7">
      <c r="A7" s="14"/>
    </row>
    <row r="8">
      <c r="A8" s="10" t="s">
        <v>148</v>
      </c>
      <c r="B8" s="75" t="s">
        <v>523</v>
      </c>
      <c r="C8" s="0" t="s">
        <v>596</v>
      </c>
      <c r="E8" s="75" t="s">
        <v>523</v>
      </c>
      <c r="F8" s="0" t="s">
        <v>597</v>
      </c>
      <c r="H8" s="75" t="s">
        <v>523</v>
      </c>
      <c r="I8" s="0" t="s">
        <v>598</v>
      </c>
      <c r="K8" s="75" t="s">
        <v>523</v>
      </c>
      <c r="L8" s="0" t="s">
        <v>599</v>
      </c>
      <c r="N8" s="75" t="s">
        <v>523</v>
      </c>
      <c r="O8" s="76" t="s">
        <v>600</v>
      </c>
      <c r="P8" s="76" t="s">
        <v>602</v>
      </c>
      <c r="R8" s="75" t="s">
        <v>601</v>
      </c>
      <c r="S8" s="0" t="s">
        <v>573</v>
      </c>
    </row>
    <row r="9">
      <c r="A9" s="27">
        <f>INDEX('Node Information'!J:$J,MATCH(B9,'Node Information'!$A:$A,0))</f>
        <v>0.0654282407407407</v>
      </c>
      <c r="B9" s="2" t="s">
        <v>562</v>
      </c>
      <c r="C9" s="3">
        <v>107</v>
      </c>
      <c r="E9" s="2" t="s">
        <v>562</v>
      </c>
      <c r="F9" s="4">
        <v>4.554629</v>
      </c>
      <c r="H9" s="2" t="s">
        <v>562</v>
      </c>
      <c r="I9" s="4">
        <v>0.191833</v>
      </c>
      <c r="K9" s="2" t="s">
        <v>562</v>
      </c>
      <c r="L9" s="4">
        <v>2.03721035</v>
      </c>
      <c r="N9" s="2" t="s">
        <v>562</v>
      </c>
      <c r="O9" s="3">
        <v>21671</v>
      </c>
      <c r="P9" s="3">
        <v>0</v>
      </c>
      <c r="R9" s="2" t="s">
        <v>562</v>
      </c>
      <c r="S9" s="3">
        <v>14414</v>
      </c>
    </row>
    <row r="10">
      <c r="B10" s="2" t="s">
        <v>560</v>
      </c>
      <c r="C10" s="3">
        <v>107</v>
      </c>
      <c r="E10" s="2" t="s">
        <v>560</v>
      </c>
      <c r="F10" s="4">
        <v>4.554629</v>
      </c>
      <c r="H10" s="2" t="s">
        <v>560</v>
      </c>
      <c r="I10" s="4">
        <v>0.191833</v>
      </c>
      <c r="K10" s="2" t="s">
        <v>560</v>
      </c>
      <c r="L10" s="4">
        <v>2.03721035</v>
      </c>
      <c r="N10" s="2" t="s">
        <v>560</v>
      </c>
      <c r="O10" s="3">
        <v>21671</v>
      </c>
      <c r="P10" s="3">
        <v>0</v>
      </c>
      <c r="R10" s="2" t="s">
        <v>560</v>
      </c>
      <c r="S10" s="3">
        <v>14414</v>
      </c>
    </row>
  </sheetData>
  <mergeCells>
    <mergeCell ref="B2:T2"/>
  </mergeCells>
  <pageMargins left="0.7" right="0.7" top="0.75" bottom="0.75" header="0.3" footer="0.3"/>
  <pageSetup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4: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bestFit="1" width="11.42578125"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bestFit="1" width="31.140625" customWidth="1"/>
    <col min="31" max="31" bestFit="1" width="16.140625" customWidth="1"/>
    <col min="32" max="32" bestFit="1" width="10.28515625" customWidth="1"/>
    <col min="33" max="33" bestFit="1" width="19.42578125" customWidth="1"/>
    <col min="34" max="34" bestFit="1" width="22.140625" customWidth="1"/>
    <col min="35" max="35" width="8.28515625" customWidth="1"/>
    <col min="36" max="36" bestFit="1" width="18.140625" customWidth="1"/>
    <col min="37" max="37" width="7.28515625" customWidth="1"/>
    <col min="38" max="38" bestFit="1" width="14.7109375" customWidth="1"/>
    <col min="39" max="39" bestFit="1" width="31.28515625" customWidth="1"/>
    <col min="40" max="40" bestFit="1" width="31" customWidth="1"/>
    <col min="41" max="41" bestFit="1" width="27.28515625" customWidth="1"/>
    <col min="42" max="42" bestFit="1" width="26.7109375" customWidth="1"/>
    <col min="43" max="43" bestFit="1" width="33" customWidth="1"/>
    <col min="44" max="44" bestFit="1" width="19.85546875" customWidth="1"/>
    <col min="45" max="45" bestFit="1" width="19.5703125" customWidth="1"/>
    <col min="46" max="46" bestFit="1" width="15.85546875" customWidth="1"/>
    <col min="47" max="47" bestFit="1" width="15.28515625" customWidth="1"/>
    <col min="48" max="48" bestFit="1" width="21.7109375" customWidth="1"/>
    <col min="49" max="49" bestFit="1" width="31.7109375" customWidth="1"/>
    <col min="50" max="50" bestFit="1" width="31.42578125" customWidth="1"/>
    <col min="51" max="51" bestFit="1" width="27.7109375" customWidth="1"/>
    <col min="52" max="52" bestFit="1" width="27.140625" customWidth="1"/>
    <col min="53" max="53" bestFit="1" width="33.42578125" customWidth="1"/>
    <col min="54" max="54" bestFit="1" width="25.85546875" customWidth="1"/>
    <col min="55" max="55" bestFit="1" width="25.5703125" customWidth="1"/>
    <col min="56" max="56" bestFit="1" width="21.85546875" customWidth="1"/>
    <col min="57" max="57" bestFit="1" width="21.140625" customWidth="1"/>
    <col min="58" max="58" bestFit="1" width="27.5703125" customWidth="1"/>
    <col min="59" max="59" bestFit="1" width="23.85546875" customWidth="1"/>
    <col min="60" max="60" bestFit="1" width="23.5703125" customWidth="1"/>
    <col min="61" max="61" bestFit="1" width="19.85546875" customWidth="1"/>
    <col min="62" max="62" bestFit="1" width="19.28515625" customWidth="1"/>
    <col min="63" max="63" bestFit="1" width="25.7109375" customWidth="1"/>
    <col min="64" max="64" bestFit="1" width="21.5703125" customWidth="1"/>
    <col min="65" max="65" bestFit="1" width="21.140625" customWidth="1"/>
    <col min="66" max="66" bestFit="1" width="17.5703125" customWidth="1"/>
    <col min="67" max="67" bestFit="1" width="16.85546875" customWidth="1"/>
    <col min="68" max="68" bestFit="1" width="23.28515625" customWidth="1"/>
    <col min="69" max="69" bestFit="1" width="24.28515625" customWidth="1"/>
    <col min="70" max="70" bestFit="1" width="24" customWidth="1"/>
    <col min="71" max="71" bestFit="1" width="20.28515625" customWidth="1"/>
    <col min="72" max="72" bestFit="1" width="19.7109375" customWidth="1"/>
    <col min="73" max="73" bestFit="1" width="26.140625" customWidth="1"/>
    <col min="74" max="74" bestFit="1" width="30.85546875" customWidth="1"/>
    <col min="75" max="75" bestFit="1" width="30.5703125" customWidth="1"/>
    <col min="76" max="76" bestFit="1" width="26.85546875" customWidth="1"/>
    <col min="77" max="77" bestFit="1" width="26.28515625" customWidth="1"/>
    <col min="78" max="79" bestFit="1" width="32.5703125" customWidth="1"/>
    <col min="80" max="80" bestFit="1" width="32.28515625" customWidth="1"/>
    <col min="81" max="81" bestFit="1" width="28.5703125" customWidth="1"/>
    <col min="82" max="82" bestFit="1" width="28" customWidth="1"/>
    <col min="83" max="83" bestFit="1" width="34.42578125" customWidth="1"/>
    <col min="84" max="84" bestFit="1" width="35" customWidth="1"/>
    <col min="85" max="85" bestFit="1" width="34.7109375" customWidth="1"/>
    <col min="86" max="86" bestFit="1" width="31" customWidth="1"/>
    <col min="87" max="87" bestFit="1" width="30.42578125" customWidth="1"/>
    <col min="88" max="88" bestFit="1" width="36.7109375" customWidth="1"/>
    <col min="89" max="89" bestFit="1" width="28.7109375" customWidth="1"/>
    <col min="90" max="90" bestFit="1" width="28.42578125" customWidth="1"/>
    <col min="91" max="91" bestFit="1" width="24.7109375" customWidth="1"/>
    <col min="92" max="92" bestFit="1" width="24.140625" customWidth="1"/>
    <col min="93" max="93" bestFit="1" width="30.5703125" customWidth="1"/>
    <col min="94" max="94" bestFit="1" width="29.140625" customWidth="1"/>
    <col min="95" max="95" bestFit="1" width="28.85546875" customWidth="1"/>
    <col min="96" max="96" bestFit="1" width="25.140625" customWidth="1"/>
    <col min="97" max="97" bestFit="1" width="24.5703125" customWidth="1"/>
    <col min="98" max="98" bestFit="1" width="31" customWidth="1"/>
    <col min="99" max="99" bestFit="1" width="31.42578125" customWidth="1"/>
    <col min="100" max="100" bestFit="1" width="31.140625" customWidth="1"/>
    <col min="101" max="101" bestFit="1" width="27.42578125" customWidth="1"/>
    <col min="102" max="102" bestFit="1" width="26.85546875" customWidth="1"/>
    <col min="103" max="103" bestFit="1" width="33.140625" customWidth="1"/>
    <col min="104" max="104" bestFit="1" width="23.85546875" customWidth="1"/>
    <col min="105" max="105" bestFit="1" width="23.5703125" customWidth="1"/>
    <col min="106" max="106" bestFit="1" width="19.85546875" customWidth="1"/>
    <col min="107" max="107" bestFit="1" width="19.28515625" customWidth="1"/>
    <col min="108" max="108" bestFit="1" width="25.7109375" customWidth="1"/>
    <col min="109" max="109" bestFit="1" width="28.28515625" customWidth="1"/>
    <col min="110" max="110" bestFit="1" width="28.5703125" customWidth="1"/>
    <col min="111" max="111" bestFit="1" width="24.5703125" customWidth="1"/>
    <col min="112" max="112" bestFit="1" width="22.5703125" customWidth="1"/>
    <col min="113" max="113" bestFit="1" width="26.28515625" customWidth="1"/>
    <col min="114" max="114" bestFit="1" width="26" customWidth="1"/>
    <col min="115" max="115" bestFit="1" width="22.28515625" customWidth="1"/>
    <col min="116" max="116" bestFit="1" width="21.7109375" customWidth="1"/>
    <col min="117" max="117" bestFit="1" width="28" customWidth="1"/>
    <col min="118" max="118" bestFit="1" width="11.28515625" customWidth="1"/>
  </cols>
  <sheetData>
    <row r="1" s="22" customFormat="1"/>
    <row r="2" s="22" customFormat="1"/>
    <row r="3" s="22" customFormat="1"/>
    <row r="4" s="64" customFormat="1">
      <c r="A4" s="22"/>
      <c r="B4" s="79" t="s">
        <v>603</v>
      </c>
      <c r="C4" s="79"/>
      <c r="D4" s="79"/>
      <c r="E4" s="79"/>
      <c r="F4" s="79"/>
      <c r="G4" s="79"/>
      <c r="H4" s="79"/>
      <c r="I4" s="79"/>
      <c r="J4" s="79"/>
      <c r="K4" s="79"/>
      <c r="L4" s="79"/>
      <c r="M4" s="79"/>
      <c r="N4" s="79"/>
      <c r="O4" s="79"/>
      <c r="P4" s="79"/>
      <c r="Q4" s="79"/>
      <c r="R4" s="79"/>
      <c r="T4" s="85" t="s">
        <v>604</v>
      </c>
      <c r="U4" s="89"/>
      <c r="V4" s="89"/>
      <c r="W4" s="89"/>
      <c r="X4" s="89"/>
      <c r="Y4" s="89"/>
      <c r="Z4" s="89"/>
      <c r="AA4" s="89"/>
      <c r="AB4" s="89"/>
      <c r="AC4" s="89"/>
      <c r="AD4" s="89"/>
    </row>
    <row r="5">
      <c r="A5" s="22"/>
      <c r="B5" s="73" t="s">
        <v>0</v>
      </c>
      <c r="C5" s="74" t="s">
        <v>539</v>
      </c>
      <c r="E5" s="73" t="s">
        <v>0</v>
      </c>
      <c r="F5" s="74" t="s">
        <v>539</v>
      </c>
      <c r="H5" s="73" t="s">
        <v>0</v>
      </c>
      <c r="I5" s="74" t="s">
        <v>539</v>
      </c>
      <c r="K5" s="73" t="s">
        <v>0</v>
      </c>
      <c r="L5" s="74" t="s">
        <v>539</v>
      </c>
      <c r="N5" s="73" t="s">
        <v>0</v>
      </c>
      <c r="O5" s="74" t="s">
        <v>539</v>
      </c>
      <c r="Q5" s="73" t="s">
        <v>0</v>
      </c>
      <c r="R5" s="74" t="s">
        <v>539</v>
      </c>
      <c r="T5" s="73" t="s">
        <v>0</v>
      </c>
      <c r="U5" s="74" t="s">
        <v>539</v>
      </c>
      <c r="W5" s="73" t="s">
        <v>0</v>
      </c>
      <c r="X5" s="74" t="s">
        <v>539</v>
      </c>
      <c r="Z5" s="73" t="s">
        <v>0</v>
      </c>
      <c r="AA5" s="74" t="s">
        <v>539</v>
      </c>
      <c r="AB5" s="60"/>
      <c r="AC5" s="73" t="s">
        <v>0</v>
      </c>
      <c r="AD5" s="74" t="s">
        <v>539</v>
      </c>
    </row>
    <row r="6">
      <c r="A6" s="22"/>
      <c r="B6" s="73" t="s">
        <v>541</v>
      </c>
      <c r="C6" s="74" t="s">
        <v>538</v>
      </c>
      <c r="E6" s="73" t="s">
        <v>541</v>
      </c>
      <c r="F6" s="74" t="s">
        <v>605</v>
      </c>
      <c r="H6" s="73" t="s">
        <v>541</v>
      </c>
      <c r="I6" s="74" t="s">
        <v>606</v>
      </c>
      <c r="K6" s="73" t="s">
        <v>541</v>
      </c>
      <c r="L6" s="74" t="s">
        <v>607</v>
      </c>
      <c r="N6" s="73" t="s">
        <v>541</v>
      </c>
      <c r="O6" s="74" t="s">
        <v>608</v>
      </c>
      <c r="Q6" s="73" t="s">
        <v>541</v>
      </c>
      <c r="R6" s="74" t="s">
        <v>609</v>
      </c>
      <c r="T6" s="73" t="s">
        <v>541</v>
      </c>
      <c r="U6" s="74" t="s">
        <v>610</v>
      </c>
      <c r="W6" s="73" t="s">
        <v>541</v>
      </c>
      <c r="X6" s="74" t="s">
        <v>611</v>
      </c>
      <c r="Z6" s="73" t="s">
        <v>541</v>
      </c>
      <c r="AA6" s="74" t="s">
        <v>612</v>
      </c>
      <c r="AB6" s="60"/>
      <c r="AC6" s="73" t="s">
        <v>541</v>
      </c>
      <c r="AD6" s="74" t="s">
        <v>613</v>
      </c>
    </row>
    <row r="7">
      <c r="A7" s="22"/>
      <c r="T7" s="60"/>
      <c r="U7" s="60"/>
      <c r="W7" s="60"/>
      <c r="X7" s="60"/>
      <c r="Z7" s="60"/>
      <c r="AA7" s="60"/>
      <c r="AB7" s="60"/>
      <c r="AC7" s="60"/>
      <c r="AD7" s="60"/>
    </row>
    <row r="8">
      <c r="A8" s="10" t="s">
        <v>148</v>
      </c>
      <c r="B8" s="73" t="s">
        <v>570</v>
      </c>
      <c r="C8" s="0" t="s">
        <v>614</v>
      </c>
      <c r="E8" s="73" t="s">
        <v>570</v>
      </c>
      <c r="F8" s="0" t="s">
        <v>615</v>
      </c>
      <c r="H8" s="73" t="s">
        <v>570</v>
      </c>
      <c r="I8" s="0" t="s">
        <v>616</v>
      </c>
      <c r="K8" s="73" t="s">
        <v>570</v>
      </c>
      <c r="L8" s="0" t="s">
        <v>617</v>
      </c>
      <c r="N8" s="73" t="s">
        <v>570</v>
      </c>
      <c r="O8" s="0" t="s">
        <v>618</v>
      </c>
      <c r="Q8" s="73" t="s">
        <v>570</v>
      </c>
      <c r="R8" s="0" t="s">
        <v>619</v>
      </c>
      <c r="T8" s="73" t="s">
        <v>570</v>
      </c>
      <c r="U8" s="0" t="s">
        <v>620</v>
      </c>
      <c r="W8" s="73" t="s">
        <v>570</v>
      </c>
      <c r="X8" s="0" t="s">
        <v>621</v>
      </c>
      <c r="Z8" s="73" t="s">
        <v>570</v>
      </c>
      <c r="AA8" s="0" t="s">
        <v>620</v>
      </c>
      <c r="AB8" s="60"/>
      <c r="AC8" s="73" t="s">
        <v>570</v>
      </c>
      <c r="AD8" s="0" t="s">
        <v>621</v>
      </c>
    </row>
    <row r="9">
      <c r="A9" s="13">
        <f>INDEX('Node Information'!J:$J,MATCH(B9,'Node Information'!$A:$A,0))</f>
        <v>0.0654282407407407</v>
      </c>
      <c r="B9" s="2" t="s">
        <v>562</v>
      </c>
      <c r="C9" s="3">
        <v>4670</v>
      </c>
      <c r="D9" s="3"/>
      <c r="E9" s="2" t="s">
        <v>562</v>
      </c>
      <c r="F9" s="3">
        <v>0</v>
      </c>
      <c r="H9" s="2" t="s">
        <v>562</v>
      </c>
      <c r="I9" s="3">
        <v>0</v>
      </c>
      <c r="K9" s="2" t="s">
        <v>562</v>
      </c>
      <c r="L9" s="3">
        <v>0</v>
      </c>
      <c r="N9" s="2" t="s">
        <v>562</v>
      </c>
      <c r="O9" s="3">
        <v>0</v>
      </c>
      <c r="Q9" s="2" t="s">
        <v>562</v>
      </c>
      <c r="R9" s="3">
        <v>0</v>
      </c>
      <c r="T9" s="2" t="s">
        <v>562</v>
      </c>
      <c r="U9" s="3">
        <v>12</v>
      </c>
      <c r="W9" s="2" t="s">
        <v>562</v>
      </c>
      <c r="X9" s="3">
        <v>3</v>
      </c>
      <c r="Z9" s="2" t="s">
        <v>562</v>
      </c>
      <c r="AA9" s="3">
        <v>12</v>
      </c>
      <c r="AB9" s="60"/>
      <c r="AC9" s="2" t="s">
        <v>562</v>
      </c>
      <c r="AD9" s="3">
        <v>3</v>
      </c>
    </row>
    <row r="10">
      <c r="B10" s="2" t="s">
        <v>560</v>
      </c>
      <c r="C10" s="3">
        <v>4670</v>
      </c>
      <c r="D10" s="3"/>
      <c r="E10" s="2" t="s">
        <v>560</v>
      </c>
      <c r="F10" s="3">
        <v>0</v>
      </c>
      <c r="H10" s="2" t="s">
        <v>560</v>
      </c>
      <c r="I10" s="3">
        <v>0</v>
      </c>
      <c r="K10" s="2" t="s">
        <v>560</v>
      </c>
      <c r="L10" s="3">
        <v>0</v>
      </c>
      <c r="N10" s="2" t="s">
        <v>560</v>
      </c>
      <c r="O10" s="3">
        <v>0</v>
      </c>
      <c r="Q10" s="2" t="s">
        <v>560</v>
      </c>
      <c r="R10" s="3">
        <v>0</v>
      </c>
      <c r="T10" s="2" t="s">
        <v>560</v>
      </c>
      <c r="U10" s="3">
        <v>12</v>
      </c>
      <c r="W10" s="2" t="s">
        <v>560</v>
      </c>
      <c r="X10" s="3">
        <v>3</v>
      </c>
      <c r="Z10" s="2" t="s">
        <v>560</v>
      </c>
      <c r="AA10" s="3">
        <v>12</v>
      </c>
      <c r="AB10" s="60"/>
      <c r="AC10" s="2" t="s">
        <v>560</v>
      </c>
      <c r="AD10" s="3">
        <v>3</v>
      </c>
    </row>
    <row r="13">
      <c r="X13" s="60"/>
      <c r="Y13" s="59"/>
      <c r="Z13" s="59"/>
    </row>
  </sheetData>
  <mergeCells>
    <mergeCell ref="B4:R4"/>
    <mergeCell ref="T4:AD4"/>
  </mergeCells>
  <pageMargins left="0.7" right="0.7" top="0.75" bottom="0.75" header="0.3" footer="0.3"/>
  <pageSetup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3:M10"/>
  <sheetViews>
    <sheetView workbookViewId="0">
      <selection activeCell="A11" sqref="A11"/>
    </sheetView>
  </sheetViews>
  <sheetFormatPr defaultRowHeight="15"/>
  <cols>
    <col min="1" max="1" width="11" customWidth="1"/>
    <col min="2" max="2" bestFit="1" width="13.140625" customWidth="1"/>
    <col min="3" max="3" bestFit="1" width="19.28515625" customWidth="1"/>
    <col min="4" max="4" bestFit="1" width="12.85546875" customWidth="1"/>
    <col min="5" max="5" width="9.140625" customWidth="1" style="5"/>
    <col min="6" max="6" width="9.85546875" customWidth="1" style="4"/>
    <col min="7" max="7" width="11.28515625" customWidth="1" style="4"/>
    <col min="9" max="9" bestFit="1" width="13.140625" customWidth="1"/>
    <col min="10" max="10" bestFit="1" width="19.28515625" customWidth="1"/>
    <col min="11" max="11" bestFit="1" width="14.85546875" customWidth="1"/>
    <col min="12" max="12" width="12.42578125" customWidth="1" style="4"/>
    <col min="13" max="13" width="11.28515625" customWidth="1" style="4"/>
  </cols>
  <sheetData>
    <row r="1" s="22" customFormat="1"/>
    <row r="2" s="22" customFormat="1"/>
    <row r="3">
      <c r="A3" s="22"/>
      <c r="B3" s="75" t="s">
        <v>0</v>
      </c>
      <c r="C3" s="76" t="s">
        <v>539</v>
      </c>
      <c r="D3" s="29"/>
      <c r="E3" s="19"/>
      <c r="F3" s="19"/>
      <c r="G3" s="19"/>
      <c r="I3" s="75" t="s">
        <v>0</v>
      </c>
      <c r="J3" s="76" t="s">
        <v>539</v>
      </c>
      <c r="L3" s="19"/>
      <c r="M3" s="19"/>
    </row>
    <row r="4">
      <c r="A4" s="22"/>
      <c r="B4" s="75" t="s">
        <v>540</v>
      </c>
      <c r="C4" s="76" t="s">
        <v>539</v>
      </c>
      <c r="E4" s="19"/>
      <c r="F4" s="19"/>
      <c r="G4" s="19"/>
      <c r="I4" s="75" t="s">
        <v>522</v>
      </c>
      <c r="J4" s="76" t="s">
        <v>539</v>
      </c>
      <c r="L4" s="19"/>
      <c r="M4" s="19"/>
    </row>
    <row r="5">
      <c r="A5" s="22"/>
      <c r="B5" s="75" t="s">
        <v>522</v>
      </c>
      <c r="C5" s="76" t="s">
        <v>539</v>
      </c>
      <c r="E5" s="19"/>
      <c r="F5" s="19"/>
      <c r="G5" s="19"/>
      <c r="I5" s="75" t="s">
        <v>541</v>
      </c>
      <c r="J5" s="76" t="s">
        <v>709</v>
      </c>
      <c r="L5" s="19"/>
      <c r="M5" s="19"/>
    </row>
    <row r="6">
      <c r="A6" s="22"/>
      <c r="B6" s="75" t="s">
        <v>541</v>
      </c>
      <c r="C6" s="76" t="s">
        <v>709</v>
      </c>
      <c r="E6" s="19"/>
      <c r="F6" s="19"/>
      <c r="G6" s="19"/>
      <c r="I6" s="75" t="s">
        <v>523</v>
      </c>
      <c r="J6" s="76" t="s">
        <v>539</v>
      </c>
      <c r="L6" s="19"/>
      <c r="M6" s="19"/>
    </row>
    <row r="7">
      <c r="E7" s="19"/>
      <c r="F7" s="19"/>
      <c r="G7" s="19"/>
      <c r="L7" s="19"/>
      <c r="M7" s="19"/>
    </row>
    <row r="8" ht="60">
      <c r="A8" s="10" t="s">
        <v>548</v>
      </c>
      <c r="B8" s="75" t="s">
        <v>601</v>
      </c>
      <c r="C8" s="16" t="s">
        <v>710</v>
      </c>
      <c r="D8" s="16" t="s">
        <v>711</v>
      </c>
      <c r="F8" s="20" t="s">
        <v>712</v>
      </c>
      <c r="G8" s="20" t="s">
        <v>713</v>
      </c>
      <c r="I8" s="75" t="s">
        <v>601</v>
      </c>
      <c r="J8" s="16" t="s">
        <v>710</v>
      </c>
      <c r="K8" s="16" t="s">
        <v>711</v>
      </c>
      <c r="L8" s="20" t="s">
        <v>712</v>
      </c>
      <c r="M8" s="20" t="s">
        <v>713</v>
      </c>
    </row>
    <row r="9">
      <c r="A9" s="13" t="str">
        <f>INDEX('DDL Tables'!$B:$B,MATCH(B9,'DDL Tables'!$C:$C,0))</f>
        <v>TestKS</v>
      </c>
      <c r="B9" s="2" t="s">
        <v>559</v>
      </c>
      <c r="C9" s="4">
        <v>0</v>
      </c>
      <c r="D9" s="4">
        <v>0</v>
      </c>
      <c r="E9" s="5">
        <f>D9/IF(C9=0,1,C9)</f>
        <v>0</v>
      </c>
      <c r="F9" s="4">
        <f>C9 / 1024</f>
        <v>0</v>
      </c>
      <c r="G9" s="4">
        <f>F9/1024</f>
        <v>0</v>
      </c>
      <c r="I9" s="2" t="s">
        <v>562</v>
      </c>
      <c r="J9" s="4">
        <v>0</v>
      </c>
      <c r="K9" s="4">
        <v>0</v>
      </c>
      <c r="L9" s="4">
        <f>J9 / 1024</f>
        <v>0</v>
      </c>
      <c r="M9" s="4">
        <f>L9/1024</f>
        <v>0</v>
      </c>
    </row>
    <row r="10">
      <c r="B10" s="2" t="s">
        <v>560</v>
      </c>
      <c r="C10" s="4">
        <v>0</v>
      </c>
      <c r="D10" s="4">
        <v>0</v>
      </c>
      <c r="I10" s="2" t="s">
        <v>560</v>
      </c>
      <c r="J10" s="4">
        <v>0</v>
      </c>
      <c r="K10" s="4">
        <v>0</v>
      </c>
    </row>
  </sheetData>
  <pageMargins left="0.7" right="0.7" top="0.75" bottom="0.75" header="0.3" footer="0.3"/>
  <pageSetup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bestFit="1" width="11.42578125" customWidth="1"/>
    <col min="12" max="12" width="43.7109375" customWidth="1"/>
    <col min="14" max="14" bestFit="1" width="11.42578125" customWidth="1"/>
    <col min="15" max="15" width="37.42578125" customWidth="1"/>
    <col min="17" max="17" bestFit="1" width="11.42578125" customWidth="1"/>
    <col min="18" max="18" width="38" customWidth="1"/>
  </cols>
  <sheetData>
    <row r="1" s="14" customFormat="1"/>
    <row r="2">
      <c r="A2" s="14"/>
      <c r="B2" s="89" t="s">
        <v>714</v>
      </c>
      <c r="C2" s="86"/>
      <c r="D2" s="86"/>
      <c r="E2" s="86"/>
      <c r="F2" s="86"/>
      <c r="G2" s="86"/>
      <c r="H2" s="86"/>
      <c r="I2" s="90"/>
      <c r="K2" s="89" t="s">
        <v>715</v>
      </c>
      <c r="L2" s="86"/>
      <c r="M2" s="86"/>
      <c r="N2" s="86"/>
      <c r="O2" s="86"/>
      <c r="P2" s="86"/>
      <c r="Q2" s="86"/>
      <c r="R2" s="90"/>
    </row>
    <row r="3">
      <c r="A3" s="14"/>
      <c r="B3" s="35"/>
      <c r="C3" s="34"/>
      <c r="D3" s="34"/>
      <c r="E3" s="34"/>
      <c r="F3" s="34"/>
      <c r="G3" s="34"/>
      <c r="H3" s="34"/>
      <c r="I3" s="36"/>
      <c r="K3" s="62"/>
      <c r="L3" s="61"/>
      <c r="M3" s="61"/>
      <c r="N3" s="61"/>
      <c r="O3" s="61"/>
      <c r="P3" s="61"/>
      <c r="Q3" s="61"/>
      <c r="R3" s="63"/>
    </row>
    <row r="4">
      <c r="A4" s="14"/>
      <c r="B4" s="75" t="s">
        <v>0</v>
      </c>
      <c r="C4" s="76" t="s">
        <v>539</v>
      </c>
      <c r="D4" s="17"/>
      <c r="E4" s="75" t="s">
        <v>0</v>
      </c>
      <c r="F4" s="76" t="s">
        <v>539</v>
      </c>
      <c r="G4" s="17"/>
      <c r="H4" s="75" t="s">
        <v>0</v>
      </c>
      <c r="I4" s="76" t="s">
        <v>539</v>
      </c>
      <c r="K4" s="75" t="s">
        <v>0</v>
      </c>
      <c r="L4" s="76" t="s">
        <v>539</v>
      </c>
      <c r="M4" s="17"/>
      <c r="N4" s="75" t="s">
        <v>0</v>
      </c>
      <c r="O4" s="76" t="s">
        <v>539</v>
      </c>
      <c r="P4" s="17"/>
      <c r="Q4" s="75" t="s">
        <v>0</v>
      </c>
      <c r="R4" s="76" t="s">
        <v>539</v>
      </c>
    </row>
    <row r="5">
      <c r="A5" s="14"/>
      <c r="B5" s="75" t="s">
        <v>522</v>
      </c>
      <c r="C5" s="76" t="s">
        <v>539</v>
      </c>
      <c r="D5" s="17"/>
      <c r="E5" s="75" t="s">
        <v>522</v>
      </c>
      <c r="F5" s="76" t="s">
        <v>539</v>
      </c>
      <c r="G5" s="17"/>
      <c r="H5" s="75" t="s">
        <v>522</v>
      </c>
      <c r="I5" s="76" t="s">
        <v>539</v>
      </c>
      <c r="K5" s="75" t="s">
        <v>522</v>
      </c>
      <c r="L5" s="76" t="s">
        <v>539</v>
      </c>
      <c r="M5" s="17"/>
      <c r="N5" s="75" t="s">
        <v>522</v>
      </c>
      <c r="O5" s="76" t="s">
        <v>539</v>
      </c>
      <c r="P5" s="17"/>
      <c r="Q5" s="75" t="s">
        <v>522</v>
      </c>
      <c r="R5" s="76" t="s">
        <v>539</v>
      </c>
    </row>
    <row r="6">
      <c r="A6" s="14"/>
      <c r="B6" s="75" t="s">
        <v>541</v>
      </c>
      <c r="C6" s="76" t="s">
        <v>716</v>
      </c>
      <c r="D6" s="17"/>
      <c r="E6" s="75" t="s">
        <v>541</v>
      </c>
      <c r="F6" s="76" t="s">
        <v>717</v>
      </c>
      <c r="G6" s="17"/>
      <c r="H6" s="75" t="s">
        <v>541</v>
      </c>
      <c r="I6" s="76" t="s">
        <v>718</v>
      </c>
      <c r="K6" s="75" t="s">
        <v>541</v>
      </c>
      <c r="L6" s="76" t="s">
        <v>719</v>
      </c>
      <c r="M6" s="17"/>
      <c r="N6" s="75" t="s">
        <v>541</v>
      </c>
      <c r="O6" s="76" t="s">
        <v>720</v>
      </c>
      <c r="P6" s="17"/>
      <c r="Q6" s="75" t="s">
        <v>541</v>
      </c>
      <c r="R6" s="76" t="s">
        <v>721</v>
      </c>
    </row>
    <row r="7">
      <c r="A7" s="14"/>
      <c r="B7" s="33"/>
      <c r="C7" s="33"/>
      <c r="D7" s="33"/>
      <c r="E7" s="33"/>
      <c r="F7" s="33"/>
      <c r="G7" s="33"/>
      <c r="H7" s="33"/>
      <c r="I7" s="33"/>
      <c r="K7" s="60"/>
      <c r="L7" s="60"/>
      <c r="M7" s="60"/>
      <c r="N7" s="60"/>
      <c r="O7" s="60"/>
      <c r="P7" s="60"/>
      <c r="Q7" s="60"/>
      <c r="R7" s="60"/>
    </row>
    <row r="8" ht="30">
      <c r="A8" s="10" t="s">
        <v>548</v>
      </c>
      <c r="B8" s="75" t="s">
        <v>523</v>
      </c>
      <c r="C8" s="0" t="s">
        <v>596</v>
      </c>
      <c r="D8" s="33"/>
      <c r="E8" s="75" t="s">
        <v>523</v>
      </c>
      <c r="F8" s="16" t="s">
        <v>722</v>
      </c>
      <c r="G8" s="33"/>
      <c r="H8" s="75" t="s">
        <v>523</v>
      </c>
      <c r="I8" s="16" t="s">
        <v>723</v>
      </c>
      <c r="K8" s="75" t="s">
        <v>523</v>
      </c>
      <c r="L8" s="0" t="s">
        <v>724</v>
      </c>
      <c r="M8" s="60"/>
      <c r="N8" s="75" t="s">
        <v>523</v>
      </c>
      <c r="O8" s="16" t="s">
        <v>725</v>
      </c>
      <c r="P8" s="60"/>
      <c r="Q8" s="75" t="s">
        <v>523</v>
      </c>
      <c r="R8" s="16" t="s">
        <v>726</v>
      </c>
    </row>
    <row r="9">
      <c r="A9" s="9" t="str">
        <f>INDEX('DDL Tables'!$B:$B,MATCH(B9,'DDL Tables'!$C:$C,0))</f>
        <v>TestKS</v>
      </c>
      <c r="B9" s="2" t="s">
        <v>559</v>
      </c>
      <c r="C9" s="76">
        <v>4</v>
      </c>
      <c r="D9" s="4"/>
      <c r="E9" s="2" t="s">
        <v>559</v>
      </c>
      <c r="F9" s="3">
        <v>2100</v>
      </c>
      <c r="G9" s="4"/>
      <c r="H9" s="2" t="s">
        <v>559</v>
      </c>
      <c r="I9" s="3">
        <v>1200</v>
      </c>
      <c r="K9" s="2" t="s">
        <v>559</v>
      </c>
      <c r="L9" s="76">
        <v>3</v>
      </c>
      <c r="M9" s="4"/>
      <c r="N9" s="2" t="s">
        <v>562</v>
      </c>
      <c r="O9" s="3">
        <v>12</v>
      </c>
      <c r="P9" s="4"/>
      <c r="Q9" s="2" t="s">
        <v>562</v>
      </c>
      <c r="R9" s="3">
        <v>4</v>
      </c>
    </row>
    <row r="10">
      <c r="A10" s="33"/>
      <c r="B10" s="2" t="s">
        <v>560</v>
      </c>
      <c r="C10" s="76">
        <v>4</v>
      </c>
      <c r="D10" s="4"/>
      <c r="E10" s="2" t="s">
        <v>560</v>
      </c>
      <c r="F10" s="3">
        <v>2100</v>
      </c>
      <c r="G10" s="4"/>
      <c r="H10" s="2" t="s">
        <v>560</v>
      </c>
      <c r="I10" s="3">
        <v>1200</v>
      </c>
      <c r="K10" s="2" t="s">
        <v>560</v>
      </c>
      <c r="L10" s="76">
        <v>3</v>
      </c>
      <c r="M10" s="4"/>
      <c r="N10" s="2" t="s">
        <v>560</v>
      </c>
      <c r="O10" s="3">
        <v>12</v>
      </c>
      <c r="P10" s="4"/>
      <c r="Q10" s="2" t="s">
        <v>560</v>
      </c>
      <c r="R10" s="3">
        <v>4</v>
      </c>
    </row>
  </sheetData>
  <mergeCells>
    <mergeCell ref="B2:I2"/>
    <mergeCell ref="K2:R2"/>
  </mergeCells>
  <pageMargins left="0.7" right="0.7" top="0.75" bottom="0.75" header="0.3" footer="0.3"/>
  <pageSetup orientation="portrait" horizontalDpi="0" verticalDpi="0"/>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customWidth="1" style="33"/>
    <col min="2" max="2" width="32.140625" customWidth="1" style="48"/>
    <col min="3" max="3" width="13.140625" customWidth="1" style="49"/>
    <col min="4" max="4" width="25.85546875" customWidth="1"/>
    <col min="5" max="5" width="8.28515625" customWidth="1"/>
    <col min="6" max="6" bestFit="1" width="11.28515625" customWidth="1"/>
    <col min="7" max="7" width="8.85546875" customWidth="1" style="40"/>
    <col min="8" max="8" width="8.28515625" customWidth="1"/>
    <col min="9" max="9" width="11.28515625" customWidth="1"/>
    <col min="10" max="10" width="8.85546875" customWidth="1" style="40"/>
    <col min="11" max="11" width="8.28515625" customWidth="1"/>
    <col min="12" max="12" width="11.28515625" customWidth="1"/>
    <col min="13" max="13" width="8.85546875" customWidth="1" style="40"/>
    <col min="14" max="14" width="8.28515625" customWidth="1"/>
    <col min="15" max="15" width="11.28515625" customWidth="1"/>
    <col min="16" max="16" width="8.85546875" customWidth="1" style="40"/>
    <col min="17" max="17" width="8.28515625" customWidth="1"/>
    <col min="18" max="18" width="11.28515625" customWidth="1"/>
    <col min="19" max="19" bestFit="1" width="17.42578125" customWidth="1" style="40"/>
    <col min="20" max="20" width="8.5703125" customWidth="1"/>
    <col min="21" max="21" width="11.5703125" customWidth="1"/>
    <col min="22" max="22" width="9.140625" customWidth="1" style="14"/>
    <col min="23" max="23" width="13.140625" customWidth="1" style="48"/>
    <col min="24" max="24" width="25.85546875" customWidth="1"/>
    <col min="25" max="25" width="8.28515625" customWidth="1"/>
    <col min="26" max="26" bestFit="1" width="11.28515625" customWidth="1"/>
    <col min="27" max="27" width="8.85546875" customWidth="1" style="40"/>
    <col min="28" max="28" width="8.28515625" customWidth="1"/>
    <col min="29" max="29" bestFit="1" width="11.28515625" customWidth="1"/>
    <col min="30" max="30" width="8.85546875" customWidth="1" style="40"/>
    <col min="31" max="31" width="8.28515625" customWidth="1"/>
    <col min="32" max="32" bestFit="1" width="11.28515625" customWidth="1"/>
    <col min="33" max="33" width="8.85546875" customWidth="1" style="40"/>
    <col min="34" max="34" width="8.28515625" customWidth="1"/>
    <col min="35" max="35" bestFit="1" width="11.28515625" customWidth="1"/>
    <col min="36" max="36" width="8.85546875" customWidth="1" style="40"/>
    <col min="37" max="37" width="8.28515625" customWidth="1"/>
    <col min="38" max="38" bestFit="1" width="11.28515625" customWidth="1"/>
    <col min="39" max="39" bestFit="1" width="17.42578125" customWidth="1" style="40"/>
    <col min="40" max="40" width="8.5703125" customWidth="1"/>
    <col min="41" max="41" bestFit="1" width="11.5703125" customWidth="1" style="48"/>
  </cols>
  <sheetData>
    <row r="1" s="33" customFormat="1">
      <c r="A1" s="14"/>
      <c r="B1" s="44"/>
      <c r="C1" s="93" t="s">
        <v>727</v>
      </c>
      <c r="D1" s="80"/>
      <c r="E1" s="80"/>
      <c r="F1" s="80"/>
      <c r="G1" s="80"/>
      <c r="H1" s="80"/>
      <c r="I1" s="80"/>
      <c r="J1" s="80"/>
      <c r="K1" s="80"/>
      <c r="L1" s="80"/>
      <c r="M1" s="80"/>
      <c r="N1" s="80"/>
      <c r="O1" s="80"/>
      <c r="P1" s="80"/>
      <c r="Q1" s="80"/>
      <c r="R1" s="80"/>
      <c r="S1" s="80"/>
      <c r="T1" s="80"/>
      <c r="U1" s="80"/>
      <c r="V1" s="14"/>
      <c r="W1" s="93" t="s">
        <v>728</v>
      </c>
      <c r="X1" s="80"/>
      <c r="Y1" s="80"/>
      <c r="Z1" s="80"/>
      <c r="AA1" s="80"/>
      <c r="AB1" s="80"/>
      <c r="AC1" s="80"/>
      <c r="AD1" s="80"/>
      <c r="AE1" s="80"/>
      <c r="AF1" s="80"/>
      <c r="AG1" s="80"/>
      <c r="AH1" s="80"/>
      <c r="AI1" s="80"/>
      <c r="AJ1" s="80"/>
      <c r="AK1" s="80"/>
      <c r="AL1" s="80"/>
      <c r="AM1" s="80"/>
      <c r="AN1" s="80"/>
      <c r="AO1" s="80"/>
    </row>
    <row r="2" s="33" customFormat="1">
      <c r="A2" s="14"/>
      <c r="B2" s="44"/>
      <c r="C2" s="93"/>
      <c r="D2" s="80"/>
      <c r="E2" s="80"/>
      <c r="F2" s="80"/>
      <c r="G2" s="80"/>
      <c r="H2" s="80"/>
      <c r="I2" s="80"/>
      <c r="J2" s="80"/>
      <c r="K2" s="80"/>
      <c r="L2" s="80"/>
      <c r="M2" s="80"/>
      <c r="N2" s="80"/>
      <c r="O2" s="80"/>
      <c r="P2" s="80"/>
      <c r="Q2" s="80"/>
      <c r="R2" s="80"/>
      <c r="S2" s="80"/>
      <c r="T2" s="80"/>
      <c r="U2" s="80"/>
      <c r="V2" s="14"/>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729</v>
      </c>
      <c r="E5" s="14"/>
      <c r="F5" s="14"/>
      <c r="G5" s="14"/>
      <c r="H5" s="14"/>
      <c r="I5" s="14"/>
      <c r="J5" s="14"/>
      <c r="K5" s="14"/>
      <c r="L5" s="14"/>
      <c r="M5" s="14"/>
      <c r="N5" s="14"/>
      <c r="O5" s="14"/>
      <c r="P5" s="14"/>
      <c r="Q5" s="14"/>
      <c r="R5" s="14"/>
      <c r="S5" s="14"/>
      <c r="T5" s="14"/>
      <c r="U5" s="14"/>
      <c r="W5" s="71" t="s">
        <v>541</v>
      </c>
      <c r="X5" s="72" t="s">
        <v>729</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X6" s="33"/>
      <c r="Y6" s="14"/>
      <c r="Z6" s="14"/>
      <c r="AA6" s="14"/>
      <c r="AB6" s="14"/>
      <c r="AC6" s="14"/>
      <c r="AD6" s="14"/>
      <c r="AE6" s="14"/>
      <c r="AF6" s="14"/>
      <c r="AG6" s="14"/>
      <c r="AH6" s="14"/>
      <c r="AI6" s="14"/>
      <c r="AJ6" s="14"/>
      <c r="AK6" s="14"/>
      <c r="AL6" s="14"/>
      <c r="AM6" s="14"/>
      <c r="AN6" s="14"/>
      <c r="AO6" s="14"/>
    </row>
    <row r="7">
      <c r="A7" s="10" t="s">
        <v>548</v>
      </c>
      <c r="B7" s="46" t="s">
        <v>529</v>
      </c>
      <c r="C7" s="52" t="s">
        <v>601</v>
      </c>
      <c r="D7" s="16" t="s">
        <v>730</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730</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
        <v>150.045</v>
      </c>
      <c r="E8" s="6">
        <v>150.045</v>
      </c>
      <c r="F8" s="6">
        <v>0</v>
      </c>
      <c r="G8" s="41">
        <v>178</v>
      </c>
      <c r="H8" s="6">
        <v>178</v>
      </c>
      <c r="I8" s="6">
        <v>0</v>
      </c>
      <c r="J8" s="41">
        <v>195</v>
      </c>
      <c r="K8" s="6">
        <v>195</v>
      </c>
      <c r="L8" s="6">
        <v>0</v>
      </c>
      <c r="M8" s="41">
        <v>210</v>
      </c>
      <c r="N8" s="6">
        <v>210</v>
      </c>
      <c r="O8" s="6">
        <v>0</v>
      </c>
      <c r="P8" s="41">
        <v>220</v>
      </c>
      <c r="Q8" s="6">
        <v>220</v>
      </c>
      <c r="R8" s="6">
        <v>0</v>
      </c>
      <c r="S8" s="41">
        <v>235.67</v>
      </c>
      <c r="T8" s="6">
        <v>235.67</v>
      </c>
      <c r="U8" s="6">
        <v>0</v>
      </c>
      <c r="W8" s="2" t="s">
        <v>562</v>
      </c>
      <c r="X8" s="6">
        <v>150.045</v>
      </c>
      <c r="Y8" s="6">
        <v>150.045</v>
      </c>
      <c r="Z8" s="6">
        <v>0</v>
      </c>
      <c r="AA8" s="41">
        <v>178</v>
      </c>
      <c r="AB8" s="6">
        <v>178</v>
      </c>
      <c r="AC8" s="6">
        <v>0</v>
      </c>
      <c r="AD8" s="41">
        <v>195</v>
      </c>
      <c r="AE8" s="6">
        <v>195</v>
      </c>
      <c r="AF8" s="6">
        <v>0</v>
      </c>
      <c r="AG8" s="41">
        <v>210</v>
      </c>
      <c r="AH8" s="6">
        <v>210</v>
      </c>
      <c r="AI8" s="6">
        <v>0</v>
      </c>
      <c r="AJ8" s="41">
        <v>220</v>
      </c>
      <c r="AK8" s="6">
        <v>220</v>
      </c>
      <c r="AL8" s="6">
        <v>0</v>
      </c>
      <c r="AM8" s="41">
        <v>235.67</v>
      </c>
      <c r="AN8" s="6">
        <v>235.67</v>
      </c>
      <c r="AO8" s="53">
        <v>0</v>
      </c>
    </row>
    <row r="9">
      <c r="C9" s="51" t="s">
        <v>560</v>
      </c>
      <c r="D9" s="6">
        <v>150.045</v>
      </c>
      <c r="E9" s="6">
        <v>150.045</v>
      </c>
      <c r="F9" s="6">
        <v>0</v>
      </c>
      <c r="G9" s="41">
        <v>178</v>
      </c>
      <c r="H9" s="6">
        <v>178</v>
      </c>
      <c r="I9" s="6">
        <v>0</v>
      </c>
      <c r="J9" s="41">
        <v>195</v>
      </c>
      <c r="K9" s="6">
        <v>195</v>
      </c>
      <c r="L9" s="6">
        <v>0</v>
      </c>
      <c r="M9" s="41">
        <v>210</v>
      </c>
      <c r="N9" s="6">
        <v>210</v>
      </c>
      <c r="O9" s="6">
        <v>0</v>
      </c>
      <c r="P9" s="41">
        <v>220</v>
      </c>
      <c r="Q9" s="6">
        <v>220</v>
      </c>
      <c r="R9" s="6">
        <v>0</v>
      </c>
      <c r="S9" s="41">
        <v>235.67</v>
      </c>
      <c r="T9" s="6">
        <v>235.67</v>
      </c>
      <c r="U9" s="6">
        <v>0</v>
      </c>
      <c r="W9" s="51" t="s">
        <v>560</v>
      </c>
      <c r="X9" s="6">
        <v>150.045</v>
      </c>
      <c r="Y9" s="6">
        <v>150.045</v>
      </c>
      <c r="Z9" s="6">
        <v>0</v>
      </c>
      <c r="AA9" s="41">
        <v>178</v>
      </c>
      <c r="AB9" s="6">
        <v>178</v>
      </c>
      <c r="AC9" s="6">
        <v>0</v>
      </c>
      <c r="AD9" s="41">
        <v>195</v>
      </c>
      <c r="AE9" s="6">
        <v>195</v>
      </c>
      <c r="AF9" s="6">
        <v>0</v>
      </c>
      <c r="AG9" s="41">
        <v>210</v>
      </c>
      <c r="AH9" s="6">
        <v>210</v>
      </c>
      <c r="AI9" s="6">
        <v>0</v>
      </c>
      <c r="AJ9" s="41">
        <v>220</v>
      </c>
      <c r="AK9" s="6">
        <v>220</v>
      </c>
      <c r="AL9" s="6">
        <v>0</v>
      </c>
      <c r="AM9" s="41">
        <v>235.67</v>
      </c>
      <c r="AN9" s="6">
        <v>235.67</v>
      </c>
      <c r="AO9" s="53">
        <v>0</v>
      </c>
    </row>
    <row r="10">
      <c r="X10" s="33"/>
      <c r="Y10" s="33"/>
    </row>
    <row r="11">
      <c r="X11" s="33"/>
      <c r="Y11" s="33"/>
      <c r="Z11" s="33"/>
      <c r="AB11" s="33"/>
      <c r="AC11" s="33"/>
      <c r="AE11" s="33"/>
      <c r="AF11" s="33"/>
      <c r="AH11" s="33"/>
      <c r="AI11" s="33"/>
      <c r="AK11" s="33"/>
      <c r="AL11" s="33"/>
      <c r="AN11" s="33"/>
    </row>
    <row r="12">
      <c r="X12" s="33"/>
      <c r="Y12" s="33"/>
      <c r="Z12" s="33"/>
      <c r="AB12" s="33"/>
      <c r="AC12" s="33"/>
      <c r="AE12" s="33"/>
      <c r="AF12" s="33"/>
      <c r="AH12" s="33"/>
      <c r="AI12" s="33"/>
      <c r="AK12" s="33"/>
      <c r="AL12" s="33"/>
      <c r="AN12" s="33"/>
    </row>
    <row r="13">
      <c r="X13" s="33"/>
      <c r="Y13" s="33"/>
      <c r="Z13" s="33"/>
      <c r="AB13" s="33"/>
      <c r="AC13" s="33"/>
      <c r="AE13" s="33"/>
      <c r="AF13" s="33"/>
      <c r="AH13" s="33"/>
      <c r="AI13" s="33"/>
      <c r="AK13" s="33"/>
      <c r="AL13" s="33"/>
      <c r="AN13" s="33"/>
    </row>
    <row r="14">
      <c r="X14" s="33"/>
      <c r="Y14" s="33"/>
      <c r="Z14" s="33"/>
      <c r="AB14" s="33"/>
      <c r="AC14" s="33"/>
      <c r="AE14" s="33"/>
      <c r="AF14" s="33"/>
      <c r="AH14" s="33"/>
      <c r="AI14" s="33"/>
      <c r="AK14" s="33"/>
      <c r="AL14" s="33"/>
      <c r="AN14" s="33"/>
    </row>
    <row r="15">
      <c r="X15" s="33"/>
      <c r="Y15" s="33"/>
      <c r="Z15" s="33"/>
      <c r="AB15" s="33"/>
      <c r="AC15" s="33"/>
      <c r="AE15" s="33"/>
      <c r="AF15" s="33"/>
      <c r="AH15" s="33"/>
      <c r="AI15" s="33"/>
      <c r="AK15" s="33"/>
      <c r="AL15" s="33"/>
      <c r="AN15" s="33"/>
    </row>
    <row r="16">
      <c r="X16" s="33"/>
      <c r="Y16" s="33"/>
      <c r="Z16" s="33"/>
      <c r="AB16" s="33"/>
      <c r="AC16" s="33"/>
      <c r="AE16" s="33"/>
      <c r="AF16" s="33"/>
      <c r="AH16" s="33"/>
      <c r="AI16" s="33"/>
      <c r="AK16" s="33"/>
      <c r="AL16" s="33"/>
      <c r="AN16" s="33"/>
    </row>
    <row r="17">
      <c r="X17" s="33"/>
      <c r="Y17" s="33"/>
      <c r="Z17" s="33"/>
      <c r="AB17" s="33"/>
      <c r="AC17" s="33"/>
      <c r="AE17" s="33"/>
      <c r="AF17" s="33"/>
      <c r="AH17" s="33"/>
      <c r="AI17" s="33"/>
      <c r="AK17" s="33"/>
      <c r="AL17" s="33"/>
      <c r="AN17" s="33"/>
    </row>
    <row r="18">
      <c r="X18" s="33"/>
      <c r="Y18" s="33"/>
      <c r="Z18" s="33"/>
      <c r="AB18" s="33"/>
      <c r="AC18" s="33"/>
      <c r="AE18" s="33"/>
      <c r="AF18" s="33"/>
      <c r="AH18" s="33"/>
      <c r="AI18" s="33"/>
      <c r="AK18" s="33"/>
      <c r="AL18" s="33"/>
      <c r="AN18" s="33"/>
    </row>
    <row r="19">
      <c r="X19" s="33"/>
      <c r="Y19" s="33"/>
      <c r="Z19" s="33"/>
      <c r="AB19" s="33"/>
      <c r="AC19" s="33"/>
      <c r="AE19" s="33"/>
      <c r="AF19" s="33"/>
      <c r="AH19" s="33"/>
      <c r="AI19" s="33"/>
      <c r="AK19" s="33"/>
      <c r="AL19" s="33"/>
      <c r="AN19" s="33"/>
    </row>
  </sheetData>
  <mergeCells>
    <mergeCell ref="C2:U2"/>
    <mergeCell ref="W1:AO1"/>
    <mergeCell ref="C1:U1"/>
  </mergeCells>
  <pageMargins left="0.7" right="0.7" top="0.75" bottom="0.75" header="0.3" footer="0.3"/>
  <pageSetup orientation="portrait" horizontalDpi="0" verticalDpi="0"/>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customWidth="1" style="58"/>
    <col min="2" max="2" width="32.140625" customWidth="1" style="48"/>
    <col min="3" max="3" width="13.140625" customWidth="1" style="49"/>
    <col min="4" max="4" width="22.28515625" customWidth="1" style="58"/>
    <col min="5" max="5" width="8.28515625" customWidth="1" style="58"/>
    <col min="6" max="6" bestFit="1" width="11.28515625" customWidth="1" style="58"/>
    <col min="7" max="7" width="8.85546875" customWidth="1" style="40"/>
    <col min="8" max="8" width="8.28515625" customWidth="1" style="58"/>
    <col min="9" max="9" width="11.28515625" customWidth="1" style="58"/>
    <col min="10" max="10" width="8.85546875" customWidth="1" style="40"/>
    <col min="11" max="11" width="8.28515625" customWidth="1" style="58"/>
    <col min="12" max="12" width="11.28515625" customWidth="1" style="58"/>
    <col min="13" max="13" width="8.85546875" customWidth="1" style="40"/>
    <col min="14" max="14" width="8.28515625" customWidth="1" style="58"/>
    <col min="15" max="15" width="11.28515625" customWidth="1" style="58"/>
    <col min="16" max="16" width="8.85546875" customWidth="1" style="40"/>
    <col min="17" max="17" width="8.28515625" customWidth="1" style="58"/>
    <col min="18" max="18" width="11.28515625" customWidth="1" style="58"/>
    <col min="19" max="19" bestFit="1" width="17.42578125" customWidth="1" style="40"/>
    <col min="20" max="20" width="8.5703125" customWidth="1" style="58"/>
    <col min="21" max="21" width="11.5703125" customWidth="1" style="58"/>
    <col min="22" max="22" width="9.140625" customWidth="1" style="14"/>
    <col min="23" max="23" width="13.140625" customWidth="1" style="48"/>
    <col min="24" max="24" width="22.28515625" customWidth="1" style="58"/>
    <col min="25" max="25" width="8.28515625" customWidth="1" style="58"/>
    <col min="26" max="26" bestFit="1" width="11.28515625" customWidth="1" style="58"/>
    <col min="27" max="27" width="8.85546875" customWidth="1" style="40"/>
    <col min="28" max="28" width="8.28515625" customWidth="1" style="58"/>
    <col min="29" max="29" bestFit="1" width="11.28515625" customWidth="1" style="58"/>
    <col min="30" max="30" width="8.85546875" customWidth="1" style="40"/>
    <col min="31" max="31" width="8.28515625" customWidth="1" style="58"/>
    <col min="32" max="32" bestFit="1" width="11.28515625" customWidth="1" style="58"/>
    <col min="33" max="33" width="8.85546875" customWidth="1" style="40"/>
    <col min="34" max="34" width="8.28515625" customWidth="1" style="58"/>
    <col min="35" max="35" bestFit="1" width="11.28515625" customWidth="1" style="58"/>
    <col min="36" max="36" width="8.85546875" customWidth="1" style="40"/>
    <col min="37" max="37" width="8.28515625" customWidth="1" style="58"/>
    <col min="38" max="38" bestFit="1" width="11.28515625" customWidth="1" style="58"/>
    <col min="39" max="39" bestFit="1" width="17.42578125" customWidth="1" style="40"/>
    <col min="40" max="40" width="8.5703125" customWidth="1" style="58"/>
    <col min="41" max="41" bestFit="1" width="11.5703125" customWidth="1" style="48"/>
    <col min="42" max="16384" width="9.140625" customWidth="1" style="58"/>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753</v>
      </c>
      <c r="E5" s="14"/>
      <c r="F5" s="14"/>
      <c r="G5" s="14"/>
      <c r="H5" s="14"/>
      <c r="I5" s="14"/>
      <c r="J5" s="14"/>
      <c r="K5" s="14"/>
      <c r="L5" s="14"/>
      <c r="M5" s="14"/>
      <c r="N5" s="14"/>
      <c r="O5" s="14"/>
      <c r="P5" s="14"/>
      <c r="Q5" s="14"/>
      <c r="R5" s="14"/>
      <c r="S5" s="14"/>
      <c r="T5" s="14"/>
      <c r="U5" s="14"/>
      <c r="W5" s="71" t="s">
        <v>541</v>
      </c>
      <c r="X5" s="72" t="s">
        <v>753</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957</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957</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3">
        <v>1</v>
      </c>
      <c r="E8" s="3">
        <v>1</v>
      </c>
      <c r="F8" s="3">
        <v>0</v>
      </c>
      <c r="G8" s="54">
        <v>3</v>
      </c>
      <c r="H8" s="3">
        <v>3</v>
      </c>
      <c r="I8" s="3">
        <v>0</v>
      </c>
      <c r="J8" s="54">
        <v>10</v>
      </c>
      <c r="K8" s="3">
        <v>10</v>
      </c>
      <c r="L8" s="3">
        <v>0</v>
      </c>
      <c r="M8" s="54">
        <v>20</v>
      </c>
      <c r="N8" s="3">
        <v>20</v>
      </c>
      <c r="O8" s="3">
        <v>0</v>
      </c>
      <c r="P8" s="54">
        <v>29</v>
      </c>
      <c r="Q8" s="3">
        <v>29</v>
      </c>
      <c r="R8" s="3">
        <v>0</v>
      </c>
      <c r="S8" s="54">
        <v>35</v>
      </c>
      <c r="T8" s="3">
        <v>35</v>
      </c>
      <c r="U8" s="3">
        <v>0</v>
      </c>
      <c r="W8" s="2" t="s">
        <v>562</v>
      </c>
      <c r="X8" s="3">
        <v>1</v>
      </c>
      <c r="Y8" s="3">
        <v>1</v>
      </c>
      <c r="Z8" s="3">
        <v>0</v>
      </c>
      <c r="AA8" s="54">
        <v>3</v>
      </c>
      <c r="AB8" s="3">
        <v>3</v>
      </c>
      <c r="AC8" s="3">
        <v>0</v>
      </c>
      <c r="AD8" s="54">
        <v>10</v>
      </c>
      <c r="AE8" s="3">
        <v>10</v>
      </c>
      <c r="AF8" s="3">
        <v>0</v>
      </c>
      <c r="AG8" s="54">
        <v>20</v>
      </c>
      <c r="AH8" s="3">
        <v>20</v>
      </c>
      <c r="AI8" s="3">
        <v>0</v>
      </c>
      <c r="AJ8" s="54">
        <v>29</v>
      </c>
      <c r="AK8" s="3">
        <v>29</v>
      </c>
      <c r="AL8" s="3">
        <v>0</v>
      </c>
      <c r="AM8" s="54">
        <v>35</v>
      </c>
      <c r="AN8" s="3">
        <v>35</v>
      </c>
      <c r="AO8" s="55">
        <v>0</v>
      </c>
    </row>
    <row r="9">
      <c r="C9" s="51" t="s">
        <v>560</v>
      </c>
      <c r="D9" s="3">
        <v>1</v>
      </c>
      <c r="E9" s="3">
        <v>1</v>
      </c>
      <c r="F9" s="3">
        <v>0</v>
      </c>
      <c r="G9" s="54">
        <v>3</v>
      </c>
      <c r="H9" s="3">
        <v>3</v>
      </c>
      <c r="I9" s="3">
        <v>0</v>
      </c>
      <c r="J9" s="54">
        <v>10</v>
      </c>
      <c r="K9" s="3">
        <v>10</v>
      </c>
      <c r="L9" s="3">
        <v>0</v>
      </c>
      <c r="M9" s="54">
        <v>20</v>
      </c>
      <c r="N9" s="3">
        <v>20</v>
      </c>
      <c r="O9" s="3">
        <v>0</v>
      </c>
      <c r="P9" s="54">
        <v>29</v>
      </c>
      <c r="Q9" s="3">
        <v>29</v>
      </c>
      <c r="R9" s="3">
        <v>0</v>
      </c>
      <c r="S9" s="54">
        <v>35</v>
      </c>
      <c r="T9" s="3">
        <v>35</v>
      </c>
      <c r="U9" s="3">
        <v>0</v>
      </c>
      <c r="W9" s="51" t="s">
        <v>560</v>
      </c>
      <c r="X9" s="3">
        <v>1</v>
      </c>
      <c r="Y9" s="3">
        <v>1</v>
      </c>
      <c r="Z9" s="3">
        <v>0</v>
      </c>
      <c r="AA9" s="54">
        <v>3</v>
      </c>
      <c r="AB9" s="3">
        <v>3</v>
      </c>
      <c r="AC9" s="3">
        <v>0</v>
      </c>
      <c r="AD9" s="54">
        <v>10</v>
      </c>
      <c r="AE9" s="3">
        <v>10</v>
      </c>
      <c r="AF9" s="3">
        <v>0</v>
      </c>
      <c r="AG9" s="54">
        <v>20</v>
      </c>
      <c r="AH9" s="3">
        <v>20</v>
      </c>
      <c r="AI9" s="3">
        <v>0</v>
      </c>
      <c r="AJ9" s="54">
        <v>29</v>
      </c>
      <c r="AK9" s="3">
        <v>29</v>
      </c>
      <c r="AL9" s="3">
        <v>0</v>
      </c>
      <c r="AM9" s="54">
        <v>35</v>
      </c>
      <c r="AN9" s="3">
        <v>35</v>
      </c>
      <c r="AO9" s="55">
        <v>0</v>
      </c>
    </row>
  </sheetData>
  <mergeCells>
    <mergeCell ref="C1:U1"/>
    <mergeCell ref="W1:AO1"/>
    <mergeCell ref="C2:U2"/>
  </mergeCells>
  <pageMargins left="0.7" right="0.7" top="0.75" bottom="0.75" header="0.3" footer="0.3"/>
  <pageSetup orientation="portrait" horizontalDpi="0" verticalDpi="0"/>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customWidth="1" style="33"/>
    <col min="2" max="2" width="32.140625" customWidth="1" style="48"/>
    <col min="3" max="3" width="13.140625" customWidth="1" style="49"/>
    <col min="4" max="4" width="22" customWidth="1" style="33"/>
    <col min="5" max="5" width="8.28515625" customWidth="1" style="33"/>
    <col min="6" max="6" bestFit="1" width="11.28515625" customWidth="1" style="33"/>
    <col min="7" max="7" width="8.85546875" customWidth="1" style="40"/>
    <col min="8" max="8" width="8.28515625" customWidth="1" style="33"/>
    <col min="9" max="9" width="11.28515625" customWidth="1" style="33"/>
    <col min="10" max="10" width="8.85546875" customWidth="1" style="40"/>
    <col min="11" max="11" width="8.28515625" customWidth="1" style="33"/>
    <col min="12" max="12" width="11.28515625" customWidth="1" style="33"/>
    <col min="13" max="13" width="8.85546875" customWidth="1" style="40"/>
    <col min="14" max="14" width="8.28515625" customWidth="1" style="33"/>
    <col min="15" max="15" width="11.28515625" customWidth="1" style="33"/>
    <col min="16" max="16" width="8.85546875" customWidth="1" style="40"/>
    <col min="17" max="17" width="8.28515625" customWidth="1" style="33"/>
    <col min="18" max="18" width="11.28515625" customWidth="1" style="33"/>
    <col min="19" max="19" bestFit="1" width="17.42578125" customWidth="1" style="40"/>
    <col min="20" max="20" width="9.140625" customWidth="1" style="33"/>
    <col min="21" max="21" width="11.5703125" customWidth="1" style="33"/>
    <col min="22" max="22" width="9.140625" customWidth="1" style="14"/>
    <col min="23" max="23" width="13.140625" customWidth="1" style="48"/>
    <col min="24" max="24" width="22" customWidth="1" style="33"/>
    <col min="25" max="25" width="8.28515625" customWidth="1" style="33"/>
    <col min="26" max="26" bestFit="1" width="11.28515625" customWidth="1" style="33"/>
    <col min="27" max="27" width="8.85546875" customWidth="1" style="40"/>
    <col min="28" max="28" width="8.28515625" customWidth="1" style="33"/>
    <col min="29" max="29" bestFit="1" width="11.28515625" customWidth="1" style="33"/>
    <col min="30" max="30" width="8.85546875" customWidth="1" style="40"/>
    <col min="31" max="31" width="8.28515625" customWidth="1" style="33"/>
    <col min="32" max="32" bestFit="1" width="11.28515625" customWidth="1" style="33"/>
    <col min="33" max="33" width="8.85546875" customWidth="1" style="40"/>
    <col min="34" max="34" width="8.28515625" customWidth="1" style="33"/>
    <col min="35" max="35" bestFit="1" width="11.28515625" customWidth="1" style="33"/>
    <col min="36" max="36" width="8.85546875" customWidth="1" style="40"/>
    <col min="37" max="37" width="8.28515625" customWidth="1" style="33"/>
    <col min="38" max="38" bestFit="1" width="11.28515625" customWidth="1" style="33"/>
    <col min="39" max="39" bestFit="1" width="17.42578125" customWidth="1" style="40"/>
    <col min="40" max="40" width="9.140625" customWidth="1" style="33"/>
    <col min="41" max="41" bestFit="1" width="11.5703125" customWidth="1" style="48"/>
    <col min="42" max="16384" width="9.140625" customWidth="1" style="33"/>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754</v>
      </c>
      <c r="E5" s="14"/>
      <c r="F5" s="14"/>
      <c r="G5" s="14"/>
      <c r="H5" s="14"/>
      <c r="I5" s="14"/>
      <c r="J5" s="14"/>
      <c r="K5" s="14"/>
      <c r="L5" s="14"/>
      <c r="M5" s="14"/>
      <c r="N5" s="14"/>
      <c r="O5" s="14"/>
      <c r="P5" s="14"/>
      <c r="Q5" s="14"/>
      <c r="R5" s="14"/>
      <c r="S5" s="14"/>
      <c r="T5" s="14"/>
      <c r="U5" s="14"/>
      <c r="W5" s="71" t="s">
        <v>541</v>
      </c>
      <c r="X5" s="72" t="s">
        <v>754</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ht="30">
      <c r="A7" s="10" t="s">
        <v>548</v>
      </c>
      <c r="B7" s="46" t="s">
        <v>529</v>
      </c>
      <c r="C7" s="52" t="s">
        <v>601</v>
      </c>
      <c r="D7" s="16" t="s">
        <v>958</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958</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
        <v>0.179</v>
      </c>
      <c r="E8" s="6">
        <v>0.179</v>
      </c>
      <c r="F8" s="6">
        <v>0</v>
      </c>
      <c r="G8" s="41">
        <v>0.446</v>
      </c>
      <c r="H8" s="6">
        <v>0.446</v>
      </c>
      <c r="I8" s="6">
        <v>0</v>
      </c>
      <c r="J8" s="41">
        <v>1.109</v>
      </c>
      <c r="K8" s="6">
        <v>1.109</v>
      </c>
      <c r="L8" s="6">
        <v>0</v>
      </c>
      <c r="M8" s="41">
        <v>1.597</v>
      </c>
      <c r="N8" s="6">
        <v>1.597</v>
      </c>
      <c r="O8" s="6">
        <v>0</v>
      </c>
      <c r="P8" s="41">
        <v>2.299</v>
      </c>
      <c r="Q8" s="6">
        <v>2.299</v>
      </c>
      <c r="R8" s="6">
        <v>0</v>
      </c>
      <c r="S8" s="41">
        <v>4055.269</v>
      </c>
      <c r="T8" s="6">
        <v>4055.269</v>
      </c>
      <c r="U8" s="6">
        <v>0</v>
      </c>
      <c r="W8" s="2" t="s">
        <v>562</v>
      </c>
      <c r="X8" s="6">
        <v>0.179</v>
      </c>
      <c r="Y8" s="6">
        <v>0.179</v>
      </c>
      <c r="Z8" s="6">
        <v>0</v>
      </c>
      <c r="AA8" s="41">
        <v>0.446</v>
      </c>
      <c r="AB8" s="6">
        <v>0.446</v>
      </c>
      <c r="AC8" s="6">
        <v>0</v>
      </c>
      <c r="AD8" s="41">
        <v>1.109</v>
      </c>
      <c r="AE8" s="6">
        <v>1.109</v>
      </c>
      <c r="AF8" s="6">
        <v>0</v>
      </c>
      <c r="AG8" s="41">
        <v>1.597</v>
      </c>
      <c r="AH8" s="6">
        <v>1.597</v>
      </c>
      <c r="AI8" s="6">
        <v>0</v>
      </c>
      <c r="AJ8" s="41">
        <v>2.299</v>
      </c>
      <c r="AK8" s="6">
        <v>2.299</v>
      </c>
      <c r="AL8" s="6">
        <v>0</v>
      </c>
      <c r="AM8" s="41">
        <v>4055.269</v>
      </c>
      <c r="AN8" s="6">
        <v>4055.269</v>
      </c>
      <c r="AO8" s="53">
        <v>0</v>
      </c>
    </row>
    <row r="9">
      <c r="C9" s="51" t="s">
        <v>560</v>
      </c>
      <c r="D9" s="6">
        <v>0.179</v>
      </c>
      <c r="E9" s="6">
        <v>0.179</v>
      </c>
      <c r="F9" s="6">
        <v>0</v>
      </c>
      <c r="G9" s="41">
        <v>0.446</v>
      </c>
      <c r="H9" s="6">
        <v>0.446</v>
      </c>
      <c r="I9" s="6">
        <v>0</v>
      </c>
      <c r="J9" s="41">
        <v>1.109</v>
      </c>
      <c r="K9" s="6">
        <v>1.109</v>
      </c>
      <c r="L9" s="6">
        <v>0</v>
      </c>
      <c r="M9" s="41">
        <v>1.597</v>
      </c>
      <c r="N9" s="6">
        <v>1.597</v>
      </c>
      <c r="O9" s="6">
        <v>0</v>
      </c>
      <c r="P9" s="41">
        <v>2.299</v>
      </c>
      <c r="Q9" s="6">
        <v>2.299</v>
      </c>
      <c r="R9" s="6">
        <v>0</v>
      </c>
      <c r="S9" s="41">
        <v>4055.269</v>
      </c>
      <c r="T9" s="6">
        <v>4055.269</v>
      </c>
      <c r="U9" s="6">
        <v>0</v>
      </c>
      <c r="W9" s="51" t="s">
        <v>560</v>
      </c>
      <c r="X9" s="6">
        <v>0.179</v>
      </c>
      <c r="Y9" s="6">
        <v>0.179</v>
      </c>
      <c r="Z9" s="6">
        <v>0</v>
      </c>
      <c r="AA9" s="41">
        <v>0.446</v>
      </c>
      <c r="AB9" s="6">
        <v>0.446</v>
      </c>
      <c r="AC9" s="6">
        <v>0</v>
      </c>
      <c r="AD9" s="41">
        <v>1.109</v>
      </c>
      <c r="AE9" s="6">
        <v>1.109</v>
      </c>
      <c r="AF9" s="6">
        <v>0</v>
      </c>
      <c r="AG9" s="41">
        <v>1.597</v>
      </c>
      <c r="AH9" s="6">
        <v>1.597</v>
      </c>
      <c r="AI9" s="6">
        <v>0</v>
      </c>
      <c r="AJ9" s="41">
        <v>2.299</v>
      </c>
      <c r="AK9" s="6">
        <v>2.299</v>
      </c>
      <c r="AL9" s="6">
        <v>0</v>
      </c>
      <c r="AM9" s="41">
        <v>4055.269</v>
      </c>
      <c r="AN9" s="6">
        <v>4055.269</v>
      </c>
      <c r="AO9" s="53">
        <v>0</v>
      </c>
    </row>
  </sheetData>
  <mergeCells>
    <mergeCell ref="C1:U1"/>
    <mergeCell ref="W1:AO1"/>
    <mergeCell ref="C2:U2"/>
  </mergeCells>
  <pageMargins left="0.7" right="0.7" top="0.75" bottom="0.75" header="0.3" footer="0.3"/>
  <pageSetup orientation="portrait" horizontalDpi="0" verticalDpi="0"/>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customWidth="1" style="33"/>
    <col min="2" max="2" width="32.140625" customWidth="1" style="48"/>
    <col min="3" max="3" width="13.140625" customWidth="1" style="49"/>
    <col min="4" max="4" width="19.5703125" customWidth="1" style="33"/>
    <col min="5" max="5" width="8.28515625" customWidth="1" style="33"/>
    <col min="6" max="6" bestFit="1" width="11.28515625" customWidth="1" style="33"/>
    <col min="7" max="7" width="8.85546875" customWidth="1" style="40"/>
    <col min="8" max="8" width="8.28515625" customWidth="1" style="33"/>
    <col min="9" max="9" width="11.28515625" customWidth="1" style="33"/>
    <col min="10" max="10" width="8.85546875" customWidth="1" style="40"/>
    <col min="11" max="11" width="8.28515625" customWidth="1" style="33"/>
    <col min="12" max="12" width="11.28515625" customWidth="1" style="33"/>
    <col min="13" max="13" width="8.85546875" customWidth="1" style="40"/>
    <col min="14" max="14" width="8.28515625" customWidth="1" style="33"/>
    <col min="15" max="15" width="11.28515625" customWidth="1" style="33"/>
    <col min="16" max="16" width="8.85546875" customWidth="1" style="40"/>
    <col min="17" max="17" width="8.28515625" customWidth="1" style="33"/>
    <col min="18" max="18" width="11.28515625" customWidth="1" style="33"/>
    <col min="19" max="19" bestFit="1" width="17.42578125" customWidth="1" style="40"/>
    <col min="20" max="20" width="8.5703125" customWidth="1" style="33"/>
    <col min="21" max="21" width="11.5703125" customWidth="1" style="33"/>
    <col min="22" max="22" width="9.140625" customWidth="1" style="14"/>
    <col min="23" max="23" width="13.140625" customWidth="1" style="48"/>
    <col min="24" max="24" width="19.5703125" customWidth="1" style="33"/>
    <col min="25" max="25" width="8.28515625" customWidth="1" style="33"/>
    <col min="26" max="26" bestFit="1" width="11.28515625" customWidth="1" style="33"/>
    <col min="27" max="27" width="8.85546875" customWidth="1" style="40"/>
    <col min="28" max="28" width="8.28515625" customWidth="1" style="33"/>
    <col min="29" max="29" bestFit="1" width="11.28515625" customWidth="1" style="33"/>
    <col min="30" max="30" width="8.85546875" customWidth="1" style="40"/>
    <col min="31" max="31" width="8.28515625" customWidth="1" style="33"/>
    <col min="32" max="32" bestFit="1" width="11.28515625" customWidth="1" style="33"/>
    <col min="33" max="33" width="8.85546875" customWidth="1" style="40"/>
    <col min="34" max="34" width="8.28515625" customWidth="1" style="33"/>
    <col min="35" max="35" bestFit="1" width="11.28515625" customWidth="1" style="33"/>
    <col min="36" max="36" width="8.85546875" customWidth="1" style="40"/>
    <col min="37" max="37" width="8.28515625" customWidth="1" style="33"/>
    <col min="38" max="38" bestFit="1" width="11.28515625" customWidth="1" style="33"/>
    <col min="39" max="39" bestFit="1" width="17.42578125" customWidth="1" style="40"/>
    <col min="40" max="40" width="8.5703125" customWidth="1" style="33"/>
    <col min="41" max="41" bestFit="1" width="11.5703125" customWidth="1" style="48"/>
    <col min="42" max="16384" width="9.140625" customWidth="1" style="33"/>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756</v>
      </c>
      <c r="E5" s="14"/>
      <c r="F5" s="14"/>
      <c r="G5" s="14"/>
      <c r="H5" s="14"/>
      <c r="I5" s="14"/>
      <c r="J5" s="14"/>
      <c r="K5" s="14"/>
      <c r="L5" s="14"/>
      <c r="M5" s="14"/>
      <c r="N5" s="14"/>
      <c r="O5" s="14"/>
      <c r="P5" s="14"/>
      <c r="Q5" s="14"/>
      <c r="R5" s="14"/>
      <c r="S5" s="14"/>
      <c r="T5" s="14"/>
      <c r="U5" s="14"/>
      <c r="W5" s="71" t="s">
        <v>541</v>
      </c>
      <c r="X5" s="72" t="s">
        <v>756</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959</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959</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3">
        <v>1597</v>
      </c>
      <c r="E8" s="3">
        <v>1597</v>
      </c>
      <c r="F8" s="3">
        <v>0</v>
      </c>
      <c r="G8" s="54">
        <v>2299</v>
      </c>
      <c r="H8" s="3">
        <v>2299</v>
      </c>
      <c r="I8" s="3">
        <v>0</v>
      </c>
      <c r="J8" s="54">
        <v>3311</v>
      </c>
      <c r="K8" s="3">
        <v>3311</v>
      </c>
      <c r="L8" s="3">
        <v>0</v>
      </c>
      <c r="M8" s="54">
        <v>5722</v>
      </c>
      <c r="N8" s="3">
        <v>5722</v>
      </c>
      <c r="O8" s="3">
        <v>0</v>
      </c>
      <c r="P8" s="54">
        <v>6866</v>
      </c>
      <c r="Q8" s="3">
        <v>6866</v>
      </c>
      <c r="R8" s="3">
        <v>0</v>
      </c>
      <c r="S8" s="54">
        <v>29521</v>
      </c>
      <c r="T8" s="3">
        <v>29521</v>
      </c>
      <c r="U8" s="3">
        <v>0</v>
      </c>
      <c r="W8" s="2" t="s">
        <v>562</v>
      </c>
      <c r="X8" s="3">
        <v>1597</v>
      </c>
      <c r="Y8" s="3">
        <v>1597</v>
      </c>
      <c r="Z8" s="3">
        <v>0</v>
      </c>
      <c r="AA8" s="54">
        <v>2299</v>
      </c>
      <c r="AB8" s="3">
        <v>2299</v>
      </c>
      <c r="AC8" s="3">
        <v>0</v>
      </c>
      <c r="AD8" s="54">
        <v>3311</v>
      </c>
      <c r="AE8" s="3">
        <v>3311</v>
      </c>
      <c r="AF8" s="3">
        <v>0</v>
      </c>
      <c r="AG8" s="54">
        <v>5722</v>
      </c>
      <c r="AH8" s="3">
        <v>5722</v>
      </c>
      <c r="AI8" s="3">
        <v>0</v>
      </c>
      <c r="AJ8" s="54">
        <v>6866</v>
      </c>
      <c r="AK8" s="3">
        <v>6866</v>
      </c>
      <c r="AL8" s="3">
        <v>0</v>
      </c>
      <c r="AM8" s="54">
        <v>29521</v>
      </c>
      <c r="AN8" s="3">
        <v>29521</v>
      </c>
      <c r="AO8" s="55">
        <v>0</v>
      </c>
    </row>
    <row r="9">
      <c r="C9" s="51" t="s">
        <v>560</v>
      </c>
      <c r="D9" s="3">
        <v>1597</v>
      </c>
      <c r="E9" s="3">
        <v>1597</v>
      </c>
      <c r="F9" s="3">
        <v>0</v>
      </c>
      <c r="G9" s="54">
        <v>2299</v>
      </c>
      <c r="H9" s="3">
        <v>2299</v>
      </c>
      <c r="I9" s="3">
        <v>0</v>
      </c>
      <c r="J9" s="54">
        <v>3311</v>
      </c>
      <c r="K9" s="3">
        <v>3311</v>
      </c>
      <c r="L9" s="3">
        <v>0</v>
      </c>
      <c r="M9" s="54">
        <v>5722</v>
      </c>
      <c r="N9" s="3">
        <v>5722</v>
      </c>
      <c r="O9" s="3">
        <v>0</v>
      </c>
      <c r="P9" s="54">
        <v>6866</v>
      </c>
      <c r="Q9" s="3">
        <v>6866</v>
      </c>
      <c r="R9" s="3">
        <v>0</v>
      </c>
      <c r="S9" s="54">
        <v>29521</v>
      </c>
      <c r="T9" s="3">
        <v>29521</v>
      </c>
      <c r="U9" s="3">
        <v>0</v>
      </c>
      <c r="W9" s="51" t="s">
        <v>560</v>
      </c>
      <c r="X9" s="3">
        <v>1597</v>
      </c>
      <c r="Y9" s="3">
        <v>1597</v>
      </c>
      <c r="Z9" s="3">
        <v>0</v>
      </c>
      <c r="AA9" s="54">
        <v>2299</v>
      </c>
      <c r="AB9" s="3">
        <v>2299</v>
      </c>
      <c r="AC9" s="3">
        <v>0</v>
      </c>
      <c r="AD9" s="54">
        <v>3311</v>
      </c>
      <c r="AE9" s="3">
        <v>3311</v>
      </c>
      <c r="AF9" s="3">
        <v>0</v>
      </c>
      <c r="AG9" s="54">
        <v>5722</v>
      </c>
      <c r="AH9" s="3">
        <v>5722</v>
      </c>
      <c r="AI9" s="3">
        <v>0</v>
      </c>
      <c r="AJ9" s="54">
        <v>6866</v>
      </c>
      <c r="AK9" s="3">
        <v>6866</v>
      </c>
      <c r="AL9" s="3">
        <v>0</v>
      </c>
      <c r="AM9" s="54">
        <v>29521</v>
      </c>
      <c r="AN9" s="3">
        <v>29521</v>
      </c>
      <c r="AO9" s="55">
        <v>0</v>
      </c>
    </row>
  </sheetData>
  <mergeCells>
    <mergeCell ref="C1:U1"/>
    <mergeCell ref="W1:AO1"/>
    <mergeCell ref="C2:U2"/>
  </mergeCells>
  <pageMargins left="0.7" right="0.7" top="0.75" bottom="0.75" header="0.3" footer="0.3"/>
  <pageSetup orientation="portrait" horizontalDpi="0" verticalDpi="0"/>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customWidth="1" style="58"/>
    <col min="2" max="2" width="32.140625" customWidth="1" style="48"/>
    <col min="3" max="3" width="13.140625" customWidth="1" style="49"/>
    <col min="4" max="4" width="22.28515625" customWidth="1" style="58"/>
    <col min="5" max="5" width="8.28515625" customWidth="1" style="58"/>
    <col min="6" max="6" bestFit="1" width="11.28515625" customWidth="1" style="58"/>
    <col min="7" max="7" width="8.85546875" customWidth="1" style="40"/>
    <col min="8" max="8" width="8.28515625" customWidth="1" style="58"/>
    <col min="9" max="9" width="11.28515625" customWidth="1" style="58"/>
    <col min="10" max="10" width="8.85546875" customWidth="1" style="40"/>
    <col min="11" max="11" width="8.28515625" customWidth="1" style="58"/>
    <col min="12" max="12" width="11.28515625" customWidth="1" style="58"/>
    <col min="13" max="13" width="8.85546875" customWidth="1" style="40"/>
    <col min="14" max="14" width="8.28515625" customWidth="1" style="58"/>
    <col min="15" max="15" width="11.28515625" customWidth="1" style="58"/>
    <col min="16" max="16" width="8.85546875" customWidth="1" style="40"/>
    <col min="17" max="17" width="8.28515625" customWidth="1" style="58"/>
    <col min="18" max="18" width="11.28515625" customWidth="1" style="58"/>
    <col min="19" max="19" bestFit="1" width="17.42578125" customWidth="1" style="40"/>
    <col min="20" max="20" width="8.5703125" customWidth="1" style="58"/>
    <col min="21" max="21" width="11.5703125" customWidth="1" style="58"/>
    <col min="22" max="22" width="9.140625" customWidth="1" style="14"/>
    <col min="23" max="23" width="13.140625" customWidth="1" style="48"/>
    <col min="24" max="24" width="21.42578125" customWidth="1" style="58"/>
    <col min="25" max="25" width="8.28515625" customWidth="1" style="58"/>
    <col min="26" max="26" bestFit="1" width="11.28515625" customWidth="1" style="58"/>
    <col min="27" max="27" width="8.85546875" customWidth="1" style="40"/>
    <col min="28" max="28" width="8.28515625" customWidth="1" style="58"/>
    <col min="29" max="29" bestFit="1" width="11.28515625" customWidth="1" style="58"/>
    <col min="30" max="30" width="8.85546875" customWidth="1" style="40"/>
    <col min="31" max="31" width="8.28515625" customWidth="1" style="58"/>
    <col min="32" max="32" bestFit="1" width="11.28515625" customWidth="1" style="58"/>
    <col min="33" max="33" width="8.85546875" customWidth="1" style="40"/>
    <col min="34" max="34" width="8.28515625" customWidth="1" style="58"/>
    <col min="35" max="35" bestFit="1" width="11.28515625" customWidth="1" style="58"/>
    <col min="36" max="36" width="8.85546875" customWidth="1" style="40"/>
    <col min="37" max="37" width="8.28515625" customWidth="1" style="58"/>
    <col min="38" max="38" bestFit="1" width="11.28515625" customWidth="1" style="58"/>
    <col min="39" max="39" bestFit="1" width="17.42578125" customWidth="1" style="40"/>
    <col min="40" max="40" width="8.5703125" customWidth="1" style="58"/>
    <col min="41" max="41" bestFit="1" width="11.5703125" customWidth="1" style="48"/>
    <col min="42" max="16384" width="9.140625" customWidth="1" style="58"/>
  </cols>
  <sheetData>
    <row r="1">
      <c r="A1" s="14"/>
      <c r="B1" s="44"/>
      <c r="C1" s="93" t="s">
        <v>727</v>
      </c>
      <c r="D1" s="80"/>
      <c r="E1" s="80"/>
      <c r="F1" s="80"/>
      <c r="G1" s="80"/>
      <c r="H1" s="80"/>
      <c r="I1" s="80"/>
      <c r="J1" s="80"/>
      <c r="K1" s="80"/>
      <c r="L1" s="80"/>
      <c r="M1" s="80"/>
      <c r="N1" s="80"/>
      <c r="O1" s="80"/>
      <c r="P1" s="80"/>
      <c r="Q1" s="80"/>
      <c r="R1" s="80"/>
      <c r="S1" s="80"/>
      <c r="T1" s="80"/>
      <c r="U1" s="80"/>
      <c r="W1" s="93" t="s">
        <v>728</v>
      </c>
      <c r="X1" s="80"/>
      <c r="Y1" s="80"/>
      <c r="Z1" s="80"/>
      <c r="AA1" s="80"/>
      <c r="AB1" s="80"/>
      <c r="AC1" s="80"/>
      <c r="AD1" s="80"/>
      <c r="AE1" s="80"/>
      <c r="AF1" s="80"/>
      <c r="AG1" s="80"/>
      <c r="AH1" s="80"/>
      <c r="AI1" s="80"/>
      <c r="AJ1" s="80"/>
      <c r="AK1" s="80"/>
      <c r="AL1" s="80"/>
      <c r="AM1" s="80"/>
      <c r="AN1" s="80"/>
      <c r="AO1" s="80"/>
    </row>
    <row r="2">
      <c r="A2" s="14"/>
      <c r="B2" s="44"/>
      <c r="C2" s="93"/>
      <c r="D2" s="80"/>
      <c r="E2" s="80"/>
      <c r="F2" s="80"/>
      <c r="G2" s="80"/>
      <c r="H2" s="80"/>
      <c r="I2" s="80"/>
      <c r="J2" s="80"/>
      <c r="K2" s="80"/>
      <c r="L2" s="80"/>
      <c r="M2" s="80"/>
      <c r="N2" s="80"/>
      <c r="O2" s="80"/>
      <c r="P2" s="80"/>
      <c r="Q2" s="80"/>
      <c r="R2" s="80"/>
      <c r="S2" s="80"/>
      <c r="T2" s="80"/>
      <c r="U2" s="80"/>
      <c r="W2" s="71" t="s">
        <v>0</v>
      </c>
      <c r="X2" s="72" t="s">
        <v>539</v>
      </c>
      <c r="Y2" s="14"/>
      <c r="Z2" s="14"/>
      <c r="AA2" s="14"/>
      <c r="AB2" s="14"/>
      <c r="AC2" s="14"/>
      <c r="AD2" s="14"/>
      <c r="AE2" s="14"/>
      <c r="AF2" s="14"/>
      <c r="AG2" s="14"/>
      <c r="AH2" s="14"/>
      <c r="AI2" s="14"/>
      <c r="AJ2" s="14"/>
      <c r="AK2" s="14"/>
      <c r="AL2" s="14"/>
      <c r="AM2" s="14"/>
      <c r="AN2" s="14"/>
      <c r="AO2" s="14"/>
    </row>
    <row r="3">
      <c r="A3" s="14"/>
      <c r="B3" s="44"/>
      <c r="C3" s="71" t="s">
        <v>0</v>
      </c>
      <c r="D3" s="72" t="s">
        <v>539</v>
      </c>
      <c r="E3" s="14"/>
      <c r="F3" s="14"/>
      <c r="G3" s="14"/>
      <c r="H3" s="14"/>
      <c r="I3" s="14"/>
      <c r="J3" s="14"/>
      <c r="K3" s="14"/>
      <c r="L3" s="14"/>
      <c r="M3" s="14"/>
      <c r="N3" s="14"/>
      <c r="O3" s="14"/>
      <c r="P3" s="14"/>
      <c r="Q3" s="14"/>
      <c r="R3" s="14"/>
      <c r="S3" s="14"/>
      <c r="T3" s="14"/>
      <c r="U3" s="14"/>
      <c r="W3" s="71" t="s">
        <v>522</v>
      </c>
      <c r="X3" s="72" t="s">
        <v>539</v>
      </c>
      <c r="Y3" s="14"/>
      <c r="Z3" s="14"/>
      <c r="AA3" s="14"/>
      <c r="AB3" s="14"/>
      <c r="AC3" s="14"/>
      <c r="AD3" s="14"/>
      <c r="AE3" s="14"/>
      <c r="AF3" s="14"/>
      <c r="AG3" s="14"/>
      <c r="AH3" s="14"/>
      <c r="AI3" s="14"/>
      <c r="AJ3" s="14"/>
      <c r="AK3" s="14"/>
      <c r="AL3" s="14"/>
      <c r="AM3" s="14"/>
      <c r="AN3" s="14"/>
      <c r="AO3" s="14"/>
    </row>
    <row r="4">
      <c r="A4" s="14"/>
      <c r="B4" s="45"/>
      <c r="C4" s="71" t="s">
        <v>522</v>
      </c>
      <c r="D4" s="72" t="s">
        <v>539</v>
      </c>
      <c r="E4" s="14"/>
      <c r="F4" s="14"/>
      <c r="G4" s="14"/>
      <c r="H4" s="14"/>
      <c r="I4" s="14"/>
      <c r="J4" s="14"/>
      <c r="K4" s="14"/>
      <c r="L4" s="14"/>
      <c r="M4" s="14"/>
      <c r="N4" s="14"/>
      <c r="O4" s="14"/>
      <c r="P4" s="14"/>
      <c r="Q4" s="14"/>
      <c r="R4" s="14"/>
      <c r="S4" s="14"/>
      <c r="T4" s="14"/>
      <c r="U4" s="14"/>
      <c r="W4" s="52" t="s">
        <v>523</v>
      </c>
      <c r="X4" s="72" t="s">
        <v>539</v>
      </c>
      <c r="Y4" s="14"/>
      <c r="Z4" s="14"/>
      <c r="AA4" s="14"/>
      <c r="AB4" s="14"/>
      <c r="AC4" s="14"/>
      <c r="AD4" s="14"/>
      <c r="AE4" s="14"/>
      <c r="AF4" s="14"/>
      <c r="AG4" s="14"/>
      <c r="AH4" s="14"/>
      <c r="AI4" s="14"/>
      <c r="AJ4" s="14"/>
      <c r="AK4" s="14"/>
      <c r="AL4" s="14"/>
      <c r="AM4" s="14"/>
      <c r="AN4" s="14"/>
      <c r="AO4" s="14"/>
    </row>
    <row r="5">
      <c r="A5" s="14"/>
      <c r="B5" s="45"/>
      <c r="C5" s="71" t="s">
        <v>541</v>
      </c>
      <c r="D5" s="72" t="s">
        <v>755</v>
      </c>
      <c r="E5" s="14"/>
      <c r="F5" s="14"/>
      <c r="G5" s="14"/>
      <c r="H5" s="14"/>
      <c r="I5" s="14"/>
      <c r="J5" s="14"/>
      <c r="K5" s="14"/>
      <c r="L5" s="14"/>
      <c r="M5" s="14"/>
      <c r="N5" s="14"/>
      <c r="O5" s="14"/>
      <c r="P5" s="14"/>
      <c r="Q5" s="14"/>
      <c r="R5" s="14"/>
      <c r="S5" s="14"/>
      <c r="T5" s="14"/>
      <c r="U5" s="14"/>
      <c r="W5" s="71" t="s">
        <v>541</v>
      </c>
      <c r="X5" s="72" t="s">
        <v>755</v>
      </c>
      <c r="Y5" s="14"/>
      <c r="Z5" s="14"/>
      <c r="AA5" s="14"/>
      <c r="AB5" s="14"/>
      <c r="AC5" s="14"/>
      <c r="AD5" s="14"/>
      <c r="AE5" s="14"/>
      <c r="AF5" s="14"/>
      <c r="AG5" s="14"/>
      <c r="AH5" s="14"/>
      <c r="AI5" s="14"/>
      <c r="AJ5" s="14"/>
      <c r="AK5" s="14"/>
      <c r="AL5" s="14"/>
      <c r="AM5" s="14"/>
      <c r="AN5" s="14"/>
      <c r="AO5" s="14"/>
    </row>
    <row r="6">
      <c r="A6" s="14"/>
      <c r="B6" s="45"/>
      <c r="E6" s="14"/>
      <c r="F6" s="14"/>
      <c r="G6" s="14"/>
      <c r="H6" s="14"/>
      <c r="I6" s="14"/>
      <c r="J6" s="14"/>
      <c r="K6" s="14"/>
      <c r="L6" s="14"/>
      <c r="M6" s="14"/>
      <c r="N6" s="14"/>
      <c r="O6" s="14"/>
      <c r="P6" s="14"/>
      <c r="Q6" s="14"/>
      <c r="R6" s="14"/>
      <c r="S6" s="14"/>
      <c r="T6" s="14"/>
      <c r="U6" s="14"/>
      <c r="W6" s="49"/>
      <c r="Y6" s="14"/>
      <c r="Z6" s="14"/>
      <c r="AA6" s="14"/>
      <c r="AB6" s="14"/>
      <c r="AC6" s="14"/>
      <c r="AD6" s="14"/>
      <c r="AE6" s="14"/>
      <c r="AF6" s="14"/>
      <c r="AG6" s="14"/>
      <c r="AH6" s="14"/>
      <c r="AI6" s="14"/>
      <c r="AJ6" s="14"/>
      <c r="AK6" s="14"/>
      <c r="AL6" s="14"/>
      <c r="AM6" s="14"/>
      <c r="AN6" s="14"/>
      <c r="AO6" s="14"/>
    </row>
    <row r="7">
      <c r="A7" s="10" t="s">
        <v>548</v>
      </c>
      <c r="B7" s="46" t="s">
        <v>529</v>
      </c>
      <c r="C7" s="52" t="s">
        <v>601</v>
      </c>
      <c r="D7" s="16" t="s">
        <v>960</v>
      </c>
      <c r="E7" s="72" t="s">
        <v>731</v>
      </c>
      <c r="F7" s="72" t="s">
        <v>732</v>
      </c>
      <c r="G7" s="42" t="s">
        <v>733</v>
      </c>
      <c r="H7" s="43" t="s">
        <v>734</v>
      </c>
      <c r="I7" s="43" t="s">
        <v>735</v>
      </c>
      <c r="J7" s="40" t="s">
        <v>736</v>
      </c>
      <c r="K7" s="72" t="s">
        <v>737</v>
      </c>
      <c r="L7" s="72" t="s">
        <v>738</v>
      </c>
      <c r="M7" s="42" t="s">
        <v>739</v>
      </c>
      <c r="N7" s="43" t="s">
        <v>740</v>
      </c>
      <c r="O7" s="43" t="s">
        <v>741</v>
      </c>
      <c r="P7" s="40" t="s">
        <v>742</v>
      </c>
      <c r="Q7" s="72" t="s">
        <v>743</v>
      </c>
      <c r="R7" s="72" t="s">
        <v>744</v>
      </c>
      <c r="S7" s="42" t="s">
        <v>745</v>
      </c>
      <c r="T7" s="43" t="s">
        <v>746</v>
      </c>
      <c r="U7" s="43" t="s">
        <v>696</v>
      </c>
      <c r="W7" s="50" t="s">
        <v>601</v>
      </c>
      <c r="X7" s="16" t="s">
        <v>961</v>
      </c>
      <c r="Y7" s="72" t="s">
        <v>731</v>
      </c>
      <c r="Z7" s="72" t="s">
        <v>732</v>
      </c>
      <c r="AA7" s="42" t="s">
        <v>733</v>
      </c>
      <c r="AB7" s="43" t="s">
        <v>734</v>
      </c>
      <c r="AC7" s="43" t="s">
        <v>735</v>
      </c>
      <c r="AD7" s="40" t="s">
        <v>736</v>
      </c>
      <c r="AE7" s="72" t="s">
        <v>737</v>
      </c>
      <c r="AF7" s="72" t="s">
        <v>738</v>
      </c>
      <c r="AG7" s="42" t="s">
        <v>739</v>
      </c>
      <c r="AH7" s="43" t="s">
        <v>740</v>
      </c>
      <c r="AI7" s="43" t="s">
        <v>741</v>
      </c>
      <c r="AJ7" s="40" t="s">
        <v>742</v>
      </c>
      <c r="AK7" s="72" t="s">
        <v>743</v>
      </c>
      <c r="AL7" s="72" t="s">
        <v>744</v>
      </c>
      <c r="AM7" s="42" t="s">
        <v>745</v>
      </c>
      <c r="AN7" s="43" t="s">
        <v>746</v>
      </c>
      <c r="AO7" s="52" t="s">
        <v>696</v>
      </c>
    </row>
    <row r="8">
      <c r="A8" s="9" t="str">
        <f>INDEX('DDL Tables'!$B:$B,MATCH(C8,'DDL Tables'!$C:$C,0))</f>
        <v>TestKS</v>
      </c>
      <c r="B8" s="47" t="str">
        <f>INDEX('DDL Tables'!$F:$F,MATCH(C8,'DDL Tables'!$C:$C,0))</f>
        <v>SizeTieredCompactionStrategy</v>
      </c>
      <c r="C8" s="51" t="s">
        <v>559</v>
      </c>
      <c r="D8" s="68">
        <v>0.084064483642578125</v>
      </c>
      <c r="E8" s="68">
        <v>0.084064483642578125</v>
      </c>
      <c r="F8" s="68">
        <v>0</v>
      </c>
      <c r="G8" s="69">
        <v>0.12105369567871094</v>
      </c>
      <c r="H8" s="68">
        <v>0.12105369567871094</v>
      </c>
      <c r="I8" s="68">
        <v>0</v>
      </c>
      <c r="J8" s="69">
        <v>0.20918083190917969</v>
      </c>
      <c r="K8" s="68">
        <v>0.20918083190917969</v>
      </c>
      <c r="L8" s="68">
        <v>0</v>
      </c>
      <c r="M8" s="69">
        <v>0.30121994018554688</v>
      </c>
      <c r="N8" s="68">
        <v>0.30121994018554688</v>
      </c>
      <c r="O8" s="68">
        <v>0</v>
      </c>
      <c r="P8" s="69">
        <v>0.36146354675292969</v>
      </c>
      <c r="Q8" s="68">
        <v>0.36146354675292969</v>
      </c>
      <c r="R8" s="68">
        <v>0</v>
      </c>
      <c r="S8" s="69">
        <v>1.8650684356689453</v>
      </c>
      <c r="T8" s="68">
        <v>1.8650684356689453</v>
      </c>
      <c r="U8" s="68">
        <v>0</v>
      </c>
      <c r="W8" s="2" t="s">
        <v>562</v>
      </c>
      <c r="X8" s="68">
        <v>0.084064483642578125</v>
      </c>
      <c r="Y8" s="68">
        <v>0.084064483642578125</v>
      </c>
      <c r="Z8" s="68">
        <v>0</v>
      </c>
      <c r="AA8" s="69">
        <v>0.12105369567871094</v>
      </c>
      <c r="AB8" s="68">
        <v>0.12105369567871094</v>
      </c>
      <c r="AC8" s="68">
        <v>0</v>
      </c>
      <c r="AD8" s="69">
        <v>0.20918083190917969</v>
      </c>
      <c r="AE8" s="68">
        <v>0.20918083190917969</v>
      </c>
      <c r="AF8" s="68">
        <v>0</v>
      </c>
      <c r="AG8" s="69">
        <v>0.30121994018554688</v>
      </c>
      <c r="AH8" s="68">
        <v>0.30121994018554688</v>
      </c>
      <c r="AI8" s="68">
        <v>0</v>
      </c>
      <c r="AJ8" s="69">
        <v>0.36146354675292969</v>
      </c>
      <c r="AK8" s="68">
        <v>0.36146354675292969</v>
      </c>
      <c r="AL8" s="68">
        <v>0</v>
      </c>
      <c r="AM8" s="69">
        <v>1.8650684356689453</v>
      </c>
      <c r="AN8" s="68">
        <v>1.8650684356689453</v>
      </c>
      <c r="AO8" s="70">
        <v>0</v>
      </c>
    </row>
    <row r="9">
      <c r="C9" s="51" t="s">
        <v>560</v>
      </c>
      <c r="D9" s="68">
        <v>0.084064483642578125</v>
      </c>
      <c r="E9" s="68">
        <v>0.084064483642578125</v>
      </c>
      <c r="F9" s="68">
        <v>0</v>
      </c>
      <c r="G9" s="69">
        <v>0.12105369567871094</v>
      </c>
      <c r="H9" s="68">
        <v>0.12105369567871094</v>
      </c>
      <c r="I9" s="68">
        <v>0</v>
      </c>
      <c r="J9" s="69">
        <v>0.20918083190917969</v>
      </c>
      <c r="K9" s="68">
        <v>0.20918083190917969</v>
      </c>
      <c r="L9" s="68">
        <v>0</v>
      </c>
      <c r="M9" s="69">
        <v>0.30121994018554688</v>
      </c>
      <c r="N9" s="68">
        <v>0.30121994018554688</v>
      </c>
      <c r="O9" s="68">
        <v>0</v>
      </c>
      <c r="P9" s="69">
        <v>0.36146354675292969</v>
      </c>
      <c r="Q9" s="68">
        <v>0.36146354675292969</v>
      </c>
      <c r="R9" s="68">
        <v>0</v>
      </c>
      <c r="S9" s="69">
        <v>1.8650684356689453</v>
      </c>
      <c r="T9" s="68">
        <v>1.8650684356689453</v>
      </c>
      <c r="U9" s="68">
        <v>0</v>
      </c>
      <c r="W9" s="51" t="s">
        <v>560</v>
      </c>
      <c r="X9" s="3">
        <v>0.084064483642578125</v>
      </c>
      <c r="Y9" s="3">
        <v>0.084064483642578125</v>
      </c>
      <c r="Z9" s="68">
        <v>0</v>
      </c>
      <c r="AA9" s="69">
        <v>0.12105369567871094</v>
      </c>
      <c r="AB9" s="68">
        <v>0.12105369567871094</v>
      </c>
      <c r="AC9" s="68">
        <v>0</v>
      </c>
      <c r="AD9" s="69">
        <v>0.20918083190917969</v>
      </c>
      <c r="AE9" s="68">
        <v>0.20918083190917969</v>
      </c>
      <c r="AF9" s="68">
        <v>0</v>
      </c>
      <c r="AG9" s="69">
        <v>0.30121994018554688</v>
      </c>
      <c r="AH9" s="68">
        <v>0.30121994018554688</v>
      </c>
      <c r="AI9" s="68">
        <v>0</v>
      </c>
      <c r="AJ9" s="69">
        <v>0.36146354675292969</v>
      </c>
      <c r="AK9" s="68">
        <v>0.36146354675292969</v>
      </c>
      <c r="AL9" s="68">
        <v>0</v>
      </c>
      <c r="AM9" s="69">
        <v>1.8650684356689453</v>
      </c>
      <c r="AN9" s="68">
        <v>1.8650684356689453</v>
      </c>
      <c r="AO9" s="70">
        <v>0</v>
      </c>
    </row>
  </sheetData>
  <mergeCells>
    <mergeCell ref="C1:U1"/>
    <mergeCell ref="W1:AO1"/>
    <mergeCell ref="C2:U2"/>
  </mergeCells>
  <pageMargins left="0.7" right="0.7" top="0.75" bottom="0.75" header="0.3" footer="0.3"/>
  <pageSetup orientation="portrait" horizontalDpi="0" verticalDpi="0"/>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18"/>
  <sheetViews>
    <sheetView workbookViewId="0">
      <selection activeCell="A2" sqref="A2"/>
    </sheetView>
  </sheetViews>
  <sheetFormatPr defaultRowHeight="15"/>
  <cols>
    <col min="1" max="1" width="46" customWidth="1" style="1"/>
    <col min="2" max="2" width="16.85546875" customWidth="1" style="1"/>
    <col min="3" max="4" width="9" customWidth="1" style="1"/>
    <col min="5" max="5" width="17.42578125" customWidth="1" style="1"/>
    <col min="6" max="6" width="16.85546875" customWidth="1" style="1"/>
    <col min="7" max="7" width="8.5703125" customWidth="1" style="1"/>
    <col min="8" max="8" width="26.5703125" customWidth="1" style="1"/>
    <col min="9" max="9" bestFit="1" width="16.85546875" customWidth="1" style="1"/>
    <col min="10" max="461" bestFit="1" width="13.85546875" customWidth="1" style="1"/>
    <col min="462" max="538" bestFit="1" width="14.85546875" customWidth="1" style="1"/>
    <col min="539" max="599" bestFit="1" width="13.85546875" customWidth="1" style="1"/>
    <col min="600" max="1328" bestFit="1" width="14.85546875" customWidth="1" style="1"/>
    <col min="1329" max="1965" bestFit="1" width="13.85546875" customWidth="1" style="1"/>
    <col min="1966" max="2041" bestFit="1" width="14.85546875" customWidth="1" style="1"/>
    <col min="2042" max="2042" width="7.28515625" customWidth="1" style="1"/>
    <col min="2043" max="2043" bestFit="1" width="11.28515625" customWidth="1" style="1"/>
    <col min="2044" max="16384" width="9.140625" customWidth="1" style="1"/>
  </cols>
  <sheetData>
    <row r="1">
      <c r="A1" s="85" t="s">
        <v>962</v>
      </c>
      <c r="B1" s="80"/>
      <c r="C1" s="80"/>
      <c r="D1" s="80"/>
      <c r="E1" s="80"/>
      <c r="F1" s="80"/>
      <c r="G1" s="80"/>
      <c r="H1" s="80"/>
      <c r="I1" s="80"/>
    </row>
    <row r="2">
      <c r="A2" s="65"/>
      <c r="B2" s="65"/>
      <c r="C2" s="65"/>
      <c r="D2" s="65"/>
      <c r="E2" s="65"/>
      <c r="F2" s="65"/>
      <c r="G2" s="65"/>
      <c r="H2" s="71" t="s">
        <v>963</v>
      </c>
      <c r="I2" s="72" t="s">
        <v>539</v>
      </c>
    </row>
    <row r="3">
      <c r="A3" s="65"/>
      <c r="B3" s="65"/>
      <c r="C3" s="65"/>
      <c r="D3" s="65"/>
      <c r="E3" s="65"/>
      <c r="F3" s="65"/>
      <c r="G3" s="65"/>
      <c r="H3" s="71" t="s">
        <v>0</v>
      </c>
      <c r="I3" s="72" t="s">
        <v>539</v>
      </c>
    </row>
    <row r="4">
      <c r="A4" s="71" t="s">
        <v>963</v>
      </c>
      <c r="B4" s="72" t="s">
        <v>539</v>
      </c>
      <c r="D4" s="65"/>
      <c r="E4" s="71" t="s">
        <v>963</v>
      </c>
      <c r="F4" s="72" t="s">
        <v>539</v>
      </c>
      <c r="H4" s="71" t="s">
        <v>964</v>
      </c>
      <c r="I4" s="72" t="s">
        <v>539</v>
      </c>
    </row>
    <row r="5">
      <c r="A5" s="71" t="s">
        <v>0</v>
      </c>
      <c r="B5" s="72" t="s">
        <v>539</v>
      </c>
      <c r="D5" s="65"/>
      <c r="E5" s="71" t="s">
        <v>0</v>
      </c>
      <c r="F5" s="72" t="s">
        <v>539</v>
      </c>
      <c r="H5" s="71" t="s">
        <v>965</v>
      </c>
      <c r="I5" s="72" t="s">
        <v>539</v>
      </c>
    </row>
    <row r="6">
      <c r="A6" s="71" t="s">
        <v>964</v>
      </c>
      <c r="B6" s="72" t="s">
        <v>539</v>
      </c>
      <c r="D6" s="65"/>
      <c r="E6" s="71" t="s">
        <v>964</v>
      </c>
      <c r="F6" s="72" t="s">
        <v>539</v>
      </c>
      <c r="H6" s="71" t="s">
        <v>966</v>
      </c>
      <c r="I6" s="72" t="s">
        <v>539</v>
      </c>
    </row>
    <row r="7">
      <c r="A7" s="71" t="s">
        <v>967</v>
      </c>
      <c r="B7" s="72" t="s">
        <v>539</v>
      </c>
      <c r="D7" s="65"/>
      <c r="E7" s="71" t="s">
        <v>967</v>
      </c>
      <c r="F7" s="72" t="s">
        <v>539</v>
      </c>
      <c r="H7" s="71" t="s">
        <v>522</v>
      </c>
      <c r="I7" s="72" t="s">
        <v>539</v>
      </c>
    </row>
    <row r="8">
      <c r="D8" s="65"/>
      <c r="H8" s="71" t="s">
        <v>523</v>
      </c>
      <c r="I8" s="72" t="s">
        <v>539</v>
      </c>
    </row>
    <row r="9">
      <c r="A9" s="71" t="s">
        <v>968</v>
      </c>
      <c r="B9" s="1" t="s">
        <v>969</v>
      </c>
      <c r="D9" s="66" t="s">
        <v>148</v>
      </c>
      <c r="E9" s="71" t="s">
        <v>570</v>
      </c>
      <c r="F9" s="1" t="s">
        <v>969</v>
      </c>
    </row>
    <row r="10">
      <c r="A10" s="2" t="s">
        <v>970</v>
      </c>
      <c r="B10" s="3">
        <v>19</v>
      </c>
      <c r="D10" s="67" t="e">
        <f>INDEX('Node Information'!J:$J,MATCH(E10,'Node Information'!$A:$A,0))</f>
        <v>#N/A</v>
      </c>
      <c r="E10" s="2" t="s">
        <v>971</v>
      </c>
      <c r="F10" s="3"/>
      <c r="H10" s="71" t="s">
        <v>972</v>
      </c>
      <c r="I10" s="1" t="s">
        <v>969</v>
      </c>
    </row>
    <row r="11">
      <c r="A11" s="2" t="s">
        <v>973</v>
      </c>
      <c r="B11" s="3">
        <v>46</v>
      </c>
      <c r="D11" s="67">
        <f>INDEX('Node Information'!J:$J,MATCH(E11,'Node Information'!$A:$A,0))</f>
        <v>0.0654282407407407</v>
      </c>
      <c r="E11" s="2" t="s">
        <v>562</v>
      </c>
      <c r="F11" s="3">
        <v>459</v>
      </c>
      <c r="H11" s="2" t="s">
        <v>971</v>
      </c>
      <c r="I11" s="3">
        <v>215</v>
      </c>
    </row>
    <row r="12">
      <c r="A12" s="2" t="s">
        <v>974</v>
      </c>
      <c r="B12" s="3">
        <v>5</v>
      </c>
      <c r="E12" s="2" t="s">
        <v>560</v>
      </c>
      <c r="F12" s="3">
        <v>459</v>
      </c>
      <c r="H12" s="2" t="s">
        <v>975</v>
      </c>
      <c r="I12" s="3">
        <v>239</v>
      </c>
    </row>
    <row r="13">
      <c r="A13" s="2" t="s">
        <v>976</v>
      </c>
      <c r="B13" s="3">
        <v>169</v>
      </c>
      <c r="H13" s="2" t="s">
        <v>977</v>
      </c>
      <c r="I13" s="3">
        <v>1</v>
      </c>
    </row>
    <row r="14">
      <c r="A14" s="2" t="s">
        <v>978</v>
      </c>
      <c r="B14" s="3">
        <v>30</v>
      </c>
      <c r="H14" s="2" t="s">
        <v>979</v>
      </c>
      <c r="I14" s="3">
        <v>1</v>
      </c>
    </row>
    <row r="15">
      <c r="A15" s="2" t="s">
        <v>980</v>
      </c>
      <c r="B15" s="3">
        <v>190</v>
      </c>
      <c r="H15" s="2" t="s">
        <v>981</v>
      </c>
      <c r="I15" s="3">
        <v>1</v>
      </c>
    </row>
    <row r="16">
      <c r="A16" s="2" t="s">
        <v>971</v>
      </c>
      <c r="B16" s="3"/>
      <c r="H16" s="2" t="s">
        <v>982</v>
      </c>
      <c r="I16" s="3">
        <v>1</v>
      </c>
    </row>
    <row r="17">
      <c r="A17" s="2" t="s">
        <v>560</v>
      </c>
      <c r="B17" s="3">
        <v>459</v>
      </c>
      <c r="H17" s="2" t="s">
        <v>983</v>
      </c>
      <c r="I17" s="3">
        <v>1</v>
      </c>
    </row>
    <row r="18">
      <c r="H18" s="2" t="s">
        <v>560</v>
      </c>
      <c r="I18" s="3">
        <v>459</v>
      </c>
    </row>
  </sheetData>
  <mergeCells>
    <mergeCell ref="A1:I1"/>
  </mergeCells>
  <pageMargins left="0.7" right="0.7" top="0.75" bottom="0.75" header="0.3" footer="0.3"/>
  <pageSetup orientation="portrait" horizontalDpi="0" verticalDpi="0"/>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96"/>
  <sheetViews>
    <sheetView workbookViewId="0">
      <pane ySplit="2" topLeftCell="A3" state="frozen" activePane="bottomLeft"/>
      <selection pane="bottomLeft" activeCell="A1" sqref="A1:K1"/>
    </sheetView>
  </sheetViews>
  <sheetFormatPr defaultRowHeight="15"/>
  <cols>
    <col min="1" max="1" width="19.6613941192627" customWidth="1" style="137"/>
    <col min="2" max="2" width="20.5043983459473" customWidth="1" style="105"/>
    <col min="3" max="3" width="14.1767406463623" customWidth="1"/>
    <col min="4" max="4" width="17.5784320831299" customWidth="1"/>
    <col min="5" max="5" width="10.0115613937378" customWidth="1"/>
    <col min="6" max="6" width="45" customWidth="1"/>
    <col min="7" max="7" width="38" customWidth="1"/>
    <col min="8" max="8" width="5" customWidth="1"/>
    <col min="9" max="9" width="16" customWidth="1"/>
    <col min="10" max="10" width="20.0335102081299" customWidth="1" style="97"/>
    <col min="11" max="11" width="14.5931272506714" customWidth="1" style="99"/>
  </cols>
  <sheetData>
    <row r="1" s="94" customFormat="1">
      <c r="A1" s="138" t="s">
        <v>984</v>
      </c>
      <c r="B1" s="140" t="s">
        <v>984</v>
      </c>
      <c r="C1" s="136" t="s">
        <v>984</v>
      </c>
      <c r="D1" s="136" t="s">
        <v>984</v>
      </c>
      <c r="E1" s="136" t="s">
        <v>984</v>
      </c>
      <c r="F1" s="136" t="s">
        <v>984</v>
      </c>
      <c r="G1" s="136" t="s">
        <v>984</v>
      </c>
      <c r="H1" s="98"/>
      <c r="I1" s="98"/>
      <c r="J1" s="98"/>
      <c r="K1" s="100"/>
    </row>
    <row r="2" s="94" customFormat="1">
      <c r="A2" s="139" t="s">
        <v>963</v>
      </c>
      <c r="B2" s="106" t="s">
        <v>985</v>
      </c>
      <c r="C2" s="98" t="s">
        <v>0</v>
      </c>
      <c r="D2" s="98" t="s">
        <v>1</v>
      </c>
      <c r="E2" s="98" t="s">
        <v>964</v>
      </c>
      <c r="F2" s="98" t="s">
        <v>965</v>
      </c>
      <c r="G2" s="98" t="s">
        <v>986</v>
      </c>
      <c r="H2" s="98" t="s">
        <v>966</v>
      </c>
      <c r="I2" s="98" t="s">
        <v>967</v>
      </c>
      <c r="J2" s="98" t="s">
        <v>987</v>
      </c>
      <c r="K2" s="100" t="s">
        <v>596</v>
      </c>
      <c r="L2" s="94" t="s">
        <v>764</v>
      </c>
      <c r="M2" s="94" t="s">
        <v>522</v>
      </c>
      <c r="N2" s="94" t="s">
        <v>523</v>
      </c>
    </row>
    <row r="3">
      <c r="A3" s="137">
        <v>42606.8020833333</v>
      </c>
      <c r="B3" s="105">
        <v>0.0104166666666667</v>
      </c>
      <c r="C3" s="0" t="s">
        <v>6</v>
      </c>
      <c r="D3" s="0" t="s">
        <v>89</v>
      </c>
      <c r="E3" s="0" t="s">
        <v>968</v>
      </c>
      <c r="F3" s="0" t="s">
        <v>988</v>
      </c>
      <c r="J3" s="97">
        <v>42606.7927933218</v>
      </c>
      <c r="K3" s="99">
        <v>2</v>
      </c>
      <c r="L3" s="0">
        <v>7</v>
      </c>
    </row>
    <row r="4">
      <c r="A4" s="137">
        <v>42606.8020833333</v>
      </c>
      <c r="B4" s="105">
        <v>0.0104166666666667</v>
      </c>
      <c r="C4" s="0" t="s">
        <v>6</v>
      </c>
      <c r="D4" s="0" t="s">
        <v>7</v>
      </c>
      <c r="E4" s="0" t="s">
        <v>968</v>
      </c>
      <c r="F4" s="0" t="s">
        <v>988</v>
      </c>
      <c r="J4" s="97">
        <v>42606.7927897338</v>
      </c>
      <c r="K4" s="99">
        <v>1</v>
      </c>
      <c r="L4" s="0">
        <v>8</v>
      </c>
    </row>
    <row r="5">
      <c r="A5" s="137">
        <v>42606.8020833333</v>
      </c>
      <c r="B5" s="105">
        <v>0.0104166666666667</v>
      </c>
      <c r="C5" s="0" t="s">
        <v>6</v>
      </c>
      <c r="D5" s="0" t="s">
        <v>89</v>
      </c>
      <c r="E5" s="0" t="s">
        <v>968</v>
      </c>
      <c r="F5" s="0" t="s">
        <v>989</v>
      </c>
      <c r="G5" s="0" t="s">
        <v>990</v>
      </c>
      <c r="J5" s="97">
        <v>42606.7980784838</v>
      </c>
      <c r="K5" s="99">
        <v>52</v>
      </c>
      <c r="L5" s="0">
        <v>5</v>
      </c>
    </row>
    <row r="6">
      <c r="A6" s="137">
        <v>42606.8020833333</v>
      </c>
      <c r="B6" s="105">
        <v>0.0104166666666667</v>
      </c>
      <c r="C6" s="0" t="s">
        <v>6</v>
      </c>
      <c r="D6" s="0" t="s">
        <v>7</v>
      </c>
      <c r="E6" s="0" t="s">
        <v>968</v>
      </c>
      <c r="F6" s="0" t="s">
        <v>989</v>
      </c>
      <c r="G6" s="0" t="s">
        <v>990</v>
      </c>
      <c r="J6" s="97">
        <v>42606.7980348727</v>
      </c>
      <c r="K6" s="99">
        <v>54</v>
      </c>
      <c r="L6" s="0">
        <v>6</v>
      </c>
    </row>
    <row r="7">
      <c r="A7" s="137">
        <v>42606.8020833333</v>
      </c>
      <c r="B7" s="105">
        <v>0.0104166666666667</v>
      </c>
      <c r="C7" s="0" t="s">
        <v>6</v>
      </c>
      <c r="D7" s="0" t="s">
        <v>7</v>
      </c>
      <c r="E7" s="0" t="s">
        <v>968</v>
      </c>
      <c r="F7" s="0" t="s">
        <v>991</v>
      </c>
      <c r="J7" s="97">
        <v>42606.7980937616</v>
      </c>
      <c r="K7" s="99">
        <v>14</v>
      </c>
      <c r="L7" s="0">
        <v>3</v>
      </c>
    </row>
    <row r="8">
      <c r="A8" s="137">
        <v>42606.8020833333</v>
      </c>
      <c r="B8" s="105">
        <v>0.0104166666666667</v>
      </c>
      <c r="C8" s="0" t="s">
        <v>6</v>
      </c>
      <c r="D8" s="0" t="s">
        <v>89</v>
      </c>
      <c r="E8" s="0" t="s">
        <v>968</v>
      </c>
      <c r="F8" s="0" t="s">
        <v>991</v>
      </c>
      <c r="J8" s="97">
        <v>42606.7980929745</v>
      </c>
      <c r="K8" s="99">
        <v>11</v>
      </c>
      <c r="L8" s="0">
        <v>4</v>
      </c>
    </row>
    <row r="9">
      <c r="A9" s="137">
        <v>42606.7916666667</v>
      </c>
      <c r="B9" s="105">
        <v>0.0104166666666667</v>
      </c>
      <c r="C9" s="0" t="s">
        <v>6</v>
      </c>
      <c r="D9" s="0" t="s">
        <v>7</v>
      </c>
      <c r="E9" s="0" t="s">
        <v>968</v>
      </c>
      <c r="F9" s="0" t="s">
        <v>989</v>
      </c>
      <c r="G9" s="0" t="s">
        <v>990</v>
      </c>
      <c r="J9" s="97">
        <v>42606.7915535417</v>
      </c>
      <c r="K9" s="99">
        <v>81</v>
      </c>
      <c r="L9" s="0">
        <v>9</v>
      </c>
    </row>
    <row r="10">
      <c r="A10" s="137">
        <v>42606.7916666667</v>
      </c>
      <c r="B10" s="105">
        <v>0.0104166666666667</v>
      </c>
      <c r="C10" s="0" t="s">
        <v>6</v>
      </c>
      <c r="D10" s="0" t="s">
        <v>89</v>
      </c>
      <c r="E10" s="0" t="s">
        <v>968</v>
      </c>
      <c r="F10" s="0" t="s">
        <v>989</v>
      </c>
      <c r="G10" s="0" t="s">
        <v>990</v>
      </c>
      <c r="J10" s="97">
        <v>42606.7913655208</v>
      </c>
      <c r="K10" s="99">
        <v>36</v>
      </c>
      <c r="L10" s="0">
        <v>10</v>
      </c>
    </row>
    <row r="11">
      <c r="A11" s="137">
        <v>42606.7916666667</v>
      </c>
      <c r="B11" s="105">
        <v>0.0104166666666667</v>
      </c>
      <c r="C11" s="0" t="s">
        <v>6</v>
      </c>
      <c r="D11" s="0" t="s">
        <v>7</v>
      </c>
      <c r="E11" s="0" t="s">
        <v>968</v>
      </c>
      <c r="F11" s="0" t="s">
        <v>991</v>
      </c>
      <c r="J11" s="97">
        <v>42606.7901332292</v>
      </c>
      <c r="K11" s="99">
        <v>8</v>
      </c>
      <c r="L11" s="0">
        <v>11</v>
      </c>
    </row>
    <row r="12">
      <c r="A12" s="137">
        <v>42606.7916666667</v>
      </c>
      <c r="B12" s="105">
        <v>0.0104166666666667</v>
      </c>
      <c r="C12" s="0" t="s">
        <v>6</v>
      </c>
      <c r="D12" s="0" t="s">
        <v>89</v>
      </c>
      <c r="E12" s="0" t="s">
        <v>968</v>
      </c>
      <c r="F12" s="0" t="s">
        <v>991</v>
      </c>
      <c r="J12" s="97">
        <v>42606.7901324421</v>
      </c>
      <c r="K12" s="99">
        <v>7</v>
      </c>
      <c r="L12" s="0">
        <v>12</v>
      </c>
    </row>
    <row r="13">
      <c r="A13" s="137">
        <v>42606.78125</v>
      </c>
      <c r="B13" s="105">
        <v>0.0104166666666667</v>
      </c>
      <c r="C13" s="0" t="s">
        <v>6</v>
      </c>
      <c r="D13" s="0" t="s">
        <v>7</v>
      </c>
      <c r="E13" s="0" t="s">
        <v>968</v>
      </c>
      <c r="F13" s="0" t="s">
        <v>989</v>
      </c>
      <c r="G13" s="0" t="s">
        <v>990</v>
      </c>
      <c r="J13" s="97">
        <v>42606.7811367245</v>
      </c>
      <c r="K13" s="99">
        <v>69</v>
      </c>
      <c r="L13" s="0">
        <v>13</v>
      </c>
    </row>
    <row r="14">
      <c r="A14" s="137">
        <v>42606.78125</v>
      </c>
      <c r="B14" s="105">
        <v>0.0104166666666667</v>
      </c>
      <c r="C14" s="0" t="s">
        <v>6</v>
      </c>
      <c r="D14" s="0" t="s">
        <v>89</v>
      </c>
      <c r="E14" s="0" t="s">
        <v>968</v>
      </c>
      <c r="F14" s="0" t="s">
        <v>989</v>
      </c>
      <c r="G14" s="0" t="s">
        <v>990</v>
      </c>
      <c r="J14" s="97">
        <v>42606.7809488542</v>
      </c>
      <c r="K14" s="99">
        <v>58</v>
      </c>
      <c r="L14" s="0">
        <v>14</v>
      </c>
    </row>
    <row r="15">
      <c r="A15" s="137">
        <v>42606.7708333333</v>
      </c>
      <c r="B15" s="105">
        <v>0.0104166666666667</v>
      </c>
      <c r="C15" s="0" t="s">
        <v>6</v>
      </c>
      <c r="D15" s="0" t="s">
        <v>89</v>
      </c>
      <c r="E15" s="0" t="s">
        <v>968</v>
      </c>
      <c r="F15" s="0" t="s">
        <v>989</v>
      </c>
      <c r="G15" s="0" t="s">
        <v>990</v>
      </c>
      <c r="J15" s="97">
        <v>42606.7707636806</v>
      </c>
      <c r="K15" s="99">
        <v>50</v>
      </c>
      <c r="L15" s="0">
        <v>15</v>
      </c>
    </row>
    <row r="16">
      <c r="A16" s="137">
        <v>42606.7708333333</v>
      </c>
      <c r="B16" s="105">
        <v>0.0104166666666667</v>
      </c>
      <c r="C16" s="0" t="s">
        <v>6</v>
      </c>
      <c r="D16" s="0" t="s">
        <v>7</v>
      </c>
      <c r="E16" s="0" t="s">
        <v>968</v>
      </c>
      <c r="F16" s="0" t="s">
        <v>989</v>
      </c>
      <c r="G16" s="0" t="s">
        <v>990</v>
      </c>
      <c r="J16" s="97">
        <v>42606.7707200694</v>
      </c>
      <c r="K16" s="99">
        <v>77</v>
      </c>
      <c r="L16" s="0">
        <v>16</v>
      </c>
    </row>
    <row r="17">
      <c r="A17" s="137">
        <v>42606.7604166667</v>
      </c>
      <c r="B17" s="105">
        <v>0.0104166666666667</v>
      </c>
      <c r="C17" s="0" t="s">
        <v>6</v>
      </c>
      <c r="D17" s="0" t="s">
        <v>7</v>
      </c>
      <c r="E17" s="0" t="s">
        <v>968</v>
      </c>
      <c r="F17" s="0" t="s">
        <v>988</v>
      </c>
      <c r="J17" s="97">
        <v>42606.751122963</v>
      </c>
      <c r="K17" s="99">
        <v>14</v>
      </c>
      <c r="L17" s="0">
        <v>19</v>
      </c>
    </row>
    <row r="18">
      <c r="A18" s="137">
        <v>42606.7604166667</v>
      </c>
      <c r="B18" s="105">
        <v>0.0104166666666667</v>
      </c>
      <c r="C18" s="0" t="s">
        <v>6</v>
      </c>
      <c r="D18" s="0" t="s">
        <v>89</v>
      </c>
      <c r="E18" s="0" t="s">
        <v>968</v>
      </c>
      <c r="F18" s="0" t="s">
        <v>988</v>
      </c>
      <c r="J18" s="97">
        <v>42606.7511146528</v>
      </c>
      <c r="K18" s="99">
        <v>3</v>
      </c>
      <c r="L18" s="0">
        <v>20</v>
      </c>
    </row>
    <row r="19">
      <c r="A19" s="137">
        <v>42606.7604166667</v>
      </c>
      <c r="B19" s="105">
        <v>0.0104166666666667</v>
      </c>
      <c r="C19" s="0" t="s">
        <v>6</v>
      </c>
      <c r="D19" s="0" t="s">
        <v>89</v>
      </c>
      <c r="E19" s="0" t="s">
        <v>968</v>
      </c>
      <c r="F19" s="0" t="s">
        <v>989</v>
      </c>
      <c r="G19" s="0" t="s">
        <v>990</v>
      </c>
      <c r="J19" s="97">
        <v>42606.7603470139</v>
      </c>
      <c r="K19" s="99">
        <v>42</v>
      </c>
      <c r="L19" s="0">
        <v>17</v>
      </c>
    </row>
    <row r="20">
      <c r="A20" s="137">
        <v>42606.7604166667</v>
      </c>
      <c r="B20" s="105">
        <v>0.0104166666666667</v>
      </c>
      <c r="C20" s="0" t="s">
        <v>6</v>
      </c>
      <c r="D20" s="0" t="s">
        <v>7</v>
      </c>
      <c r="E20" s="0" t="s">
        <v>968</v>
      </c>
      <c r="F20" s="0" t="s">
        <v>989</v>
      </c>
      <c r="G20" s="0" t="s">
        <v>990</v>
      </c>
      <c r="J20" s="97">
        <v>42606.7597248264</v>
      </c>
      <c r="K20" s="99">
        <v>77</v>
      </c>
      <c r="L20" s="0">
        <v>18</v>
      </c>
    </row>
    <row r="21">
      <c r="A21" s="137">
        <v>42606.75</v>
      </c>
      <c r="B21" s="105">
        <v>0.0104166666666667</v>
      </c>
      <c r="C21" s="0" t="s">
        <v>6</v>
      </c>
      <c r="D21" s="0" t="s">
        <v>89</v>
      </c>
      <c r="E21" s="0" t="s">
        <v>968</v>
      </c>
      <c r="F21" s="0" t="s">
        <v>989</v>
      </c>
      <c r="G21" s="0" t="s">
        <v>990</v>
      </c>
      <c r="J21" s="97">
        <v>42606.7499303356</v>
      </c>
      <c r="K21" s="99">
        <v>63</v>
      </c>
      <c r="L21" s="0">
        <v>21</v>
      </c>
    </row>
    <row r="22">
      <c r="A22" s="137">
        <v>42606.75</v>
      </c>
      <c r="B22" s="105">
        <v>0.0104166666666667</v>
      </c>
      <c r="C22" s="0" t="s">
        <v>6</v>
      </c>
      <c r="D22" s="0" t="s">
        <v>7</v>
      </c>
      <c r="E22" s="0" t="s">
        <v>968</v>
      </c>
      <c r="F22" s="0" t="s">
        <v>989</v>
      </c>
      <c r="G22" s="0" t="s">
        <v>990</v>
      </c>
      <c r="J22" s="97">
        <v>42606.7498867245</v>
      </c>
      <c r="K22" s="99">
        <v>73</v>
      </c>
      <c r="L22" s="0">
        <v>22</v>
      </c>
    </row>
    <row r="23">
      <c r="A23" s="137">
        <v>42606.7395833333</v>
      </c>
      <c r="B23" s="105">
        <v>0.0104166666666667</v>
      </c>
      <c r="C23" s="0" t="s">
        <v>6</v>
      </c>
      <c r="D23" s="0" t="s">
        <v>89</v>
      </c>
      <c r="E23" s="0" t="s">
        <v>968</v>
      </c>
      <c r="F23" s="0" t="s">
        <v>989</v>
      </c>
      <c r="G23" s="0" t="s">
        <v>990</v>
      </c>
      <c r="J23" s="97">
        <v>42606.73951375</v>
      </c>
      <c r="K23" s="99">
        <v>37</v>
      </c>
      <c r="L23" s="0">
        <v>23</v>
      </c>
    </row>
    <row r="24">
      <c r="A24" s="137">
        <v>42606.7395833333</v>
      </c>
      <c r="B24" s="105">
        <v>0.0104166666666667</v>
      </c>
      <c r="C24" s="0" t="s">
        <v>6</v>
      </c>
      <c r="D24" s="0" t="s">
        <v>7</v>
      </c>
      <c r="E24" s="0" t="s">
        <v>968</v>
      </c>
      <c r="F24" s="0" t="s">
        <v>989</v>
      </c>
      <c r="G24" s="0" t="s">
        <v>990</v>
      </c>
      <c r="J24" s="97">
        <v>42606.7394701852</v>
      </c>
      <c r="K24" s="99">
        <v>66</v>
      </c>
      <c r="L24" s="0">
        <v>24</v>
      </c>
    </row>
    <row r="25">
      <c r="A25" s="137">
        <v>42606.7291666667</v>
      </c>
      <c r="B25" s="105">
        <v>0.0104166666666667</v>
      </c>
      <c r="C25" s="0" t="s">
        <v>6</v>
      </c>
      <c r="D25" s="0" t="s">
        <v>89</v>
      </c>
      <c r="E25" s="0" t="s">
        <v>968</v>
      </c>
      <c r="F25" s="0" t="s">
        <v>988</v>
      </c>
      <c r="J25" s="97">
        <v>42606.7227193981</v>
      </c>
      <c r="K25" s="99">
        <v>7</v>
      </c>
      <c r="L25" s="0">
        <v>27</v>
      </c>
    </row>
    <row r="26">
      <c r="A26" s="137">
        <v>42606.7291666667</v>
      </c>
      <c r="B26" s="105">
        <v>0.0104166666666667</v>
      </c>
      <c r="C26" s="0" t="s">
        <v>6</v>
      </c>
      <c r="D26" s="0" t="s">
        <v>89</v>
      </c>
      <c r="E26" s="0" t="s">
        <v>968</v>
      </c>
      <c r="F26" s="0" t="s">
        <v>989</v>
      </c>
      <c r="G26" s="0" t="s">
        <v>990</v>
      </c>
      <c r="J26" s="97">
        <v>42606.7290970023</v>
      </c>
      <c r="K26" s="99">
        <v>39</v>
      </c>
      <c r="L26" s="0">
        <v>25</v>
      </c>
    </row>
    <row r="27">
      <c r="A27" s="137">
        <v>42606.7291666667</v>
      </c>
      <c r="B27" s="105">
        <v>0.0104166666666667</v>
      </c>
      <c r="C27" s="0" t="s">
        <v>6</v>
      </c>
      <c r="D27" s="0" t="s">
        <v>7</v>
      </c>
      <c r="E27" s="0" t="s">
        <v>968</v>
      </c>
      <c r="F27" s="0" t="s">
        <v>989</v>
      </c>
      <c r="G27" s="0" t="s">
        <v>990</v>
      </c>
      <c r="J27" s="97">
        <v>42606.7290535764</v>
      </c>
      <c r="K27" s="99">
        <v>68</v>
      </c>
      <c r="L27" s="0">
        <v>26</v>
      </c>
    </row>
    <row r="28">
      <c r="A28" s="137">
        <v>42606.71875</v>
      </c>
      <c r="B28" s="105">
        <v>0.0104166666666667</v>
      </c>
      <c r="C28" s="0" t="s">
        <v>6</v>
      </c>
      <c r="D28" s="0" t="s">
        <v>89</v>
      </c>
      <c r="E28" s="0" t="s">
        <v>968</v>
      </c>
      <c r="F28" s="0" t="s">
        <v>988</v>
      </c>
      <c r="J28" s="97">
        <v>42606.7094589931</v>
      </c>
      <c r="K28" s="99">
        <v>13</v>
      </c>
      <c r="L28" s="0">
        <v>30</v>
      </c>
    </row>
    <row r="29">
      <c r="A29" s="137">
        <v>42606.71875</v>
      </c>
      <c r="B29" s="105">
        <v>0.0104166666666667</v>
      </c>
      <c r="C29" s="0" t="s">
        <v>6</v>
      </c>
      <c r="D29" s="0" t="s">
        <v>7</v>
      </c>
      <c r="E29" s="0" t="s">
        <v>968</v>
      </c>
      <c r="F29" s="0" t="s">
        <v>988</v>
      </c>
      <c r="J29" s="97">
        <v>42606.7094488542</v>
      </c>
      <c r="K29" s="99">
        <v>1</v>
      </c>
      <c r="L29" s="0">
        <v>31</v>
      </c>
    </row>
    <row r="30">
      <c r="A30" s="137">
        <v>42606.71875</v>
      </c>
      <c r="B30" s="105">
        <v>0.0104166666666667</v>
      </c>
      <c r="C30" s="0" t="s">
        <v>6</v>
      </c>
      <c r="D30" s="0" t="s">
        <v>89</v>
      </c>
      <c r="E30" s="0" t="s">
        <v>968</v>
      </c>
      <c r="F30" s="0" t="s">
        <v>989</v>
      </c>
      <c r="G30" s="0" t="s">
        <v>990</v>
      </c>
      <c r="J30" s="97">
        <v>42606.7186803472</v>
      </c>
      <c r="K30" s="99">
        <v>43</v>
      </c>
      <c r="L30" s="0">
        <v>28</v>
      </c>
    </row>
    <row r="31">
      <c r="A31" s="137">
        <v>42606.71875</v>
      </c>
      <c r="B31" s="105">
        <v>0.0104166666666667</v>
      </c>
      <c r="C31" s="0" t="s">
        <v>6</v>
      </c>
      <c r="D31" s="0" t="s">
        <v>7</v>
      </c>
      <c r="E31" s="0" t="s">
        <v>968</v>
      </c>
      <c r="F31" s="0" t="s">
        <v>989</v>
      </c>
      <c r="G31" s="0" t="s">
        <v>990</v>
      </c>
      <c r="J31" s="97">
        <v>42606.7186368981</v>
      </c>
      <c r="K31" s="99">
        <v>73</v>
      </c>
      <c r="L31" s="0">
        <v>29</v>
      </c>
    </row>
    <row r="32">
      <c r="A32" s="137">
        <v>42606.7083333333</v>
      </c>
      <c r="B32" s="105">
        <v>0.0104166666666667</v>
      </c>
      <c r="C32" s="0" t="s">
        <v>6</v>
      </c>
      <c r="D32" s="0" t="s">
        <v>7</v>
      </c>
      <c r="E32" s="0" t="s">
        <v>968</v>
      </c>
      <c r="F32" s="0" t="s">
        <v>989</v>
      </c>
      <c r="G32" s="0" t="s">
        <v>990</v>
      </c>
      <c r="J32" s="97">
        <v>42606.7082200694</v>
      </c>
      <c r="K32" s="99">
        <v>71</v>
      </c>
      <c r="L32" s="0">
        <v>32</v>
      </c>
    </row>
    <row r="33">
      <c r="A33" s="137">
        <v>42606.7083333333</v>
      </c>
      <c r="B33" s="105">
        <v>0.0104166666666667</v>
      </c>
      <c r="C33" s="0" t="s">
        <v>6</v>
      </c>
      <c r="D33" s="0" t="s">
        <v>89</v>
      </c>
      <c r="E33" s="0" t="s">
        <v>968</v>
      </c>
      <c r="F33" s="0" t="s">
        <v>989</v>
      </c>
      <c r="G33" s="0" t="s">
        <v>990</v>
      </c>
      <c r="J33" s="97">
        <v>42606.7081479282</v>
      </c>
      <c r="K33" s="99">
        <v>26</v>
      </c>
      <c r="L33" s="0">
        <v>33</v>
      </c>
    </row>
    <row r="34">
      <c r="A34" s="137">
        <v>42606.6979166667</v>
      </c>
      <c r="B34" s="105">
        <v>0.0104166666666667</v>
      </c>
      <c r="C34" s="0" t="s">
        <v>6</v>
      </c>
      <c r="D34" s="0" t="s">
        <v>7</v>
      </c>
      <c r="E34" s="0" t="s">
        <v>968</v>
      </c>
      <c r="F34" s="0" t="s">
        <v>989</v>
      </c>
      <c r="G34" s="0" t="s">
        <v>990</v>
      </c>
      <c r="J34" s="97">
        <v>42606.6978034144</v>
      </c>
      <c r="K34" s="99">
        <v>72</v>
      </c>
      <c r="L34" s="0">
        <v>34</v>
      </c>
    </row>
    <row r="35">
      <c r="A35" s="137">
        <v>42606.6979166667</v>
      </c>
      <c r="B35" s="105">
        <v>0.0104166666666667</v>
      </c>
      <c r="C35" s="0" t="s">
        <v>6</v>
      </c>
      <c r="D35" s="0" t="s">
        <v>89</v>
      </c>
      <c r="E35" s="0" t="s">
        <v>968</v>
      </c>
      <c r="F35" s="0" t="s">
        <v>989</v>
      </c>
      <c r="G35" s="0" t="s">
        <v>990</v>
      </c>
      <c r="J35" s="97">
        <v>42606.6953007407</v>
      </c>
      <c r="K35" s="99">
        <v>20</v>
      </c>
      <c r="L35" s="0">
        <v>35</v>
      </c>
    </row>
    <row r="36">
      <c r="A36" s="137">
        <v>42606.6875</v>
      </c>
      <c r="B36" s="105">
        <v>0.0104166666666667</v>
      </c>
      <c r="C36" s="0" t="s">
        <v>6</v>
      </c>
      <c r="D36" s="0" t="s">
        <v>7</v>
      </c>
      <c r="E36" s="0" t="s">
        <v>968</v>
      </c>
      <c r="F36" s="0" t="s">
        <v>988</v>
      </c>
      <c r="J36" s="97">
        <v>42606.6810158681</v>
      </c>
      <c r="K36" s="99">
        <v>2</v>
      </c>
      <c r="L36" s="0">
        <v>38</v>
      </c>
    </row>
    <row r="37">
      <c r="A37" s="137">
        <v>42606.6875</v>
      </c>
      <c r="B37" s="105">
        <v>0.0104166666666667</v>
      </c>
      <c r="C37" s="0" t="s">
        <v>6</v>
      </c>
      <c r="D37" s="0" t="s">
        <v>89</v>
      </c>
      <c r="E37" s="0" t="s">
        <v>968</v>
      </c>
      <c r="F37" s="0" t="s">
        <v>989</v>
      </c>
      <c r="G37" s="0" t="s">
        <v>990</v>
      </c>
      <c r="J37" s="97">
        <v>42606.6874303356</v>
      </c>
      <c r="K37" s="99">
        <v>72</v>
      </c>
      <c r="L37" s="0">
        <v>36</v>
      </c>
    </row>
    <row r="38">
      <c r="A38" s="137">
        <v>42606.6875</v>
      </c>
      <c r="B38" s="105">
        <v>0.0104166666666667</v>
      </c>
      <c r="C38" s="0" t="s">
        <v>6</v>
      </c>
      <c r="D38" s="0" t="s">
        <v>7</v>
      </c>
      <c r="E38" s="0" t="s">
        <v>968</v>
      </c>
      <c r="F38" s="0" t="s">
        <v>989</v>
      </c>
      <c r="G38" s="0" t="s">
        <v>990</v>
      </c>
      <c r="J38" s="97">
        <v>42606.6873868634</v>
      </c>
      <c r="K38" s="99">
        <v>68</v>
      </c>
      <c r="L38" s="0">
        <v>37</v>
      </c>
    </row>
    <row r="39">
      <c r="A39" s="137">
        <v>42606.6770833333</v>
      </c>
      <c r="B39" s="105">
        <v>0.0104166666666667</v>
      </c>
      <c r="C39" s="0" t="s">
        <v>6</v>
      </c>
      <c r="D39" s="0" t="s">
        <v>89</v>
      </c>
      <c r="E39" s="0" t="s">
        <v>968</v>
      </c>
      <c r="F39" s="0" t="s">
        <v>988</v>
      </c>
      <c r="J39" s="97">
        <v>42606.6677907292</v>
      </c>
      <c r="K39" s="99">
        <v>2</v>
      </c>
      <c r="L39" s="0">
        <v>41</v>
      </c>
    </row>
    <row r="40">
      <c r="A40" s="137">
        <v>42606.6770833333</v>
      </c>
      <c r="B40" s="105">
        <v>0.0104166666666667</v>
      </c>
      <c r="C40" s="0" t="s">
        <v>6</v>
      </c>
      <c r="D40" s="0" t="s">
        <v>7</v>
      </c>
      <c r="E40" s="0" t="s">
        <v>968</v>
      </c>
      <c r="F40" s="0" t="s">
        <v>988</v>
      </c>
      <c r="J40" s="97">
        <v>42606.6677870255</v>
      </c>
      <c r="K40" s="99">
        <v>1</v>
      </c>
      <c r="L40" s="0">
        <v>42</v>
      </c>
    </row>
    <row r="41">
      <c r="A41" s="137">
        <v>42606.6770833333</v>
      </c>
      <c r="B41" s="105">
        <v>0.0104166666666667</v>
      </c>
      <c r="C41" s="0" t="s">
        <v>6</v>
      </c>
      <c r="D41" s="0" t="s">
        <v>89</v>
      </c>
      <c r="E41" s="0" t="s">
        <v>968</v>
      </c>
      <c r="F41" s="0" t="s">
        <v>989</v>
      </c>
      <c r="G41" s="0" t="s">
        <v>990</v>
      </c>
      <c r="J41" s="97">
        <v>42606.6770136806</v>
      </c>
      <c r="K41" s="99">
        <v>51</v>
      </c>
      <c r="L41" s="0">
        <v>39</v>
      </c>
    </row>
    <row r="42">
      <c r="A42" s="137">
        <v>42606.6770833333</v>
      </c>
      <c r="B42" s="105">
        <v>0.0104166666666667</v>
      </c>
      <c r="C42" s="0" t="s">
        <v>6</v>
      </c>
      <c r="D42" s="0" t="s">
        <v>7</v>
      </c>
      <c r="E42" s="0" t="s">
        <v>968</v>
      </c>
      <c r="F42" s="0" t="s">
        <v>989</v>
      </c>
      <c r="G42" s="0" t="s">
        <v>990</v>
      </c>
      <c r="J42" s="97">
        <v>42606.676970081</v>
      </c>
      <c r="K42" s="99">
        <v>60</v>
      </c>
      <c r="L42" s="0">
        <v>40</v>
      </c>
    </row>
    <row r="43">
      <c r="A43" s="137">
        <v>42606.6666666667</v>
      </c>
      <c r="B43" s="105">
        <v>0.0104166666666667</v>
      </c>
      <c r="C43" s="0" t="s">
        <v>6</v>
      </c>
      <c r="D43" s="0" t="s">
        <v>7</v>
      </c>
      <c r="E43" s="0" t="s">
        <v>968</v>
      </c>
      <c r="F43" s="0" t="s">
        <v>989</v>
      </c>
      <c r="G43" s="0" t="s">
        <v>990</v>
      </c>
      <c r="J43" s="97">
        <v>42606.6665534144</v>
      </c>
      <c r="K43" s="99">
        <v>81</v>
      </c>
      <c r="L43" s="0">
        <v>43</v>
      </c>
    </row>
    <row r="44">
      <c r="A44" s="137">
        <v>42606.6666666667</v>
      </c>
      <c r="B44" s="105">
        <v>0.0104166666666667</v>
      </c>
      <c r="C44" s="0" t="s">
        <v>6</v>
      </c>
      <c r="D44" s="0" t="s">
        <v>89</v>
      </c>
      <c r="E44" s="0" t="s">
        <v>968</v>
      </c>
      <c r="F44" s="0" t="s">
        <v>989</v>
      </c>
      <c r="G44" s="0" t="s">
        <v>990</v>
      </c>
      <c r="J44" s="97">
        <v>42606.6664812731</v>
      </c>
      <c r="K44" s="99">
        <v>25</v>
      </c>
      <c r="L44" s="0">
        <v>44</v>
      </c>
    </row>
    <row r="45">
      <c r="A45" s="137">
        <v>42606.65625</v>
      </c>
      <c r="B45" s="105">
        <v>0.0104166666666667</v>
      </c>
      <c r="C45" s="0" t="s">
        <v>6</v>
      </c>
      <c r="D45" s="0" t="s">
        <v>7</v>
      </c>
      <c r="E45" s="0" t="s">
        <v>968</v>
      </c>
      <c r="F45" s="0" t="s">
        <v>989</v>
      </c>
      <c r="G45" s="0" t="s">
        <v>990</v>
      </c>
      <c r="J45" s="97">
        <v>42606.6561368519</v>
      </c>
      <c r="K45" s="99">
        <v>76</v>
      </c>
      <c r="L45" s="0">
        <v>45</v>
      </c>
    </row>
    <row r="46">
      <c r="A46" s="137">
        <v>42606.65625</v>
      </c>
      <c r="B46" s="105">
        <v>0.0104166666666667</v>
      </c>
      <c r="C46" s="0" t="s">
        <v>6</v>
      </c>
      <c r="D46" s="0" t="s">
        <v>89</v>
      </c>
      <c r="E46" s="0" t="s">
        <v>968</v>
      </c>
      <c r="F46" s="0" t="s">
        <v>989</v>
      </c>
      <c r="G46" s="0" t="s">
        <v>990</v>
      </c>
      <c r="J46" s="97">
        <v>42606.6552544213</v>
      </c>
      <c r="K46" s="99">
        <v>40</v>
      </c>
      <c r="L46" s="0">
        <v>46</v>
      </c>
    </row>
    <row r="47">
      <c r="A47" s="137">
        <v>42606.6458333333</v>
      </c>
      <c r="B47" s="105">
        <v>0.0104166666666667</v>
      </c>
      <c r="C47" s="0" t="s">
        <v>6</v>
      </c>
      <c r="D47" s="0" t="s">
        <v>7</v>
      </c>
      <c r="E47" s="0" t="s">
        <v>968</v>
      </c>
      <c r="F47" s="0" t="s">
        <v>989</v>
      </c>
      <c r="G47" s="0" t="s">
        <v>990</v>
      </c>
      <c r="J47" s="97">
        <v>42606.645720081</v>
      </c>
      <c r="K47" s="99">
        <v>73</v>
      </c>
      <c r="L47" s="0">
        <v>47</v>
      </c>
    </row>
    <row r="48">
      <c r="A48" s="137">
        <v>42606.6458333333</v>
      </c>
      <c r="B48" s="105">
        <v>0.0104166666666667</v>
      </c>
      <c r="C48" s="0" t="s">
        <v>6</v>
      </c>
      <c r="D48" s="0" t="s">
        <v>89</v>
      </c>
      <c r="E48" s="0" t="s">
        <v>968</v>
      </c>
      <c r="F48" s="0" t="s">
        <v>989</v>
      </c>
      <c r="G48" s="0" t="s">
        <v>990</v>
      </c>
      <c r="J48" s="97">
        <v>42606.6456479398</v>
      </c>
      <c r="K48" s="99">
        <v>42</v>
      </c>
      <c r="L48" s="0">
        <v>48</v>
      </c>
    </row>
    <row r="49">
      <c r="A49" s="137">
        <v>42606.6354166667</v>
      </c>
      <c r="B49" s="105">
        <v>0.0104166666666667</v>
      </c>
      <c r="C49" s="0" t="s">
        <v>6</v>
      </c>
      <c r="D49" s="0" t="s">
        <v>89</v>
      </c>
      <c r="E49" s="0" t="s">
        <v>968</v>
      </c>
      <c r="F49" s="0" t="s">
        <v>988</v>
      </c>
      <c r="J49" s="97">
        <v>42606.6261916782</v>
      </c>
      <c r="K49" s="99">
        <v>4</v>
      </c>
      <c r="L49" s="0">
        <v>51</v>
      </c>
    </row>
    <row r="50">
      <c r="A50" s="137">
        <v>42606.6354166667</v>
      </c>
      <c r="B50" s="105">
        <v>0.0104166666666667</v>
      </c>
      <c r="C50" s="0" t="s">
        <v>6</v>
      </c>
      <c r="D50" s="0" t="s">
        <v>7</v>
      </c>
      <c r="E50" s="0" t="s">
        <v>968</v>
      </c>
      <c r="F50" s="0" t="s">
        <v>988</v>
      </c>
      <c r="J50" s="97">
        <v>42606.6261193981</v>
      </c>
      <c r="K50" s="99">
        <v>14</v>
      </c>
      <c r="L50" s="0">
        <v>52</v>
      </c>
    </row>
    <row r="51">
      <c r="A51" s="137">
        <v>42606.6354166667</v>
      </c>
      <c r="B51" s="105">
        <v>0.0104166666666667</v>
      </c>
      <c r="C51" s="0" t="s">
        <v>6</v>
      </c>
      <c r="D51" s="0" t="s">
        <v>89</v>
      </c>
      <c r="E51" s="0" t="s">
        <v>968</v>
      </c>
      <c r="F51" s="0" t="s">
        <v>989</v>
      </c>
      <c r="G51" s="0" t="s">
        <v>990</v>
      </c>
      <c r="J51" s="97">
        <v>42606.6353470023</v>
      </c>
      <c r="K51" s="99">
        <v>33</v>
      </c>
      <c r="L51" s="0">
        <v>49</v>
      </c>
    </row>
    <row r="52">
      <c r="A52" s="137">
        <v>42606.6354166667</v>
      </c>
      <c r="B52" s="105">
        <v>0.0104166666666667</v>
      </c>
      <c r="C52" s="0" t="s">
        <v>6</v>
      </c>
      <c r="D52" s="0" t="s">
        <v>7</v>
      </c>
      <c r="E52" s="0" t="s">
        <v>968</v>
      </c>
      <c r="F52" s="0" t="s">
        <v>989</v>
      </c>
      <c r="G52" s="0" t="s">
        <v>990</v>
      </c>
      <c r="J52" s="97">
        <v>42606.6353035417</v>
      </c>
      <c r="K52" s="99">
        <v>61</v>
      </c>
      <c r="L52" s="0">
        <v>50</v>
      </c>
    </row>
    <row r="53">
      <c r="A53" s="137">
        <v>42606.625</v>
      </c>
      <c r="B53" s="105">
        <v>0.0104166666666667</v>
      </c>
      <c r="C53" s="0" t="s">
        <v>6</v>
      </c>
      <c r="D53" s="0" t="s">
        <v>89</v>
      </c>
      <c r="E53" s="0" t="s">
        <v>968</v>
      </c>
      <c r="F53" s="0" t="s">
        <v>989</v>
      </c>
      <c r="G53" s="0" t="s">
        <v>990</v>
      </c>
      <c r="J53" s="97">
        <v>42606.6249303472</v>
      </c>
      <c r="K53" s="99">
        <v>46</v>
      </c>
      <c r="L53" s="0">
        <v>53</v>
      </c>
    </row>
    <row r="54">
      <c r="A54" s="137">
        <v>42606.625</v>
      </c>
      <c r="B54" s="105">
        <v>0.0104166666666667</v>
      </c>
      <c r="C54" s="0" t="s">
        <v>6</v>
      </c>
      <c r="D54" s="0" t="s">
        <v>7</v>
      </c>
      <c r="E54" s="0" t="s">
        <v>968</v>
      </c>
      <c r="F54" s="0" t="s">
        <v>989</v>
      </c>
      <c r="G54" s="0" t="s">
        <v>990</v>
      </c>
      <c r="J54" s="97">
        <v>42606.6247710301</v>
      </c>
      <c r="K54" s="99">
        <v>73</v>
      </c>
      <c r="L54" s="0">
        <v>54</v>
      </c>
    </row>
    <row r="55">
      <c r="A55" s="137">
        <v>42606.6145833333</v>
      </c>
      <c r="B55" s="105">
        <v>0.0104166666666667</v>
      </c>
      <c r="C55" s="0" t="s">
        <v>6</v>
      </c>
      <c r="D55" s="0" t="s">
        <v>7</v>
      </c>
      <c r="E55" s="0" t="s">
        <v>968</v>
      </c>
      <c r="F55" s="0" t="s">
        <v>989</v>
      </c>
      <c r="G55" s="0" t="s">
        <v>990</v>
      </c>
      <c r="J55" s="97">
        <v>42606.6144700694</v>
      </c>
      <c r="K55" s="99">
        <v>73</v>
      </c>
      <c r="L55" s="0">
        <v>55</v>
      </c>
    </row>
    <row r="56">
      <c r="A56" s="137">
        <v>42606.6145833333</v>
      </c>
      <c r="B56" s="105">
        <v>0.0104166666666667</v>
      </c>
      <c r="C56" s="0" t="s">
        <v>6</v>
      </c>
      <c r="D56" s="0" t="s">
        <v>89</v>
      </c>
      <c r="E56" s="0" t="s">
        <v>968</v>
      </c>
      <c r="F56" s="0" t="s">
        <v>989</v>
      </c>
      <c r="G56" s="0" t="s">
        <v>990</v>
      </c>
      <c r="J56" s="97">
        <v>42606.6139349884</v>
      </c>
      <c r="K56" s="99">
        <v>50</v>
      </c>
      <c r="L56" s="0">
        <v>56</v>
      </c>
    </row>
    <row r="57">
      <c r="A57" s="137">
        <v>42606.6041666667</v>
      </c>
      <c r="B57" s="105">
        <v>0.0104166666666667</v>
      </c>
      <c r="C57" s="0" t="s">
        <v>6</v>
      </c>
      <c r="D57" s="0" t="s">
        <v>89</v>
      </c>
      <c r="E57" s="0" t="s">
        <v>968</v>
      </c>
      <c r="F57" s="0" t="s">
        <v>988</v>
      </c>
      <c r="J57" s="97">
        <v>42606.5977196991</v>
      </c>
      <c r="K57" s="99">
        <v>7</v>
      </c>
      <c r="L57" s="0">
        <v>59</v>
      </c>
    </row>
    <row r="58">
      <c r="A58" s="137">
        <v>42606.6041666667</v>
      </c>
      <c r="B58" s="105">
        <v>0.0104166666666667</v>
      </c>
      <c r="C58" s="0" t="s">
        <v>6</v>
      </c>
      <c r="D58" s="0" t="s">
        <v>89</v>
      </c>
      <c r="E58" s="0" t="s">
        <v>968</v>
      </c>
      <c r="F58" s="0" t="s">
        <v>989</v>
      </c>
      <c r="G58" s="0" t="s">
        <v>990</v>
      </c>
      <c r="J58" s="97">
        <v>42606.6040970023</v>
      </c>
      <c r="K58" s="99">
        <v>37</v>
      </c>
      <c r="L58" s="0">
        <v>57</v>
      </c>
    </row>
    <row r="59">
      <c r="A59" s="137">
        <v>42606.6041666667</v>
      </c>
      <c r="B59" s="105">
        <v>0.0104166666666667</v>
      </c>
      <c r="C59" s="0" t="s">
        <v>6</v>
      </c>
      <c r="D59" s="0" t="s">
        <v>7</v>
      </c>
      <c r="E59" s="0" t="s">
        <v>968</v>
      </c>
      <c r="F59" s="0" t="s">
        <v>989</v>
      </c>
      <c r="G59" s="0" t="s">
        <v>990</v>
      </c>
      <c r="J59" s="97">
        <v>42606.6040535069</v>
      </c>
      <c r="K59" s="99">
        <v>67</v>
      </c>
      <c r="L59" s="0">
        <v>58</v>
      </c>
    </row>
    <row r="60">
      <c r="A60" s="137">
        <v>42606.59375</v>
      </c>
      <c r="B60" s="105">
        <v>0.0104166666666667</v>
      </c>
      <c r="C60" s="0" t="s">
        <v>6</v>
      </c>
      <c r="D60" s="0" t="s">
        <v>89</v>
      </c>
      <c r="E60" s="0" t="s">
        <v>968</v>
      </c>
      <c r="F60" s="0" t="s">
        <v>988</v>
      </c>
      <c r="J60" s="97">
        <v>42606.5845564931</v>
      </c>
      <c r="K60" s="99">
        <v>13</v>
      </c>
      <c r="L60" s="0">
        <v>64</v>
      </c>
    </row>
    <row r="61">
      <c r="A61" s="137">
        <v>42606.59375</v>
      </c>
      <c r="B61" s="105">
        <v>0.0104166666666667</v>
      </c>
      <c r="C61" s="0" t="s">
        <v>6</v>
      </c>
      <c r="D61" s="0" t="s">
        <v>7</v>
      </c>
      <c r="E61" s="0" t="s">
        <v>968</v>
      </c>
      <c r="F61" s="0" t="s">
        <v>988</v>
      </c>
      <c r="J61" s="97">
        <v>42606.5844485185</v>
      </c>
      <c r="K61" s="99">
        <v>1</v>
      </c>
      <c r="L61" s="0">
        <v>65</v>
      </c>
    </row>
    <row r="62">
      <c r="A62" s="137">
        <v>42606.59375</v>
      </c>
      <c r="B62" s="105">
        <v>0.0104166666666667</v>
      </c>
      <c r="C62" s="0" t="s">
        <v>6</v>
      </c>
      <c r="D62" s="0" t="s">
        <v>89</v>
      </c>
      <c r="E62" s="0" t="s">
        <v>968</v>
      </c>
      <c r="F62" s="0" t="s">
        <v>989</v>
      </c>
      <c r="G62" s="0" t="s">
        <v>990</v>
      </c>
      <c r="J62" s="97">
        <v>42606.5936803472</v>
      </c>
      <c r="K62" s="99">
        <v>60</v>
      </c>
      <c r="L62" s="0">
        <v>60</v>
      </c>
    </row>
    <row r="63">
      <c r="A63" s="137">
        <v>42606.59375</v>
      </c>
      <c r="B63" s="105">
        <v>0.0104166666666667</v>
      </c>
      <c r="C63" s="0" t="s">
        <v>6</v>
      </c>
      <c r="D63" s="0" t="s">
        <v>7</v>
      </c>
      <c r="E63" s="0" t="s">
        <v>968</v>
      </c>
      <c r="F63" s="0" t="s">
        <v>989</v>
      </c>
      <c r="G63" s="0" t="s">
        <v>990</v>
      </c>
      <c r="J63" s="97">
        <v>42606.5935211574</v>
      </c>
      <c r="K63" s="99">
        <v>65</v>
      </c>
      <c r="L63" s="0">
        <v>61</v>
      </c>
    </row>
    <row r="64">
      <c r="A64" s="137">
        <v>42606.59375</v>
      </c>
      <c r="B64" s="105">
        <v>0.0104166666666667</v>
      </c>
      <c r="C64" s="0" t="s">
        <v>6</v>
      </c>
      <c r="D64" s="0" t="s">
        <v>7</v>
      </c>
      <c r="E64" s="0" t="s">
        <v>968</v>
      </c>
      <c r="F64" s="0" t="s">
        <v>991</v>
      </c>
      <c r="J64" s="97">
        <v>42606.5891379514</v>
      </c>
      <c r="K64" s="99">
        <v>3</v>
      </c>
      <c r="L64" s="0">
        <v>62</v>
      </c>
    </row>
    <row r="65">
      <c r="A65" s="137">
        <v>42606.59375</v>
      </c>
      <c r="B65" s="105">
        <v>0.0104166666666667</v>
      </c>
      <c r="C65" s="0" t="s">
        <v>6</v>
      </c>
      <c r="D65" s="0" t="s">
        <v>89</v>
      </c>
      <c r="E65" s="0" t="s">
        <v>968</v>
      </c>
      <c r="F65" s="0" t="s">
        <v>991</v>
      </c>
      <c r="J65" s="97">
        <v>42606.5891076042</v>
      </c>
      <c r="K65" s="99">
        <v>1</v>
      </c>
      <c r="L65" s="0">
        <v>63</v>
      </c>
    </row>
    <row r="66">
      <c r="A66" s="137">
        <v>42606.5833333333</v>
      </c>
      <c r="B66" s="105">
        <v>0.0104166666666667</v>
      </c>
      <c r="C66" s="0" t="s">
        <v>6</v>
      </c>
      <c r="D66" s="0" t="s">
        <v>89</v>
      </c>
      <c r="E66" s="0" t="s">
        <v>968</v>
      </c>
      <c r="F66" s="0" t="s">
        <v>989</v>
      </c>
      <c r="G66" s="0" t="s">
        <v>990</v>
      </c>
      <c r="J66" s="97">
        <v>42606.5832636806</v>
      </c>
      <c r="K66" s="99">
        <v>59</v>
      </c>
      <c r="L66" s="0">
        <v>66</v>
      </c>
    </row>
    <row r="67">
      <c r="A67" s="137">
        <v>42606.5833333333</v>
      </c>
      <c r="B67" s="105">
        <v>0.0104166666666667</v>
      </c>
      <c r="C67" s="0" t="s">
        <v>6</v>
      </c>
      <c r="D67" s="0" t="s">
        <v>7</v>
      </c>
      <c r="E67" s="0" t="s">
        <v>968</v>
      </c>
      <c r="F67" s="0" t="s">
        <v>989</v>
      </c>
      <c r="G67" s="0" t="s">
        <v>990</v>
      </c>
      <c r="J67" s="97">
        <v>42606.5832200579</v>
      </c>
      <c r="K67" s="99">
        <v>76</v>
      </c>
      <c r="L67" s="0">
        <v>67</v>
      </c>
    </row>
    <row r="68">
      <c r="A68" s="137">
        <v>42606.5729166667</v>
      </c>
      <c r="B68" s="105">
        <v>0.0104166666666667</v>
      </c>
      <c r="C68" s="0" t="s">
        <v>6</v>
      </c>
      <c r="D68" s="0" t="s">
        <v>89</v>
      </c>
      <c r="E68" s="0" t="s">
        <v>968</v>
      </c>
      <c r="F68" s="0" t="s">
        <v>988</v>
      </c>
      <c r="J68" s="97">
        <v>42606.5625966088</v>
      </c>
      <c r="K68" s="99">
        <v>7</v>
      </c>
      <c r="L68" s="0">
        <v>70</v>
      </c>
    </row>
    <row r="69">
      <c r="A69" s="137">
        <v>42606.5729166667</v>
      </c>
      <c r="B69" s="105">
        <v>0.0104166666666667</v>
      </c>
      <c r="C69" s="0" t="s">
        <v>6</v>
      </c>
      <c r="D69" s="0" t="s">
        <v>7</v>
      </c>
      <c r="E69" s="0" t="s">
        <v>968</v>
      </c>
      <c r="F69" s="0" t="s">
        <v>988</v>
      </c>
      <c r="J69" s="97">
        <v>42606.5625925926</v>
      </c>
      <c r="K69" s="99">
        <v>7</v>
      </c>
      <c r="L69" s="0">
        <v>71</v>
      </c>
    </row>
    <row r="70">
      <c r="A70" s="137">
        <v>42606.5729166667</v>
      </c>
      <c r="B70" s="105">
        <v>0.0104166666666667</v>
      </c>
      <c r="C70" s="0" t="s">
        <v>6</v>
      </c>
      <c r="D70" s="0" t="s">
        <v>7</v>
      </c>
      <c r="E70" s="0" t="s">
        <v>968</v>
      </c>
      <c r="F70" s="0" t="s">
        <v>989</v>
      </c>
      <c r="G70" s="0" t="s">
        <v>990</v>
      </c>
      <c r="J70" s="97">
        <v>42606.5728035532</v>
      </c>
      <c r="K70" s="99">
        <v>85</v>
      </c>
      <c r="L70" s="0">
        <v>68</v>
      </c>
    </row>
    <row r="71">
      <c r="A71" s="137">
        <v>42606.5729166667</v>
      </c>
      <c r="B71" s="105">
        <v>0.0104166666666667</v>
      </c>
      <c r="C71" s="0" t="s">
        <v>6</v>
      </c>
      <c r="D71" s="0" t="s">
        <v>89</v>
      </c>
      <c r="E71" s="0" t="s">
        <v>968</v>
      </c>
      <c r="F71" s="0" t="s">
        <v>989</v>
      </c>
      <c r="G71" s="0" t="s">
        <v>990</v>
      </c>
      <c r="J71" s="97">
        <v>42606.5727312616</v>
      </c>
      <c r="K71" s="99">
        <v>36</v>
      </c>
      <c r="L71" s="0">
        <v>69</v>
      </c>
    </row>
    <row r="72">
      <c r="A72" s="137">
        <v>42606.5625</v>
      </c>
      <c r="B72" s="105">
        <v>0.0104166666666667</v>
      </c>
      <c r="C72" s="0" t="s">
        <v>6</v>
      </c>
      <c r="D72" s="0" t="s">
        <v>7</v>
      </c>
      <c r="E72" s="0" t="s">
        <v>968</v>
      </c>
      <c r="F72" s="0" t="s">
        <v>988</v>
      </c>
      <c r="J72" s="97">
        <v>42606.5560163773</v>
      </c>
      <c r="K72" s="99">
        <v>2</v>
      </c>
      <c r="L72" s="0">
        <v>74</v>
      </c>
    </row>
    <row r="73">
      <c r="A73" s="137">
        <v>42606.5625</v>
      </c>
      <c r="B73" s="105">
        <v>0.0104166666666667</v>
      </c>
      <c r="C73" s="0" t="s">
        <v>6</v>
      </c>
      <c r="D73" s="0" t="s">
        <v>7</v>
      </c>
      <c r="E73" s="0" t="s">
        <v>968</v>
      </c>
      <c r="F73" s="0" t="s">
        <v>989</v>
      </c>
      <c r="G73" s="0" t="s">
        <v>990</v>
      </c>
      <c r="J73" s="97">
        <v>42606.5623867477</v>
      </c>
      <c r="K73" s="99">
        <v>67</v>
      </c>
      <c r="L73" s="0">
        <v>72</v>
      </c>
    </row>
    <row r="74">
      <c r="A74" s="137">
        <v>42606.5625</v>
      </c>
      <c r="B74" s="105">
        <v>0.0104166666666667</v>
      </c>
      <c r="C74" s="0" t="s">
        <v>6</v>
      </c>
      <c r="D74" s="0" t="s">
        <v>89</v>
      </c>
      <c r="E74" s="0" t="s">
        <v>968</v>
      </c>
      <c r="F74" s="0" t="s">
        <v>989</v>
      </c>
      <c r="G74" s="0" t="s">
        <v>990</v>
      </c>
      <c r="J74" s="97">
        <v>42606.5619674306</v>
      </c>
      <c r="K74" s="99">
        <v>28</v>
      </c>
      <c r="L74" s="0">
        <v>73</v>
      </c>
    </row>
    <row r="75">
      <c r="A75" s="137">
        <v>42606.5520833333</v>
      </c>
      <c r="B75" s="105">
        <v>0.0104166666666667</v>
      </c>
      <c r="C75" s="0" t="s">
        <v>6</v>
      </c>
      <c r="D75" s="0" t="s">
        <v>89</v>
      </c>
      <c r="E75" s="0" t="s">
        <v>968</v>
      </c>
      <c r="F75" s="0" t="s">
        <v>988</v>
      </c>
      <c r="J75" s="97">
        <v>42606.5427879167</v>
      </c>
      <c r="K75" s="99">
        <v>2</v>
      </c>
      <c r="L75" s="0">
        <v>77</v>
      </c>
    </row>
    <row r="76">
      <c r="A76" s="137">
        <v>42606.5520833333</v>
      </c>
      <c r="B76" s="105">
        <v>0.0104166666666667</v>
      </c>
      <c r="C76" s="0" t="s">
        <v>6</v>
      </c>
      <c r="D76" s="0" t="s">
        <v>7</v>
      </c>
      <c r="E76" s="0" t="s">
        <v>968</v>
      </c>
      <c r="F76" s="0" t="s">
        <v>988</v>
      </c>
      <c r="J76" s="97">
        <v>42606.5427841551</v>
      </c>
      <c r="K76" s="99">
        <v>1</v>
      </c>
      <c r="L76" s="0">
        <v>78</v>
      </c>
    </row>
    <row r="77">
      <c r="A77" s="137">
        <v>42606.5520833333</v>
      </c>
      <c r="B77" s="105">
        <v>0.0104166666666667</v>
      </c>
      <c r="C77" s="0" t="s">
        <v>6</v>
      </c>
      <c r="D77" s="0" t="s">
        <v>89</v>
      </c>
      <c r="E77" s="0" t="s">
        <v>968</v>
      </c>
      <c r="F77" s="0" t="s">
        <v>989</v>
      </c>
      <c r="G77" s="0" t="s">
        <v>990</v>
      </c>
      <c r="J77" s="97">
        <v>42606.5518979398</v>
      </c>
      <c r="K77" s="99">
        <v>25</v>
      </c>
      <c r="L77" s="0">
        <v>75</v>
      </c>
    </row>
    <row r="78">
      <c r="A78" s="137">
        <v>42606.5520833333</v>
      </c>
      <c r="B78" s="105">
        <v>0.0104166666666667</v>
      </c>
      <c r="C78" s="0" t="s">
        <v>6</v>
      </c>
      <c r="D78" s="0" t="s">
        <v>7</v>
      </c>
      <c r="E78" s="0" t="s">
        <v>968</v>
      </c>
      <c r="F78" s="0" t="s">
        <v>989</v>
      </c>
      <c r="G78" s="0" t="s">
        <v>990</v>
      </c>
      <c r="J78" s="97">
        <v>42606.5518543171</v>
      </c>
      <c r="K78" s="99">
        <v>69</v>
      </c>
      <c r="L78" s="0">
        <v>76</v>
      </c>
    </row>
    <row r="79">
      <c r="A79" s="137">
        <v>42606.5416666667</v>
      </c>
      <c r="B79" s="105">
        <v>0.0104166666666667</v>
      </c>
      <c r="C79" s="0" t="s">
        <v>6</v>
      </c>
      <c r="D79" s="0" t="s">
        <v>89</v>
      </c>
      <c r="E79" s="0" t="s">
        <v>968</v>
      </c>
      <c r="F79" s="0" t="s">
        <v>989</v>
      </c>
      <c r="G79" s="0" t="s">
        <v>990</v>
      </c>
      <c r="J79" s="97">
        <v>42606.5414812731</v>
      </c>
      <c r="K79" s="99">
        <v>31</v>
      </c>
      <c r="L79" s="0">
        <v>79</v>
      </c>
    </row>
    <row r="80">
      <c r="A80" s="137">
        <v>42606.5416666667</v>
      </c>
      <c r="B80" s="105">
        <v>0.0104166666666667</v>
      </c>
      <c r="C80" s="0" t="s">
        <v>6</v>
      </c>
      <c r="D80" s="0" t="s">
        <v>7</v>
      </c>
      <c r="E80" s="0" t="s">
        <v>968</v>
      </c>
      <c r="F80" s="0" t="s">
        <v>989</v>
      </c>
      <c r="G80" s="0" t="s">
        <v>990</v>
      </c>
      <c r="J80" s="97">
        <v>42606.5412062847</v>
      </c>
      <c r="K80" s="99">
        <v>71</v>
      </c>
      <c r="L80" s="0">
        <v>80</v>
      </c>
    </row>
    <row r="81">
      <c r="A81" s="137">
        <v>42606.53125</v>
      </c>
      <c r="B81" s="105">
        <v>0.0104166666666667</v>
      </c>
      <c r="C81" s="0" t="s">
        <v>6</v>
      </c>
      <c r="D81" s="0" t="s">
        <v>7</v>
      </c>
      <c r="E81" s="0" t="s">
        <v>968</v>
      </c>
      <c r="F81" s="0" t="s">
        <v>989</v>
      </c>
      <c r="G81" s="0" t="s">
        <v>990</v>
      </c>
      <c r="J81" s="97">
        <v>42606.5311367245</v>
      </c>
      <c r="K81" s="99">
        <v>85</v>
      </c>
      <c r="L81" s="0">
        <v>81</v>
      </c>
    </row>
    <row r="82">
      <c r="A82" s="137">
        <v>42606.53125</v>
      </c>
      <c r="B82" s="105">
        <v>0.0104166666666667</v>
      </c>
      <c r="C82" s="0" t="s">
        <v>6</v>
      </c>
      <c r="D82" s="0" t="s">
        <v>89</v>
      </c>
      <c r="E82" s="0" t="s">
        <v>968</v>
      </c>
      <c r="F82" s="0" t="s">
        <v>989</v>
      </c>
      <c r="G82" s="0" t="s">
        <v>990</v>
      </c>
      <c r="J82" s="97">
        <v>42606.5304859028</v>
      </c>
      <c r="K82" s="99">
        <v>20</v>
      </c>
      <c r="L82" s="0">
        <v>82</v>
      </c>
    </row>
    <row r="83">
      <c r="A83" s="137">
        <v>42606.5208333333</v>
      </c>
      <c r="B83" s="105">
        <v>0.0104166666666667</v>
      </c>
      <c r="C83" s="0" t="s">
        <v>6</v>
      </c>
      <c r="D83" s="0" t="s">
        <v>89</v>
      </c>
      <c r="E83" s="0" t="s">
        <v>968</v>
      </c>
      <c r="F83" s="0" t="s">
        <v>989</v>
      </c>
      <c r="G83" s="0" t="s">
        <v>990</v>
      </c>
      <c r="J83" s="97">
        <v>42606.520763669</v>
      </c>
      <c r="K83" s="99">
        <v>37</v>
      </c>
      <c r="L83" s="0">
        <v>83</v>
      </c>
    </row>
    <row r="84">
      <c r="A84" s="137">
        <v>42606.5208333333</v>
      </c>
      <c r="B84" s="105">
        <v>0.0104166666666667</v>
      </c>
      <c r="C84" s="0" t="s">
        <v>6</v>
      </c>
      <c r="D84" s="0" t="s">
        <v>7</v>
      </c>
      <c r="E84" s="0" t="s">
        <v>968</v>
      </c>
      <c r="F84" s="0" t="s">
        <v>989</v>
      </c>
      <c r="G84" s="0" t="s">
        <v>990</v>
      </c>
      <c r="J84" s="97">
        <v>42606.5207200579</v>
      </c>
      <c r="K84" s="99">
        <v>75</v>
      </c>
      <c r="L84" s="0">
        <v>84</v>
      </c>
    </row>
    <row r="85">
      <c r="A85" s="137">
        <v>42606.5104166667</v>
      </c>
      <c r="B85" s="105">
        <v>0.0104166666666667</v>
      </c>
      <c r="C85" s="0" t="s">
        <v>6</v>
      </c>
      <c r="D85" s="0" t="s">
        <v>89</v>
      </c>
      <c r="E85" s="0" t="s">
        <v>968</v>
      </c>
      <c r="F85" s="0" t="s">
        <v>988</v>
      </c>
      <c r="J85" s="97">
        <v>42606.5011289699</v>
      </c>
      <c r="K85" s="99">
        <v>4</v>
      </c>
      <c r="L85" s="0">
        <v>87</v>
      </c>
    </row>
    <row r="86">
      <c r="A86" s="137">
        <v>42606.5104166667</v>
      </c>
      <c r="B86" s="105">
        <v>0.0104166666666667</v>
      </c>
      <c r="C86" s="0" t="s">
        <v>6</v>
      </c>
      <c r="D86" s="0" t="s">
        <v>7</v>
      </c>
      <c r="E86" s="0" t="s">
        <v>968</v>
      </c>
      <c r="F86" s="0" t="s">
        <v>988</v>
      </c>
      <c r="J86" s="97">
        <v>42606.5011194792</v>
      </c>
      <c r="K86" s="99">
        <v>14</v>
      </c>
      <c r="L86" s="0">
        <v>88</v>
      </c>
    </row>
    <row r="87">
      <c r="A87" s="137">
        <v>42606.5104166667</v>
      </c>
      <c r="B87" s="105">
        <v>0.0104166666666667</v>
      </c>
      <c r="C87" s="0" t="s">
        <v>6</v>
      </c>
      <c r="D87" s="0" t="s">
        <v>7</v>
      </c>
      <c r="E87" s="0" t="s">
        <v>968</v>
      </c>
      <c r="F87" s="0" t="s">
        <v>989</v>
      </c>
      <c r="G87" s="0" t="s">
        <v>990</v>
      </c>
      <c r="J87" s="97">
        <v>42606.5103035301</v>
      </c>
      <c r="K87" s="99">
        <v>74</v>
      </c>
      <c r="L87" s="0">
        <v>85</v>
      </c>
    </row>
    <row r="88">
      <c r="A88" s="137">
        <v>42606.5104166667</v>
      </c>
      <c r="B88" s="105">
        <v>0.0104166666666667</v>
      </c>
      <c r="C88" s="0" t="s">
        <v>6</v>
      </c>
      <c r="D88" s="0" t="s">
        <v>89</v>
      </c>
      <c r="E88" s="0" t="s">
        <v>968</v>
      </c>
      <c r="F88" s="0" t="s">
        <v>989</v>
      </c>
      <c r="G88" s="0" t="s">
        <v>990</v>
      </c>
      <c r="J88" s="97">
        <v>42606.510115544</v>
      </c>
      <c r="K88" s="99">
        <v>29</v>
      </c>
      <c r="L88" s="0">
        <v>86</v>
      </c>
    </row>
    <row r="89">
      <c r="A89" s="137">
        <v>42606.5</v>
      </c>
      <c r="B89" s="105">
        <v>0.0104166666666667</v>
      </c>
      <c r="C89" s="0" t="s">
        <v>6</v>
      </c>
      <c r="D89" s="0" t="s">
        <v>89</v>
      </c>
      <c r="E89" s="0" t="s">
        <v>968</v>
      </c>
      <c r="F89" s="0" t="s">
        <v>989</v>
      </c>
      <c r="G89" s="0" t="s">
        <v>990</v>
      </c>
      <c r="J89" s="97">
        <v>42606.4999303472</v>
      </c>
      <c r="K89" s="99">
        <v>37</v>
      </c>
      <c r="L89" s="0">
        <v>89</v>
      </c>
    </row>
    <row r="90">
      <c r="A90" s="137">
        <v>42606.5</v>
      </c>
      <c r="B90" s="105">
        <v>0.0104166666666667</v>
      </c>
      <c r="C90" s="0" t="s">
        <v>6</v>
      </c>
      <c r="D90" s="0" t="s">
        <v>7</v>
      </c>
      <c r="E90" s="0" t="s">
        <v>968</v>
      </c>
      <c r="F90" s="0" t="s">
        <v>989</v>
      </c>
      <c r="G90" s="0" t="s">
        <v>990</v>
      </c>
      <c r="J90" s="97">
        <v>42606.4998868634</v>
      </c>
      <c r="K90" s="99">
        <v>66</v>
      </c>
      <c r="L90" s="0">
        <v>90</v>
      </c>
    </row>
    <row r="91">
      <c r="A91" s="137">
        <v>42606.4895833333</v>
      </c>
      <c r="B91" s="105">
        <v>0.0104166666666667</v>
      </c>
      <c r="C91" s="0" t="s">
        <v>6</v>
      </c>
      <c r="D91" s="0" t="s">
        <v>7</v>
      </c>
      <c r="E91" s="0" t="s">
        <v>968</v>
      </c>
      <c r="F91" s="0" t="s">
        <v>989</v>
      </c>
      <c r="G91" s="0" t="s">
        <v>990</v>
      </c>
      <c r="J91" s="97">
        <v>42606.489470081</v>
      </c>
      <c r="K91" s="99">
        <v>76</v>
      </c>
      <c r="L91" s="0">
        <v>91</v>
      </c>
    </row>
    <row r="92">
      <c r="A92" s="137">
        <v>42606.4895833333</v>
      </c>
      <c r="B92" s="105">
        <v>0.0104166666666667</v>
      </c>
      <c r="C92" s="0" t="s">
        <v>6</v>
      </c>
      <c r="D92" s="0" t="s">
        <v>89</v>
      </c>
      <c r="E92" s="0" t="s">
        <v>968</v>
      </c>
      <c r="F92" s="0" t="s">
        <v>989</v>
      </c>
      <c r="G92" s="0" t="s">
        <v>990</v>
      </c>
      <c r="J92" s="97">
        <v>42606.4893979282</v>
      </c>
      <c r="K92" s="99">
        <v>38</v>
      </c>
      <c r="L92" s="0">
        <v>92</v>
      </c>
    </row>
    <row r="93">
      <c r="A93" s="137">
        <v>42606.4791666667</v>
      </c>
      <c r="B93" s="105">
        <v>0.0104166666666667</v>
      </c>
      <c r="C93" s="0" t="s">
        <v>6</v>
      </c>
      <c r="D93" s="0" t="s">
        <v>89</v>
      </c>
      <c r="E93" s="0" t="s">
        <v>968</v>
      </c>
      <c r="F93" s="0" t="s">
        <v>988</v>
      </c>
      <c r="J93" s="97">
        <v>42606.4727178009</v>
      </c>
      <c r="K93" s="99">
        <v>7</v>
      </c>
      <c r="L93" s="0">
        <v>95</v>
      </c>
    </row>
    <row r="94">
      <c r="A94" s="137">
        <v>42606.4791666667</v>
      </c>
      <c r="B94" s="105">
        <v>0.0104166666666667</v>
      </c>
      <c r="C94" s="0" t="s">
        <v>6</v>
      </c>
      <c r="D94" s="0" t="s">
        <v>7</v>
      </c>
      <c r="E94" s="0" t="s">
        <v>968</v>
      </c>
      <c r="F94" s="0" t="s">
        <v>989</v>
      </c>
      <c r="G94" s="0" t="s">
        <v>990</v>
      </c>
      <c r="J94" s="97">
        <v>42606.4790534144</v>
      </c>
      <c r="K94" s="99">
        <v>65</v>
      </c>
      <c r="L94" s="0">
        <v>93</v>
      </c>
    </row>
    <row r="95">
      <c r="A95" s="137">
        <v>42606.4791666667</v>
      </c>
      <c r="B95" s="105">
        <v>0.0104166666666667</v>
      </c>
      <c r="C95" s="0" t="s">
        <v>6</v>
      </c>
      <c r="D95" s="0" t="s">
        <v>89</v>
      </c>
      <c r="E95" s="0" t="s">
        <v>968</v>
      </c>
      <c r="F95" s="0" t="s">
        <v>989</v>
      </c>
      <c r="G95" s="0" t="s">
        <v>990</v>
      </c>
      <c r="J95" s="97">
        <v>42606.4787497801</v>
      </c>
      <c r="K95" s="99">
        <v>35</v>
      </c>
      <c r="L95" s="0">
        <v>94</v>
      </c>
    </row>
    <row r="96">
      <c r="A96" s="137">
        <v>42606.46875</v>
      </c>
      <c r="B96" s="105">
        <v>0.0104166666666667</v>
      </c>
      <c r="C96" s="0" t="s">
        <v>6</v>
      </c>
      <c r="D96" s="0" t="s">
        <v>89</v>
      </c>
      <c r="E96" s="0" t="s">
        <v>968</v>
      </c>
      <c r="F96" s="0" t="s">
        <v>988</v>
      </c>
      <c r="J96" s="97">
        <v>42606.459455544</v>
      </c>
      <c r="K96" s="99">
        <v>13</v>
      </c>
      <c r="L96" s="0">
        <v>98</v>
      </c>
    </row>
    <row r="97">
      <c r="A97" s="137">
        <v>42606.46875</v>
      </c>
      <c r="B97" s="105">
        <v>0.0104166666666667</v>
      </c>
      <c r="C97" s="0" t="s">
        <v>6</v>
      </c>
      <c r="D97" s="0" t="s">
        <v>7</v>
      </c>
      <c r="E97" s="0" t="s">
        <v>968</v>
      </c>
      <c r="F97" s="0" t="s">
        <v>988</v>
      </c>
      <c r="J97" s="97">
        <v>42606.4594484259</v>
      </c>
      <c r="K97" s="99">
        <v>1</v>
      </c>
      <c r="L97" s="0">
        <v>99</v>
      </c>
    </row>
    <row r="98">
      <c r="A98" s="137">
        <v>42606.46875</v>
      </c>
      <c r="B98" s="105">
        <v>0.0104166666666667</v>
      </c>
      <c r="C98" s="0" t="s">
        <v>6</v>
      </c>
      <c r="D98" s="0" t="s">
        <v>7</v>
      </c>
      <c r="E98" s="0" t="s">
        <v>968</v>
      </c>
      <c r="F98" s="0" t="s">
        <v>989</v>
      </c>
      <c r="G98" s="0" t="s">
        <v>990</v>
      </c>
      <c r="J98" s="97">
        <v>42606.4685211574</v>
      </c>
      <c r="K98" s="99">
        <v>79</v>
      </c>
      <c r="L98" s="0">
        <v>96</v>
      </c>
    </row>
    <row r="99">
      <c r="A99" s="137">
        <v>42606.46875</v>
      </c>
      <c r="B99" s="105">
        <v>0.0104166666666667</v>
      </c>
      <c r="C99" s="0" t="s">
        <v>6</v>
      </c>
      <c r="D99" s="0" t="s">
        <v>89</v>
      </c>
      <c r="E99" s="0" t="s">
        <v>968</v>
      </c>
      <c r="F99" s="0" t="s">
        <v>989</v>
      </c>
      <c r="G99" s="0" t="s">
        <v>990</v>
      </c>
      <c r="J99" s="97">
        <v>42606.467638669</v>
      </c>
      <c r="K99" s="99">
        <v>41</v>
      </c>
      <c r="L99" s="0">
        <v>97</v>
      </c>
    </row>
    <row r="100">
      <c r="A100" s="137">
        <v>42606.4583333333</v>
      </c>
      <c r="B100" s="105">
        <v>0.0104166666666667</v>
      </c>
      <c r="C100" s="0" t="s">
        <v>6</v>
      </c>
      <c r="D100" s="0" t="s">
        <v>89</v>
      </c>
      <c r="E100" s="0" t="s">
        <v>968</v>
      </c>
      <c r="F100" s="0" t="s">
        <v>973</v>
      </c>
      <c r="J100" s="97">
        <v>42606.4552966319</v>
      </c>
      <c r="K100" s="99">
        <v>1</v>
      </c>
      <c r="L100" s="0">
        <v>102</v>
      </c>
    </row>
    <row r="101">
      <c r="A101" s="137">
        <v>42606.4583333333</v>
      </c>
      <c r="B101" s="105">
        <v>0.0104166666666667</v>
      </c>
      <c r="C101" s="0" t="s">
        <v>6</v>
      </c>
      <c r="D101" s="0" t="s">
        <v>89</v>
      </c>
      <c r="E101" s="0" t="s">
        <v>968</v>
      </c>
      <c r="F101" s="0" t="s">
        <v>989</v>
      </c>
      <c r="G101" s="0" t="s">
        <v>990</v>
      </c>
      <c r="J101" s="97">
        <v>42606.45826375</v>
      </c>
      <c r="K101" s="99">
        <v>47</v>
      </c>
      <c r="L101" s="0">
        <v>100</v>
      </c>
    </row>
    <row r="102">
      <c r="A102" s="137">
        <v>42606.4583333333</v>
      </c>
      <c r="B102" s="105">
        <v>0.0104166666666667</v>
      </c>
      <c r="C102" s="0" t="s">
        <v>6</v>
      </c>
      <c r="D102" s="0" t="s">
        <v>7</v>
      </c>
      <c r="E102" s="0" t="s">
        <v>968</v>
      </c>
      <c r="F102" s="0" t="s">
        <v>989</v>
      </c>
      <c r="G102" s="0" t="s">
        <v>990</v>
      </c>
      <c r="J102" s="97">
        <v>42606.4582200579</v>
      </c>
      <c r="K102" s="99">
        <v>87</v>
      </c>
      <c r="L102" s="0">
        <v>101</v>
      </c>
    </row>
    <row r="103">
      <c r="A103" s="137">
        <v>42606.4479166667</v>
      </c>
      <c r="B103" s="105">
        <v>0.0104166666666667</v>
      </c>
      <c r="C103" s="0" t="s">
        <v>6</v>
      </c>
      <c r="D103" s="0" t="s">
        <v>7</v>
      </c>
      <c r="E103" s="0" t="s">
        <v>968</v>
      </c>
      <c r="F103" s="0" t="s">
        <v>989</v>
      </c>
      <c r="G103" s="0" t="s">
        <v>990</v>
      </c>
      <c r="J103" s="97">
        <v>42606.4478033912</v>
      </c>
      <c r="K103" s="99">
        <v>85</v>
      </c>
      <c r="L103" s="0">
        <v>103</v>
      </c>
    </row>
    <row r="104">
      <c r="A104" s="137">
        <v>42606.4479166667</v>
      </c>
      <c r="B104" s="105">
        <v>0.0104166666666667</v>
      </c>
      <c r="C104" s="0" t="s">
        <v>6</v>
      </c>
      <c r="D104" s="0" t="s">
        <v>89</v>
      </c>
      <c r="E104" s="0" t="s">
        <v>968</v>
      </c>
      <c r="F104" s="0" t="s">
        <v>989</v>
      </c>
      <c r="G104" s="0" t="s">
        <v>990</v>
      </c>
      <c r="J104" s="97">
        <v>42606.4477312731</v>
      </c>
      <c r="K104" s="99">
        <v>44</v>
      </c>
      <c r="L104" s="0">
        <v>104</v>
      </c>
    </row>
    <row r="105">
      <c r="A105" s="137">
        <v>42606.4375</v>
      </c>
      <c r="B105" s="105">
        <v>0.0104166666666667</v>
      </c>
      <c r="C105" s="0" t="s">
        <v>6</v>
      </c>
      <c r="D105" s="0" t="s">
        <v>7</v>
      </c>
      <c r="E105" s="0" t="s">
        <v>968</v>
      </c>
      <c r="F105" s="0" t="s">
        <v>988</v>
      </c>
      <c r="J105" s="97">
        <v>42606.4310157986</v>
      </c>
      <c r="K105" s="99">
        <v>2</v>
      </c>
      <c r="L105" s="0">
        <v>107</v>
      </c>
    </row>
    <row r="106">
      <c r="A106" s="137">
        <v>42606.4375</v>
      </c>
      <c r="B106" s="105">
        <v>0.0104166666666667</v>
      </c>
      <c r="C106" s="0" t="s">
        <v>6</v>
      </c>
      <c r="D106" s="0" t="s">
        <v>89</v>
      </c>
      <c r="E106" s="0" t="s">
        <v>968</v>
      </c>
      <c r="F106" s="0" t="s">
        <v>989</v>
      </c>
      <c r="G106" s="0" t="s">
        <v>990</v>
      </c>
      <c r="J106" s="97">
        <v>42606.4374303356</v>
      </c>
      <c r="K106" s="99">
        <v>51</v>
      </c>
      <c r="L106" s="0">
        <v>105</v>
      </c>
    </row>
    <row r="107">
      <c r="A107" s="137">
        <v>42606.4375</v>
      </c>
      <c r="B107" s="105">
        <v>0.0104166666666667</v>
      </c>
      <c r="C107" s="0" t="s">
        <v>6</v>
      </c>
      <c r="D107" s="0" t="s">
        <v>7</v>
      </c>
      <c r="E107" s="0" t="s">
        <v>968</v>
      </c>
      <c r="F107" s="0" t="s">
        <v>989</v>
      </c>
      <c r="G107" s="0" t="s">
        <v>990</v>
      </c>
      <c r="J107" s="97">
        <v>42606.4373867245</v>
      </c>
      <c r="K107" s="99">
        <v>72</v>
      </c>
      <c r="L107" s="0">
        <v>106</v>
      </c>
    </row>
    <row r="108">
      <c r="A108" s="137">
        <v>42606.4270833333</v>
      </c>
      <c r="B108" s="105">
        <v>0.0104166666666667</v>
      </c>
      <c r="C108" s="0" t="s">
        <v>6</v>
      </c>
      <c r="D108" s="0" t="s">
        <v>89</v>
      </c>
      <c r="E108" s="0" t="s">
        <v>968</v>
      </c>
      <c r="F108" s="0" t="s">
        <v>988</v>
      </c>
      <c r="J108" s="97">
        <v>42606.4177941319</v>
      </c>
      <c r="K108" s="99">
        <v>2</v>
      </c>
      <c r="L108" s="0">
        <v>110</v>
      </c>
    </row>
    <row r="109">
      <c r="A109" s="137">
        <v>42606.4270833333</v>
      </c>
      <c r="B109" s="105">
        <v>0.0104166666666667</v>
      </c>
      <c r="C109" s="0" t="s">
        <v>6</v>
      </c>
      <c r="D109" s="0" t="s">
        <v>7</v>
      </c>
      <c r="E109" s="0" t="s">
        <v>968</v>
      </c>
      <c r="F109" s="0" t="s">
        <v>988</v>
      </c>
      <c r="J109" s="97">
        <v>42606.4177860532</v>
      </c>
      <c r="K109" s="99">
        <v>1</v>
      </c>
      <c r="L109" s="0">
        <v>111</v>
      </c>
    </row>
    <row r="110">
      <c r="A110" s="137">
        <v>42606.4270833333</v>
      </c>
      <c r="B110" s="105">
        <v>0.0104166666666667</v>
      </c>
      <c r="C110" s="0" t="s">
        <v>6</v>
      </c>
      <c r="D110" s="0" t="s">
        <v>7</v>
      </c>
      <c r="E110" s="0" t="s">
        <v>968</v>
      </c>
      <c r="F110" s="0" t="s">
        <v>989</v>
      </c>
      <c r="G110" s="0" t="s">
        <v>990</v>
      </c>
      <c r="J110" s="97">
        <v>42606.4269701736</v>
      </c>
      <c r="K110" s="99">
        <v>72</v>
      </c>
      <c r="L110" s="0">
        <v>108</v>
      </c>
    </row>
    <row r="111">
      <c r="A111" s="137">
        <v>42606.4270833333</v>
      </c>
      <c r="B111" s="105">
        <v>0.0104166666666667</v>
      </c>
      <c r="C111" s="0" t="s">
        <v>6</v>
      </c>
      <c r="D111" s="0" t="s">
        <v>89</v>
      </c>
      <c r="E111" s="0" t="s">
        <v>968</v>
      </c>
      <c r="F111" s="0" t="s">
        <v>989</v>
      </c>
      <c r="G111" s="0" t="s">
        <v>990</v>
      </c>
      <c r="J111" s="97">
        <v>42606.4268979398</v>
      </c>
      <c r="K111" s="99">
        <v>47</v>
      </c>
      <c r="L111" s="0">
        <v>109</v>
      </c>
    </row>
    <row r="112">
      <c r="A112" s="137">
        <v>42606.4166666667</v>
      </c>
      <c r="B112" s="105">
        <v>0.0104166666666667</v>
      </c>
      <c r="C112" s="0" t="s">
        <v>6</v>
      </c>
      <c r="D112" s="0" t="s">
        <v>7</v>
      </c>
      <c r="E112" s="0" t="s">
        <v>968</v>
      </c>
      <c r="F112" s="0" t="s">
        <v>989</v>
      </c>
      <c r="G112" s="0" t="s">
        <v>990</v>
      </c>
      <c r="J112" s="97">
        <v>42606.4165533912</v>
      </c>
      <c r="K112" s="99">
        <v>68</v>
      </c>
      <c r="L112" s="0">
        <v>112</v>
      </c>
    </row>
    <row r="113">
      <c r="A113" s="137">
        <v>42606.4166666667</v>
      </c>
      <c r="B113" s="105">
        <v>0.0104166666666667</v>
      </c>
      <c r="C113" s="0" t="s">
        <v>6</v>
      </c>
      <c r="D113" s="0" t="s">
        <v>89</v>
      </c>
      <c r="E113" s="0" t="s">
        <v>968</v>
      </c>
      <c r="F113" s="0" t="s">
        <v>989</v>
      </c>
      <c r="G113" s="0" t="s">
        <v>990</v>
      </c>
      <c r="J113" s="97">
        <v>42606.4163655208</v>
      </c>
      <c r="K113" s="99">
        <v>57</v>
      </c>
      <c r="L113" s="0">
        <v>113</v>
      </c>
    </row>
    <row r="114">
      <c r="A114" s="137">
        <v>42606.40625</v>
      </c>
      <c r="B114" s="105">
        <v>0.0104166666666667</v>
      </c>
      <c r="C114" s="0" t="s">
        <v>6</v>
      </c>
      <c r="D114" s="0" t="s">
        <v>89</v>
      </c>
      <c r="E114" s="0" t="s">
        <v>968</v>
      </c>
      <c r="F114" s="0" t="s">
        <v>989</v>
      </c>
      <c r="G114" s="0" t="s">
        <v>990</v>
      </c>
      <c r="J114" s="97">
        <v>42606.4061803588</v>
      </c>
      <c r="K114" s="99">
        <v>19</v>
      </c>
      <c r="L114" s="0">
        <v>114</v>
      </c>
    </row>
    <row r="115">
      <c r="A115" s="137">
        <v>42606.40625</v>
      </c>
      <c r="B115" s="105">
        <v>0.0104166666666667</v>
      </c>
      <c r="C115" s="0" t="s">
        <v>6</v>
      </c>
      <c r="D115" s="0" t="s">
        <v>7</v>
      </c>
      <c r="E115" s="0" t="s">
        <v>968</v>
      </c>
      <c r="F115" s="0" t="s">
        <v>989</v>
      </c>
      <c r="G115" s="0" t="s">
        <v>990</v>
      </c>
      <c r="J115" s="97">
        <v>42606.4061367361</v>
      </c>
      <c r="K115" s="99">
        <v>70</v>
      </c>
      <c r="L115" s="0">
        <v>115</v>
      </c>
    </row>
    <row r="116">
      <c r="A116" s="137">
        <v>42606.3958333333</v>
      </c>
      <c r="B116" s="105">
        <v>0.0104166666666667</v>
      </c>
      <c r="C116" s="0" t="s">
        <v>6</v>
      </c>
      <c r="D116" s="0" t="s">
        <v>7</v>
      </c>
      <c r="E116" s="0" t="s">
        <v>968</v>
      </c>
      <c r="F116" s="0" t="s">
        <v>989</v>
      </c>
      <c r="G116" s="0" t="s">
        <v>990</v>
      </c>
      <c r="J116" s="97">
        <v>42606.3957200579</v>
      </c>
      <c r="K116" s="99">
        <v>72</v>
      </c>
      <c r="L116" s="0">
        <v>116</v>
      </c>
    </row>
    <row r="117">
      <c r="A117" s="137">
        <v>42606.3854166667</v>
      </c>
      <c r="B117" s="105">
        <v>0.0104166666666667</v>
      </c>
      <c r="C117" s="0" t="s">
        <v>6</v>
      </c>
      <c r="D117" s="0" t="s">
        <v>7</v>
      </c>
      <c r="E117" s="0" t="s">
        <v>968</v>
      </c>
      <c r="F117" s="0" t="s">
        <v>988</v>
      </c>
      <c r="J117" s="97">
        <v>42606.3761185185</v>
      </c>
      <c r="K117" s="99">
        <v>14</v>
      </c>
      <c r="L117" s="0">
        <v>118</v>
      </c>
    </row>
    <row r="118">
      <c r="A118" s="137">
        <v>42606.3854166667</v>
      </c>
      <c r="B118" s="105">
        <v>0.0104166666666667</v>
      </c>
      <c r="C118" s="0" t="s">
        <v>6</v>
      </c>
      <c r="D118" s="0" t="s">
        <v>7</v>
      </c>
      <c r="E118" s="0" t="s">
        <v>968</v>
      </c>
      <c r="F118" s="0" t="s">
        <v>989</v>
      </c>
      <c r="G118" s="0" t="s">
        <v>990</v>
      </c>
      <c r="J118" s="97">
        <v>42606.3853035417</v>
      </c>
      <c r="K118" s="99">
        <v>80</v>
      </c>
      <c r="L118" s="0">
        <v>117</v>
      </c>
    </row>
    <row r="119">
      <c r="A119" s="137">
        <v>42606.375</v>
      </c>
      <c r="B119" s="105">
        <v>0.0104166666666667</v>
      </c>
      <c r="C119" s="0" t="s">
        <v>6</v>
      </c>
      <c r="D119" s="0" t="s">
        <v>7</v>
      </c>
      <c r="E119" s="0" t="s">
        <v>968</v>
      </c>
      <c r="F119" s="0" t="s">
        <v>973</v>
      </c>
      <c r="J119" s="97">
        <v>42606.364827338</v>
      </c>
      <c r="K119" s="99">
        <v>1</v>
      </c>
      <c r="L119" s="0">
        <v>120</v>
      </c>
    </row>
    <row r="120">
      <c r="A120" s="137">
        <v>42606.375</v>
      </c>
      <c r="B120" s="105">
        <v>0.0104166666666667</v>
      </c>
      <c r="C120" s="0" t="s">
        <v>6</v>
      </c>
      <c r="D120" s="0" t="s">
        <v>7</v>
      </c>
      <c r="E120" s="0" t="s">
        <v>968</v>
      </c>
      <c r="F120" s="0" t="s">
        <v>989</v>
      </c>
      <c r="G120" s="0" t="s">
        <v>990</v>
      </c>
      <c r="J120" s="97">
        <v>42606.3748867361</v>
      </c>
      <c r="K120" s="99">
        <v>89</v>
      </c>
      <c r="L120" s="0">
        <v>119</v>
      </c>
    </row>
    <row r="121">
      <c r="A121" s="137">
        <v>42606.3645833333</v>
      </c>
      <c r="B121" s="105">
        <v>0.0104166666666667</v>
      </c>
      <c r="C121" s="0" t="s">
        <v>6</v>
      </c>
      <c r="D121" s="0" t="s">
        <v>7</v>
      </c>
      <c r="E121" s="0" t="s">
        <v>968</v>
      </c>
      <c r="F121" s="0" t="s">
        <v>973</v>
      </c>
      <c r="J121" s="97">
        <v>42606.3642943634</v>
      </c>
      <c r="K121" s="99">
        <v>1</v>
      </c>
      <c r="L121" s="0">
        <v>122</v>
      </c>
    </row>
    <row r="122">
      <c r="A122" s="137">
        <v>42606.3645833333</v>
      </c>
      <c r="B122" s="105">
        <v>0.0104166666666667</v>
      </c>
      <c r="C122" s="0" t="s">
        <v>6</v>
      </c>
      <c r="D122" s="0" t="s">
        <v>7</v>
      </c>
      <c r="E122" s="0" t="s">
        <v>968</v>
      </c>
      <c r="F122" s="0" t="s">
        <v>989</v>
      </c>
      <c r="G122" s="0" t="s">
        <v>990</v>
      </c>
      <c r="J122" s="97">
        <v>42606.3644700579</v>
      </c>
      <c r="K122" s="99">
        <v>74</v>
      </c>
      <c r="L122" s="0">
        <v>121</v>
      </c>
    </row>
    <row r="123">
      <c r="A123" s="137">
        <v>42606.3541666667</v>
      </c>
      <c r="B123" s="105">
        <v>0.0104166666666667</v>
      </c>
      <c r="C123" s="0" t="s">
        <v>6</v>
      </c>
      <c r="D123" s="0" t="s">
        <v>7</v>
      </c>
      <c r="E123" s="0" t="s">
        <v>968</v>
      </c>
      <c r="F123" s="0" t="s">
        <v>989</v>
      </c>
      <c r="G123" s="0" t="s">
        <v>990</v>
      </c>
      <c r="J123" s="97">
        <v>42606.3540534144</v>
      </c>
      <c r="K123" s="99">
        <v>68</v>
      </c>
      <c r="L123" s="0">
        <v>123</v>
      </c>
    </row>
    <row r="124">
      <c r="A124" s="137">
        <v>42606.34375</v>
      </c>
      <c r="B124" s="105">
        <v>0.0104166666666667</v>
      </c>
      <c r="C124" s="0" t="s">
        <v>6</v>
      </c>
      <c r="D124" s="0" t="s">
        <v>7</v>
      </c>
      <c r="E124" s="0" t="s">
        <v>968</v>
      </c>
      <c r="F124" s="0" t="s">
        <v>988</v>
      </c>
      <c r="J124" s="97">
        <v>42606.3344486574</v>
      </c>
      <c r="K124" s="99">
        <v>1</v>
      </c>
      <c r="L124" s="0">
        <v>125</v>
      </c>
    </row>
    <row r="125">
      <c r="A125" s="137">
        <v>42606.34375</v>
      </c>
      <c r="B125" s="105">
        <v>0.0104166666666667</v>
      </c>
      <c r="C125" s="0" t="s">
        <v>6</v>
      </c>
      <c r="D125" s="0" t="s">
        <v>7</v>
      </c>
      <c r="E125" s="0" t="s">
        <v>968</v>
      </c>
      <c r="F125" s="0" t="s">
        <v>989</v>
      </c>
      <c r="G125" s="0" t="s">
        <v>990</v>
      </c>
      <c r="J125" s="97">
        <v>42606.3436367245</v>
      </c>
      <c r="K125" s="99">
        <v>65</v>
      </c>
      <c r="L125" s="0">
        <v>124</v>
      </c>
    </row>
    <row r="126">
      <c r="A126" s="137">
        <v>42606.3333333333</v>
      </c>
      <c r="B126" s="105">
        <v>0.0104166666666667</v>
      </c>
      <c r="C126" s="0" t="s">
        <v>6</v>
      </c>
      <c r="D126" s="0" t="s">
        <v>7</v>
      </c>
      <c r="E126" s="0" t="s">
        <v>968</v>
      </c>
      <c r="F126" s="0" t="s">
        <v>989</v>
      </c>
      <c r="G126" s="0" t="s">
        <v>990</v>
      </c>
      <c r="J126" s="97">
        <v>42606.3332200463</v>
      </c>
      <c r="K126" s="99">
        <v>71</v>
      </c>
      <c r="L126" s="0">
        <v>126</v>
      </c>
    </row>
    <row r="127">
      <c r="A127" s="137">
        <v>42606.3229166667</v>
      </c>
      <c r="B127" s="105">
        <v>0.0104166666666667</v>
      </c>
      <c r="C127" s="0" t="s">
        <v>6</v>
      </c>
      <c r="D127" s="0" t="s">
        <v>7</v>
      </c>
      <c r="E127" s="0" t="s">
        <v>968</v>
      </c>
      <c r="F127" s="0" t="s">
        <v>989</v>
      </c>
      <c r="G127" s="0" t="s">
        <v>990</v>
      </c>
      <c r="J127" s="97">
        <v>42606.322687662</v>
      </c>
      <c r="K127" s="99">
        <v>79</v>
      </c>
      <c r="L127" s="0">
        <v>127</v>
      </c>
    </row>
    <row r="128">
      <c r="A128" s="137">
        <v>42606.3125</v>
      </c>
      <c r="B128" s="105">
        <v>0.0104166666666667</v>
      </c>
      <c r="C128" s="0" t="s">
        <v>6</v>
      </c>
      <c r="D128" s="0" t="s">
        <v>7</v>
      </c>
      <c r="E128" s="0" t="s">
        <v>968</v>
      </c>
      <c r="F128" s="0" t="s">
        <v>988</v>
      </c>
      <c r="J128" s="97">
        <v>42606.3060157292</v>
      </c>
      <c r="K128" s="99">
        <v>2</v>
      </c>
      <c r="L128" s="0">
        <v>129</v>
      </c>
    </row>
    <row r="129">
      <c r="A129" s="137">
        <v>42606.3125</v>
      </c>
      <c r="B129" s="105">
        <v>0.0104166666666667</v>
      </c>
      <c r="C129" s="0" t="s">
        <v>6</v>
      </c>
      <c r="D129" s="0" t="s">
        <v>7</v>
      </c>
      <c r="E129" s="0" t="s">
        <v>968</v>
      </c>
      <c r="F129" s="0" t="s">
        <v>989</v>
      </c>
      <c r="G129" s="0" t="s">
        <v>990</v>
      </c>
      <c r="J129" s="97">
        <v>42606.3123867245</v>
      </c>
      <c r="K129" s="99">
        <v>83</v>
      </c>
      <c r="L129" s="0">
        <v>128</v>
      </c>
    </row>
    <row r="130">
      <c r="A130" s="137">
        <v>42606.3020833333</v>
      </c>
      <c r="B130" s="105">
        <v>0.0104166666666667</v>
      </c>
      <c r="C130" s="0" t="s">
        <v>6</v>
      </c>
      <c r="D130" s="0" t="s">
        <v>7</v>
      </c>
      <c r="E130" s="0" t="s">
        <v>968</v>
      </c>
      <c r="F130" s="0" t="s">
        <v>988</v>
      </c>
      <c r="J130" s="97">
        <v>42606.2927842361</v>
      </c>
      <c r="K130" s="99">
        <v>1</v>
      </c>
      <c r="L130" s="0">
        <v>131</v>
      </c>
    </row>
    <row r="131">
      <c r="A131" s="137">
        <v>42606.3020833333</v>
      </c>
      <c r="B131" s="105">
        <v>0.0104166666666667</v>
      </c>
      <c r="C131" s="0" t="s">
        <v>6</v>
      </c>
      <c r="D131" s="0" t="s">
        <v>7</v>
      </c>
      <c r="E131" s="0" t="s">
        <v>968</v>
      </c>
      <c r="F131" s="0" t="s">
        <v>989</v>
      </c>
      <c r="G131" s="0" t="s">
        <v>990</v>
      </c>
      <c r="J131" s="97">
        <v>42606.3019700579</v>
      </c>
      <c r="K131" s="99">
        <v>77</v>
      </c>
      <c r="L131" s="0">
        <v>130</v>
      </c>
    </row>
    <row r="132">
      <c r="A132" s="137">
        <v>42606.2916666667</v>
      </c>
      <c r="B132" s="105">
        <v>0.0104166666666667</v>
      </c>
      <c r="C132" s="0" t="s">
        <v>6</v>
      </c>
      <c r="D132" s="0" t="s">
        <v>7</v>
      </c>
      <c r="E132" s="0" t="s">
        <v>968</v>
      </c>
      <c r="F132" s="0" t="s">
        <v>989</v>
      </c>
      <c r="G132" s="0" t="s">
        <v>990</v>
      </c>
      <c r="J132" s="97">
        <v>42606.2915533912</v>
      </c>
      <c r="K132" s="99">
        <v>74</v>
      </c>
      <c r="L132" s="0">
        <v>132</v>
      </c>
    </row>
    <row r="133">
      <c r="A133" s="137">
        <v>42606.28125</v>
      </c>
      <c r="B133" s="105">
        <v>0.0104166666666667</v>
      </c>
      <c r="C133" s="0" t="s">
        <v>6</v>
      </c>
      <c r="D133" s="0" t="s">
        <v>7</v>
      </c>
      <c r="E133" s="0" t="s">
        <v>968</v>
      </c>
      <c r="F133" s="0" t="s">
        <v>989</v>
      </c>
      <c r="G133" s="0" t="s">
        <v>990</v>
      </c>
      <c r="J133" s="97">
        <v>42606.2811367245</v>
      </c>
      <c r="K133" s="99">
        <v>75</v>
      </c>
      <c r="L133" s="0">
        <v>133</v>
      </c>
    </row>
    <row r="134">
      <c r="A134" s="137">
        <v>42606.2708333333</v>
      </c>
      <c r="B134" s="105">
        <v>0.0104166666666667</v>
      </c>
      <c r="C134" s="0" t="s">
        <v>6</v>
      </c>
      <c r="D134" s="0" t="s">
        <v>7</v>
      </c>
      <c r="E134" s="0" t="s">
        <v>968</v>
      </c>
      <c r="F134" s="0" t="s">
        <v>989</v>
      </c>
      <c r="G134" s="0" t="s">
        <v>990</v>
      </c>
      <c r="J134" s="97">
        <v>42606.2707201968</v>
      </c>
      <c r="K134" s="99">
        <v>75</v>
      </c>
      <c r="L134" s="0">
        <v>134</v>
      </c>
    </row>
    <row r="135">
      <c r="A135" s="137">
        <v>42606.2604166667</v>
      </c>
      <c r="B135" s="105">
        <v>0.0104166666666667</v>
      </c>
      <c r="C135" s="0" t="s">
        <v>6</v>
      </c>
      <c r="D135" s="0" t="s">
        <v>7</v>
      </c>
      <c r="E135" s="0" t="s">
        <v>968</v>
      </c>
      <c r="F135" s="0" t="s">
        <v>988</v>
      </c>
      <c r="J135" s="97">
        <v>42606.2511220602</v>
      </c>
      <c r="K135" s="99">
        <v>14</v>
      </c>
      <c r="L135" s="0">
        <v>136</v>
      </c>
    </row>
    <row r="136">
      <c r="A136" s="137">
        <v>42606.2604166667</v>
      </c>
      <c r="B136" s="105">
        <v>0.0104166666666667</v>
      </c>
      <c r="C136" s="0" t="s">
        <v>6</v>
      </c>
      <c r="D136" s="0" t="s">
        <v>7</v>
      </c>
      <c r="E136" s="0" t="s">
        <v>968</v>
      </c>
      <c r="F136" s="0" t="s">
        <v>989</v>
      </c>
      <c r="G136" s="0" t="s">
        <v>990</v>
      </c>
      <c r="J136" s="97">
        <v>42606.2603033912</v>
      </c>
      <c r="K136" s="99">
        <v>71</v>
      </c>
      <c r="L136" s="0">
        <v>135</v>
      </c>
    </row>
    <row r="137">
      <c r="A137" s="137">
        <v>42606.25</v>
      </c>
      <c r="B137" s="105">
        <v>0.0104166666666667</v>
      </c>
      <c r="C137" s="0" t="s">
        <v>6</v>
      </c>
      <c r="D137" s="0" t="s">
        <v>7</v>
      </c>
      <c r="E137" s="0" t="s">
        <v>968</v>
      </c>
      <c r="F137" s="0" t="s">
        <v>989</v>
      </c>
      <c r="G137" s="0" t="s">
        <v>990</v>
      </c>
      <c r="J137" s="97">
        <v>42606.2498867245</v>
      </c>
      <c r="K137" s="99">
        <v>79</v>
      </c>
      <c r="L137" s="0">
        <v>137</v>
      </c>
    </row>
    <row r="138">
      <c r="A138" s="137">
        <v>42606.2395833333</v>
      </c>
      <c r="B138" s="105">
        <v>0.0104166666666667</v>
      </c>
      <c r="C138" s="0" t="s">
        <v>6</v>
      </c>
      <c r="D138" s="0" t="s">
        <v>7</v>
      </c>
      <c r="E138" s="0" t="s">
        <v>968</v>
      </c>
      <c r="F138" s="0" t="s">
        <v>989</v>
      </c>
      <c r="G138" s="0" t="s">
        <v>990</v>
      </c>
      <c r="J138" s="97">
        <v>42606.2394701852</v>
      </c>
      <c r="K138" s="99">
        <v>76</v>
      </c>
      <c r="L138" s="0">
        <v>138</v>
      </c>
    </row>
    <row r="139">
      <c r="A139" s="137">
        <v>42606.2291666667</v>
      </c>
      <c r="B139" s="105">
        <v>0.0104166666666667</v>
      </c>
      <c r="C139" s="0" t="s">
        <v>6</v>
      </c>
      <c r="D139" s="0" t="s">
        <v>7</v>
      </c>
      <c r="E139" s="0" t="s">
        <v>968</v>
      </c>
      <c r="F139" s="0" t="s">
        <v>989</v>
      </c>
      <c r="G139" s="0" t="s">
        <v>990</v>
      </c>
      <c r="J139" s="97">
        <v>42606.2289377083</v>
      </c>
      <c r="K139" s="99">
        <v>72</v>
      </c>
      <c r="L139" s="0">
        <v>139</v>
      </c>
    </row>
    <row r="140">
      <c r="A140" s="137">
        <v>42606.21875</v>
      </c>
      <c r="B140" s="105">
        <v>0.0104166666666667</v>
      </c>
      <c r="C140" s="0" t="s">
        <v>6</v>
      </c>
      <c r="D140" s="0" t="s">
        <v>7</v>
      </c>
      <c r="E140" s="0" t="s">
        <v>968</v>
      </c>
      <c r="F140" s="0" t="s">
        <v>988</v>
      </c>
      <c r="J140" s="97">
        <v>42606.2094484259</v>
      </c>
      <c r="K140" s="99">
        <v>1</v>
      </c>
      <c r="L140" s="0">
        <v>141</v>
      </c>
    </row>
    <row r="141">
      <c r="A141" s="137">
        <v>42606.21875</v>
      </c>
      <c r="B141" s="105">
        <v>0.0104166666666667</v>
      </c>
      <c r="C141" s="0" t="s">
        <v>6</v>
      </c>
      <c r="D141" s="0" t="s">
        <v>7</v>
      </c>
      <c r="E141" s="0" t="s">
        <v>968</v>
      </c>
      <c r="F141" s="0" t="s">
        <v>989</v>
      </c>
      <c r="G141" s="0" t="s">
        <v>990</v>
      </c>
      <c r="J141" s="97">
        <v>42606.2186367245</v>
      </c>
      <c r="K141" s="99">
        <v>67</v>
      </c>
      <c r="L141" s="0">
        <v>140</v>
      </c>
    </row>
    <row r="142">
      <c r="A142" s="137">
        <v>42606.2083333333</v>
      </c>
      <c r="B142" s="105">
        <v>0.0104166666666667</v>
      </c>
      <c r="C142" s="0" t="s">
        <v>6</v>
      </c>
      <c r="D142" s="0" t="s">
        <v>7</v>
      </c>
      <c r="E142" s="0" t="s">
        <v>968</v>
      </c>
      <c r="F142" s="0" t="s">
        <v>989</v>
      </c>
      <c r="G142" s="0" t="s">
        <v>990</v>
      </c>
      <c r="J142" s="97">
        <v>42606.208220081</v>
      </c>
      <c r="K142" s="99">
        <v>68</v>
      </c>
      <c r="L142" s="0">
        <v>142</v>
      </c>
    </row>
    <row r="143">
      <c r="A143" s="137">
        <v>42606.1979166667</v>
      </c>
      <c r="B143" s="105">
        <v>0.0104166666666667</v>
      </c>
      <c r="C143" s="0" t="s">
        <v>6</v>
      </c>
      <c r="D143" s="0" t="s">
        <v>7</v>
      </c>
      <c r="E143" s="0" t="s">
        <v>968</v>
      </c>
      <c r="F143" s="0" t="s">
        <v>989</v>
      </c>
      <c r="G143" s="0" t="s">
        <v>990</v>
      </c>
      <c r="J143" s="97">
        <v>42606.1978033912</v>
      </c>
      <c r="K143" s="99">
        <v>82</v>
      </c>
      <c r="L143" s="0">
        <v>143</v>
      </c>
    </row>
    <row r="144">
      <c r="A144" s="137">
        <v>42606.1875</v>
      </c>
      <c r="B144" s="105">
        <v>0.0104166666666667</v>
      </c>
      <c r="C144" s="0" t="s">
        <v>6</v>
      </c>
      <c r="D144" s="0" t="s">
        <v>7</v>
      </c>
      <c r="E144" s="0" t="s">
        <v>968</v>
      </c>
      <c r="F144" s="0" t="s">
        <v>988</v>
      </c>
      <c r="J144" s="97">
        <v>42606.1810158681</v>
      </c>
      <c r="K144" s="99">
        <v>2</v>
      </c>
      <c r="L144" s="0">
        <v>145</v>
      </c>
    </row>
    <row r="145">
      <c r="A145" s="137">
        <v>42606.1875</v>
      </c>
      <c r="B145" s="105">
        <v>0.0104166666666667</v>
      </c>
      <c r="C145" s="0" t="s">
        <v>6</v>
      </c>
      <c r="D145" s="0" t="s">
        <v>7</v>
      </c>
      <c r="E145" s="0" t="s">
        <v>968</v>
      </c>
      <c r="F145" s="0" t="s">
        <v>989</v>
      </c>
      <c r="G145" s="0" t="s">
        <v>990</v>
      </c>
      <c r="J145" s="97">
        <v>42606.1873867593</v>
      </c>
      <c r="K145" s="99">
        <v>75</v>
      </c>
      <c r="L145" s="0">
        <v>144</v>
      </c>
    </row>
    <row r="146">
      <c r="A146" s="137">
        <v>42606.1770833333</v>
      </c>
      <c r="B146" s="105">
        <v>0.0104166666666667</v>
      </c>
      <c r="C146" s="0" t="s">
        <v>6</v>
      </c>
      <c r="D146" s="0" t="s">
        <v>7</v>
      </c>
      <c r="E146" s="0" t="s">
        <v>968</v>
      </c>
      <c r="F146" s="0" t="s">
        <v>988</v>
      </c>
      <c r="J146" s="97">
        <v>42606.1677859375</v>
      </c>
      <c r="K146" s="99">
        <v>1</v>
      </c>
      <c r="L146" s="0">
        <v>147</v>
      </c>
    </row>
    <row r="147">
      <c r="A147" s="137">
        <v>42606.1770833333</v>
      </c>
      <c r="B147" s="105">
        <v>0.0104166666666667</v>
      </c>
      <c r="C147" s="0" t="s">
        <v>6</v>
      </c>
      <c r="D147" s="0" t="s">
        <v>7</v>
      </c>
      <c r="E147" s="0" t="s">
        <v>968</v>
      </c>
      <c r="F147" s="0" t="s">
        <v>989</v>
      </c>
      <c r="G147" s="0" t="s">
        <v>990</v>
      </c>
      <c r="J147" s="97">
        <v>42606.1769700579</v>
      </c>
      <c r="K147" s="99">
        <v>87</v>
      </c>
      <c r="L147" s="0">
        <v>146</v>
      </c>
    </row>
    <row r="148">
      <c r="A148" s="137">
        <v>42606.1666666667</v>
      </c>
      <c r="B148" s="105">
        <v>0.0104166666666667</v>
      </c>
      <c r="C148" s="0" t="s">
        <v>6</v>
      </c>
      <c r="D148" s="0" t="s">
        <v>7</v>
      </c>
      <c r="E148" s="0" t="s">
        <v>968</v>
      </c>
      <c r="F148" s="0" t="s">
        <v>989</v>
      </c>
      <c r="G148" s="0" t="s">
        <v>990</v>
      </c>
      <c r="J148" s="97">
        <v>42606.1665534028</v>
      </c>
      <c r="K148" s="99">
        <v>77</v>
      </c>
      <c r="L148" s="0">
        <v>148</v>
      </c>
    </row>
    <row r="149">
      <c r="A149" s="137">
        <v>42606.15625</v>
      </c>
      <c r="B149" s="105">
        <v>0.0104166666666667</v>
      </c>
      <c r="C149" s="0" t="s">
        <v>6</v>
      </c>
      <c r="D149" s="0" t="s">
        <v>7</v>
      </c>
      <c r="E149" s="0" t="s">
        <v>968</v>
      </c>
      <c r="F149" s="0" t="s">
        <v>989</v>
      </c>
      <c r="G149" s="0" t="s">
        <v>990</v>
      </c>
      <c r="J149" s="97">
        <v>42606.1561367361</v>
      </c>
      <c r="K149" s="99">
        <v>78</v>
      </c>
      <c r="L149" s="0">
        <v>149</v>
      </c>
    </row>
    <row r="150">
      <c r="A150" s="137">
        <v>42606.1458333333</v>
      </c>
      <c r="B150" s="105">
        <v>0.0104166666666667</v>
      </c>
      <c r="C150" s="0" t="s">
        <v>6</v>
      </c>
      <c r="D150" s="0" t="s">
        <v>7</v>
      </c>
      <c r="E150" s="0" t="s">
        <v>968</v>
      </c>
      <c r="F150" s="0" t="s">
        <v>989</v>
      </c>
      <c r="G150" s="0" t="s">
        <v>990</v>
      </c>
      <c r="J150" s="97">
        <v>42606.1457200463</v>
      </c>
      <c r="K150" s="99">
        <v>79</v>
      </c>
      <c r="L150" s="0">
        <v>150</v>
      </c>
    </row>
    <row r="151">
      <c r="A151" s="137">
        <v>42606.1354166667</v>
      </c>
      <c r="B151" s="105">
        <v>0.0104166666666667</v>
      </c>
      <c r="C151" s="0" t="s">
        <v>6</v>
      </c>
      <c r="D151" s="0" t="s">
        <v>7</v>
      </c>
      <c r="E151" s="0" t="s">
        <v>968</v>
      </c>
      <c r="F151" s="0" t="s">
        <v>988</v>
      </c>
      <c r="J151" s="97">
        <v>42606.1261221412</v>
      </c>
      <c r="K151" s="99">
        <v>14</v>
      </c>
      <c r="L151" s="0">
        <v>152</v>
      </c>
    </row>
    <row r="152">
      <c r="A152" s="137">
        <v>42606.1354166667</v>
      </c>
      <c r="B152" s="105">
        <v>0.0104166666666667</v>
      </c>
      <c r="C152" s="0" t="s">
        <v>6</v>
      </c>
      <c r="D152" s="0" t="s">
        <v>7</v>
      </c>
      <c r="E152" s="0" t="s">
        <v>968</v>
      </c>
      <c r="F152" s="0" t="s">
        <v>989</v>
      </c>
      <c r="G152" s="0" t="s">
        <v>990</v>
      </c>
      <c r="J152" s="97">
        <v>42606.1353035532</v>
      </c>
      <c r="K152" s="99">
        <v>71</v>
      </c>
      <c r="L152" s="0">
        <v>151</v>
      </c>
    </row>
    <row r="153">
      <c r="A153" s="137">
        <v>42606.125</v>
      </c>
      <c r="B153" s="105">
        <v>0.0104166666666667</v>
      </c>
      <c r="C153" s="0" t="s">
        <v>6</v>
      </c>
      <c r="D153" s="0" t="s">
        <v>7</v>
      </c>
      <c r="E153" s="0" t="s">
        <v>968</v>
      </c>
      <c r="F153" s="0" t="s">
        <v>989</v>
      </c>
      <c r="G153" s="0" t="s">
        <v>990</v>
      </c>
      <c r="J153" s="97">
        <v>42606.1247711458</v>
      </c>
      <c r="K153" s="99">
        <v>70</v>
      </c>
      <c r="L153" s="0">
        <v>153</v>
      </c>
    </row>
    <row r="154">
      <c r="A154" s="137">
        <v>42606.1145833333</v>
      </c>
      <c r="B154" s="105">
        <v>0.0104166666666667</v>
      </c>
      <c r="C154" s="0" t="s">
        <v>6</v>
      </c>
      <c r="D154" s="0" t="s">
        <v>7</v>
      </c>
      <c r="E154" s="0" t="s">
        <v>968</v>
      </c>
      <c r="F154" s="0" t="s">
        <v>989</v>
      </c>
      <c r="G154" s="0" t="s">
        <v>990</v>
      </c>
      <c r="J154" s="97">
        <v>42606.1142386806</v>
      </c>
      <c r="K154" s="99">
        <v>77</v>
      </c>
      <c r="L154" s="0">
        <v>154</v>
      </c>
    </row>
    <row r="155">
      <c r="A155" s="137">
        <v>42606.1041666667</v>
      </c>
      <c r="B155" s="105">
        <v>0.0104166666666667</v>
      </c>
      <c r="C155" s="0" t="s">
        <v>6</v>
      </c>
      <c r="D155" s="0" t="s">
        <v>7</v>
      </c>
      <c r="E155" s="0" t="s">
        <v>968</v>
      </c>
      <c r="F155" s="0" t="s">
        <v>989</v>
      </c>
      <c r="G155" s="0" t="s">
        <v>990</v>
      </c>
      <c r="J155" s="97">
        <v>42606.1039378241</v>
      </c>
      <c r="K155" s="99">
        <v>70</v>
      </c>
      <c r="L155" s="0">
        <v>155</v>
      </c>
    </row>
    <row r="156">
      <c r="A156" s="137">
        <v>42606.09375</v>
      </c>
      <c r="B156" s="105">
        <v>0.0104166666666667</v>
      </c>
      <c r="C156" s="0" t="s">
        <v>6</v>
      </c>
      <c r="D156" s="0" t="s">
        <v>7</v>
      </c>
      <c r="E156" s="0" t="s">
        <v>968</v>
      </c>
      <c r="F156" s="0" t="s">
        <v>988</v>
      </c>
      <c r="J156" s="97">
        <v>42606.0844484838</v>
      </c>
      <c r="K156" s="99">
        <v>1</v>
      </c>
      <c r="L156" s="0">
        <v>157</v>
      </c>
    </row>
    <row r="157">
      <c r="A157" s="137">
        <v>42606.09375</v>
      </c>
      <c r="B157" s="105">
        <v>0.0104166666666667</v>
      </c>
      <c r="C157" s="0" t="s">
        <v>6</v>
      </c>
      <c r="D157" s="0" t="s">
        <v>7</v>
      </c>
      <c r="E157" s="0" t="s">
        <v>968</v>
      </c>
      <c r="F157" s="0" t="s">
        <v>989</v>
      </c>
      <c r="G157" s="0" t="s">
        <v>990</v>
      </c>
      <c r="J157" s="97">
        <v>42606.0936367245</v>
      </c>
      <c r="K157" s="99">
        <v>68</v>
      </c>
      <c r="L157" s="0">
        <v>156</v>
      </c>
    </row>
    <row r="158">
      <c r="A158" s="137">
        <v>42606.0833333333</v>
      </c>
      <c r="B158" s="105">
        <v>0.0104166666666667</v>
      </c>
      <c r="C158" s="0" t="s">
        <v>6</v>
      </c>
      <c r="D158" s="0" t="s">
        <v>7</v>
      </c>
      <c r="E158" s="0" t="s">
        <v>968</v>
      </c>
      <c r="F158" s="0" t="s">
        <v>989</v>
      </c>
      <c r="G158" s="0" t="s">
        <v>990</v>
      </c>
      <c r="J158" s="97">
        <v>42606.0832201736</v>
      </c>
      <c r="K158" s="99">
        <v>73</v>
      </c>
      <c r="L158" s="0">
        <v>158</v>
      </c>
    </row>
    <row r="159">
      <c r="A159" s="137">
        <v>42606.0729166667</v>
      </c>
      <c r="B159" s="105">
        <v>0.0104166666666667</v>
      </c>
      <c r="C159" s="0" t="s">
        <v>6</v>
      </c>
      <c r="D159" s="0" t="s">
        <v>7</v>
      </c>
      <c r="E159" s="0" t="s">
        <v>968</v>
      </c>
      <c r="F159" s="0" t="s">
        <v>989</v>
      </c>
      <c r="G159" s="0" t="s">
        <v>990</v>
      </c>
      <c r="J159" s="97">
        <v>42606.0726878241</v>
      </c>
      <c r="K159" s="99">
        <v>66</v>
      </c>
      <c r="L159" s="0">
        <v>159</v>
      </c>
    </row>
    <row r="160">
      <c r="A160" s="137">
        <v>42606.0625</v>
      </c>
      <c r="B160" s="105">
        <v>0.0104166666666667</v>
      </c>
      <c r="C160" s="0" t="s">
        <v>6</v>
      </c>
      <c r="D160" s="0" t="s">
        <v>7</v>
      </c>
      <c r="E160" s="0" t="s">
        <v>968</v>
      </c>
      <c r="F160" s="0" t="s">
        <v>988</v>
      </c>
      <c r="J160" s="97">
        <v>42606.0560158218</v>
      </c>
      <c r="K160" s="99">
        <v>2</v>
      </c>
      <c r="L160" s="0">
        <v>161</v>
      </c>
    </row>
    <row r="161">
      <c r="A161" s="137">
        <v>42606.0625</v>
      </c>
      <c r="B161" s="105">
        <v>0.0104166666666667</v>
      </c>
      <c r="C161" s="0" t="s">
        <v>6</v>
      </c>
      <c r="D161" s="0" t="s">
        <v>7</v>
      </c>
      <c r="E161" s="0" t="s">
        <v>968</v>
      </c>
      <c r="F161" s="0" t="s">
        <v>989</v>
      </c>
      <c r="G161" s="0" t="s">
        <v>990</v>
      </c>
      <c r="J161" s="97">
        <v>42606.0622711806</v>
      </c>
      <c r="K161" s="99">
        <v>75</v>
      </c>
      <c r="L161" s="0">
        <v>160</v>
      </c>
    </row>
    <row r="162">
      <c r="A162" s="137">
        <v>42606.0520833333</v>
      </c>
      <c r="B162" s="105">
        <v>0.0104166666666667</v>
      </c>
      <c r="C162" s="0" t="s">
        <v>6</v>
      </c>
      <c r="D162" s="0" t="s">
        <v>7</v>
      </c>
      <c r="E162" s="0" t="s">
        <v>968</v>
      </c>
      <c r="F162" s="0" t="s">
        <v>988</v>
      </c>
      <c r="J162" s="97">
        <v>42606.0427854514</v>
      </c>
      <c r="K162" s="99">
        <v>1</v>
      </c>
      <c r="L162" s="0">
        <v>163</v>
      </c>
    </row>
    <row r="163">
      <c r="A163" s="137">
        <v>42606.0520833333</v>
      </c>
      <c r="B163" s="105">
        <v>0.0104166666666667</v>
      </c>
      <c r="C163" s="0" t="s">
        <v>6</v>
      </c>
      <c r="D163" s="0" t="s">
        <v>7</v>
      </c>
      <c r="E163" s="0" t="s">
        <v>968</v>
      </c>
      <c r="F163" s="0" t="s">
        <v>989</v>
      </c>
      <c r="G163" s="0" t="s">
        <v>990</v>
      </c>
      <c r="J163" s="97">
        <v>42606.0519701852</v>
      </c>
      <c r="K163" s="99">
        <v>67</v>
      </c>
      <c r="L163" s="0">
        <v>162</v>
      </c>
    </row>
    <row r="164">
      <c r="A164" s="137">
        <v>42606.0416666667</v>
      </c>
      <c r="B164" s="105">
        <v>0.0104166666666667</v>
      </c>
      <c r="C164" s="0" t="s">
        <v>6</v>
      </c>
      <c r="D164" s="0" t="s">
        <v>7</v>
      </c>
      <c r="E164" s="0" t="s">
        <v>968</v>
      </c>
      <c r="F164" s="0" t="s">
        <v>989</v>
      </c>
      <c r="G164" s="0" t="s">
        <v>990</v>
      </c>
      <c r="J164" s="97">
        <v>42606.0415535417</v>
      </c>
      <c r="K164" s="99">
        <v>72</v>
      </c>
      <c r="L164" s="0">
        <v>164</v>
      </c>
    </row>
    <row r="165">
      <c r="A165" s="137">
        <v>42606.03125</v>
      </c>
      <c r="B165" s="105">
        <v>0.0104166666666667</v>
      </c>
      <c r="C165" s="0" t="s">
        <v>6</v>
      </c>
      <c r="D165" s="0" t="s">
        <v>7</v>
      </c>
      <c r="E165" s="0" t="s">
        <v>968</v>
      </c>
      <c r="F165" s="0" t="s">
        <v>989</v>
      </c>
      <c r="G165" s="0" t="s">
        <v>990</v>
      </c>
      <c r="J165" s="97">
        <v>42606.0311368287</v>
      </c>
      <c r="K165" s="99">
        <v>74</v>
      </c>
      <c r="L165" s="0">
        <v>165</v>
      </c>
    </row>
    <row r="166">
      <c r="A166" s="137">
        <v>42606.0208333333</v>
      </c>
      <c r="B166" s="105">
        <v>0.0104166666666667</v>
      </c>
      <c r="C166" s="0" t="s">
        <v>6</v>
      </c>
      <c r="D166" s="0" t="s">
        <v>7</v>
      </c>
      <c r="E166" s="0" t="s">
        <v>968</v>
      </c>
      <c r="F166" s="0" t="s">
        <v>989</v>
      </c>
      <c r="G166" s="0" t="s">
        <v>990</v>
      </c>
      <c r="J166" s="97">
        <v>42606.0207201852</v>
      </c>
      <c r="K166" s="99">
        <v>62</v>
      </c>
      <c r="L166" s="0">
        <v>166</v>
      </c>
    </row>
    <row r="167">
      <c r="A167" s="137">
        <v>42606.0104166667</v>
      </c>
      <c r="B167" s="105">
        <v>0.0104166666666667</v>
      </c>
      <c r="C167" s="0" t="s">
        <v>6</v>
      </c>
      <c r="D167" s="0" t="s">
        <v>7</v>
      </c>
      <c r="E167" s="0" t="s">
        <v>968</v>
      </c>
      <c r="F167" s="0" t="s">
        <v>988</v>
      </c>
      <c r="J167" s="97">
        <v>42606.0011184144</v>
      </c>
      <c r="K167" s="99">
        <v>14</v>
      </c>
      <c r="L167" s="0">
        <v>168</v>
      </c>
    </row>
    <row r="168">
      <c r="A168" s="137">
        <v>42606.0104166667</v>
      </c>
      <c r="B168" s="105">
        <v>0.0104166666666667</v>
      </c>
      <c r="C168" s="0" t="s">
        <v>6</v>
      </c>
      <c r="D168" s="0" t="s">
        <v>7</v>
      </c>
      <c r="E168" s="0" t="s">
        <v>968</v>
      </c>
      <c r="F168" s="0" t="s">
        <v>989</v>
      </c>
      <c r="G168" s="0" t="s">
        <v>990</v>
      </c>
      <c r="J168" s="97">
        <v>42606.0103033912</v>
      </c>
      <c r="K168" s="99">
        <v>78</v>
      </c>
      <c r="L168" s="0">
        <v>167</v>
      </c>
    </row>
    <row r="169">
      <c r="A169" s="137">
        <v>42606</v>
      </c>
      <c r="B169" s="105">
        <v>0.0104166666666667</v>
      </c>
      <c r="C169" s="0" t="s">
        <v>6</v>
      </c>
      <c r="D169" s="0" t="s">
        <v>7</v>
      </c>
      <c r="E169" s="0" t="s">
        <v>968</v>
      </c>
      <c r="F169" s="0" t="s">
        <v>989</v>
      </c>
      <c r="G169" s="0" t="s">
        <v>990</v>
      </c>
      <c r="J169" s="97">
        <v>42605.9998867245</v>
      </c>
      <c r="K169" s="99">
        <v>80</v>
      </c>
      <c r="L169" s="0">
        <v>169</v>
      </c>
    </row>
    <row r="170">
      <c r="A170" s="137">
        <v>42605.9895833333</v>
      </c>
      <c r="B170" s="105">
        <v>0.0104166666666667</v>
      </c>
      <c r="C170" s="0" t="s">
        <v>6</v>
      </c>
      <c r="D170" s="0" t="s">
        <v>7</v>
      </c>
      <c r="E170" s="0" t="s">
        <v>968</v>
      </c>
      <c r="F170" s="0" t="s">
        <v>989</v>
      </c>
      <c r="G170" s="0" t="s">
        <v>990</v>
      </c>
      <c r="J170" s="97">
        <v>42605.989470081</v>
      </c>
      <c r="K170" s="99">
        <v>86</v>
      </c>
      <c r="L170" s="0">
        <v>170</v>
      </c>
    </row>
    <row r="171">
      <c r="A171" s="137">
        <v>42605.9791666667</v>
      </c>
      <c r="B171" s="105">
        <v>0.0104166666666667</v>
      </c>
      <c r="C171" s="0" t="s">
        <v>6</v>
      </c>
      <c r="D171" s="0" t="s">
        <v>7</v>
      </c>
      <c r="E171" s="0" t="s">
        <v>968</v>
      </c>
      <c r="F171" s="0" t="s">
        <v>989</v>
      </c>
      <c r="G171" s="0" t="s">
        <v>990</v>
      </c>
      <c r="J171" s="97">
        <v>42605.9790534144</v>
      </c>
      <c r="K171" s="99">
        <v>70</v>
      </c>
      <c r="L171" s="0">
        <v>171</v>
      </c>
    </row>
    <row r="172">
      <c r="A172" s="137">
        <v>42605.96875</v>
      </c>
      <c r="B172" s="105">
        <v>0.0104166666666667</v>
      </c>
      <c r="C172" s="0" t="s">
        <v>6</v>
      </c>
      <c r="D172" s="0" t="s">
        <v>7</v>
      </c>
      <c r="E172" s="0" t="s">
        <v>968</v>
      </c>
      <c r="F172" s="0" t="s">
        <v>988</v>
      </c>
      <c r="J172" s="97">
        <v>42605.9594493403</v>
      </c>
      <c r="K172" s="99">
        <v>1</v>
      </c>
      <c r="L172" s="0">
        <v>173</v>
      </c>
    </row>
    <row r="173">
      <c r="A173" s="137">
        <v>42605.96875</v>
      </c>
      <c r="B173" s="105">
        <v>0.0104166666666667</v>
      </c>
      <c r="C173" s="0" t="s">
        <v>6</v>
      </c>
      <c r="D173" s="0" t="s">
        <v>7</v>
      </c>
      <c r="E173" s="0" t="s">
        <v>968</v>
      </c>
      <c r="F173" s="0" t="s">
        <v>989</v>
      </c>
      <c r="G173" s="0" t="s">
        <v>990</v>
      </c>
      <c r="J173" s="97">
        <v>42605.9685209838</v>
      </c>
      <c r="K173" s="99">
        <v>68</v>
      </c>
      <c r="L173" s="0">
        <v>172</v>
      </c>
    </row>
    <row r="174">
      <c r="A174" s="137">
        <v>42605.9583333333</v>
      </c>
      <c r="B174" s="105">
        <v>0.0104166666666667</v>
      </c>
      <c r="C174" s="0" t="s">
        <v>6</v>
      </c>
      <c r="D174" s="0" t="s">
        <v>7</v>
      </c>
      <c r="E174" s="0" t="s">
        <v>968</v>
      </c>
      <c r="F174" s="0" t="s">
        <v>989</v>
      </c>
      <c r="G174" s="0" t="s">
        <v>990</v>
      </c>
      <c r="J174" s="97">
        <v>42605.9582202199</v>
      </c>
      <c r="K174" s="99">
        <v>73</v>
      </c>
      <c r="L174" s="0">
        <v>174</v>
      </c>
    </row>
    <row r="175">
      <c r="A175" s="137">
        <v>42605.9479166667</v>
      </c>
      <c r="B175" s="105">
        <v>0.0104166666666667</v>
      </c>
      <c r="C175" s="0" t="s">
        <v>6</v>
      </c>
      <c r="D175" s="0" t="s">
        <v>7</v>
      </c>
      <c r="E175" s="0" t="s">
        <v>968</v>
      </c>
      <c r="F175" s="0" t="s">
        <v>989</v>
      </c>
      <c r="G175" s="0" t="s">
        <v>990</v>
      </c>
      <c r="J175" s="97">
        <v>42605.9475719213</v>
      </c>
      <c r="K175" s="99">
        <v>67</v>
      </c>
      <c r="L175" s="0">
        <v>175</v>
      </c>
    </row>
    <row r="176">
      <c r="A176" s="137">
        <v>42605.9375</v>
      </c>
      <c r="B176" s="105">
        <v>0.0104166666666667</v>
      </c>
      <c r="C176" s="0" t="s">
        <v>6</v>
      </c>
      <c r="D176" s="0" t="s">
        <v>7</v>
      </c>
      <c r="E176" s="0" t="s">
        <v>968</v>
      </c>
      <c r="F176" s="0" t="s">
        <v>988</v>
      </c>
      <c r="J176" s="97">
        <v>42605.9310163773</v>
      </c>
      <c r="K176" s="99">
        <v>2</v>
      </c>
      <c r="L176" s="0">
        <v>177</v>
      </c>
    </row>
    <row r="177">
      <c r="A177" s="137">
        <v>42605.9375</v>
      </c>
      <c r="B177" s="105">
        <v>0.0104166666666667</v>
      </c>
      <c r="C177" s="0" t="s">
        <v>6</v>
      </c>
      <c r="D177" s="0" t="s">
        <v>7</v>
      </c>
      <c r="E177" s="0" t="s">
        <v>968</v>
      </c>
      <c r="F177" s="0" t="s">
        <v>989</v>
      </c>
      <c r="G177" s="0" t="s">
        <v>990</v>
      </c>
      <c r="J177" s="97">
        <v>42605.9372710069</v>
      </c>
      <c r="K177" s="99">
        <v>75</v>
      </c>
      <c r="L177" s="0">
        <v>176</v>
      </c>
    </row>
    <row r="178">
      <c r="A178" s="137">
        <v>42605.9270833333</v>
      </c>
      <c r="B178" s="105">
        <v>0.0104166666666667</v>
      </c>
      <c r="C178" s="0" t="s">
        <v>6</v>
      </c>
      <c r="D178" s="0" t="s">
        <v>7</v>
      </c>
      <c r="E178" s="0" t="s">
        <v>968</v>
      </c>
      <c r="F178" s="0" t="s">
        <v>988</v>
      </c>
      <c r="J178" s="97">
        <v>42605.9177860185</v>
      </c>
      <c r="K178" s="99">
        <v>1</v>
      </c>
      <c r="L178" s="0">
        <v>179</v>
      </c>
    </row>
    <row r="179">
      <c r="A179" s="137">
        <v>42605.9270833333</v>
      </c>
      <c r="B179" s="105">
        <v>0.0104166666666667</v>
      </c>
      <c r="C179" s="0" t="s">
        <v>6</v>
      </c>
      <c r="D179" s="0" t="s">
        <v>7</v>
      </c>
      <c r="E179" s="0" t="s">
        <v>968</v>
      </c>
      <c r="F179" s="0" t="s">
        <v>989</v>
      </c>
      <c r="G179" s="0" t="s">
        <v>990</v>
      </c>
      <c r="J179" s="97">
        <v>42605.926970081</v>
      </c>
      <c r="K179" s="99">
        <v>66</v>
      </c>
      <c r="L179" s="0">
        <v>178</v>
      </c>
    </row>
    <row r="180">
      <c r="A180" s="137">
        <v>42605.9166666667</v>
      </c>
      <c r="B180" s="105">
        <v>0.0104166666666667</v>
      </c>
      <c r="C180" s="0" t="s">
        <v>6</v>
      </c>
      <c r="D180" s="0" t="s">
        <v>7</v>
      </c>
      <c r="E180" s="0" t="s">
        <v>968</v>
      </c>
      <c r="F180" s="0" t="s">
        <v>989</v>
      </c>
      <c r="G180" s="0" t="s">
        <v>990</v>
      </c>
      <c r="J180" s="97">
        <v>42605.9165534144</v>
      </c>
      <c r="K180" s="99">
        <v>75</v>
      </c>
      <c r="L180" s="0">
        <v>180</v>
      </c>
    </row>
    <row r="181">
      <c r="A181" s="137">
        <v>42605.90625</v>
      </c>
      <c r="B181" s="105">
        <v>0.0104166666666667</v>
      </c>
      <c r="C181" s="0" t="s">
        <v>6</v>
      </c>
      <c r="D181" s="0" t="s">
        <v>7</v>
      </c>
      <c r="E181" s="0" t="s">
        <v>968</v>
      </c>
      <c r="F181" s="0" t="s">
        <v>989</v>
      </c>
      <c r="G181" s="0" t="s">
        <v>990</v>
      </c>
      <c r="J181" s="97">
        <v>42605.9061368519</v>
      </c>
      <c r="K181" s="99">
        <v>75</v>
      </c>
      <c r="L181" s="0">
        <v>181</v>
      </c>
    </row>
    <row r="182">
      <c r="A182" s="137">
        <v>42605.8958333333</v>
      </c>
      <c r="B182" s="105">
        <v>0.0104166666666667</v>
      </c>
      <c r="C182" s="0" t="s">
        <v>6</v>
      </c>
      <c r="D182" s="0" t="s">
        <v>7</v>
      </c>
      <c r="E182" s="0" t="s">
        <v>968</v>
      </c>
      <c r="F182" s="0" t="s">
        <v>989</v>
      </c>
      <c r="G182" s="0" t="s">
        <v>990</v>
      </c>
      <c r="J182" s="97">
        <v>42605.8957202199</v>
      </c>
      <c r="K182" s="99">
        <v>77</v>
      </c>
      <c r="L182" s="0">
        <v>182</v>
      </c>
    </row>
    <row r="183">
      <c r="A183" s="137">
        <v>42605.8854166667</v>
      </c>
      <c r="B183" s="105">
        <v>0.0104166666666667</v>
      </c>
      <c r="C183" s="0" t="s">
        <v>6</v>
      </c>
      <c r="D183" s="0" t="s">
        <v>7</v>
      </c>
      <c r="E183" s="0" t="s">
        <v>968</v>
      </c>
      <c r="F183" s="0" t="s">
        <v>988</v>
      </c>
      <c r="J183" s="97">
        <v>42605.8761183102</v>
      </c>
      <c r="K183" s="99">
        <v>14</v>
      </c>
      <c r="L183" s="0">
        <v>185</v>
      </c>
    </row>
    <row r="184">
      <c r="A184" s="137">
        <v>42605.8854166667</v>
      </c>
      <c r="B184" s="105">
        <v>0.0104166666666667</v>
      </c>
      <c r="C184" s="0" t="s">
        <v>6</v>
      </c>
      <c r="D184" s="0" t="s">
        <v>7</v>
      </c>
      <c r="E184" s="0" t="s">
        <v>968</v>
      </c>
      <c r="F184" s="0" t="s">
        <v>989</v>
      </c>
      <c r="G184" s="0" t="s">
        <v>990</v>
      </c>
      <c r="J184" s="97">
        <v>42605.8853034144</v>
      </c>
      <c r="K184" s="99">
        <v>87</v>
      </c>
      <c r="L184" s="0">
        <v>183</v>
      </c>
    </row>
    <row r="185">
      <c r="A185" s="137">
        <v>42605.8854166667</v>
      </c>
      <c r="B185" s="105">
        <v>0.0104166666666667</v>
      </c>
      <c r="C185" s="0" t="s">
        <v>6</v>
      </c>
      <c r="D185" s="0" t="s">
        <v>7</v>
      </c>
      <c r="E185" s="0" t="s">
        <v>968</v>
      </c>
      <c r="F185" s="0" t="s">
        <v>991</v>
      </c>
      <c r="J185" s="97">
        <v>42605.8845304282</v>
      </c>
      <c r="K185" s="99">
        <v>2</v>
      </c>
      <c r="L185" s="0">
        <v>184</v>
      </c>
    </row>
    <row r="186">
      <c r="A186" s="137">
        <v>42605.875</v>
      </c>
      <c r="B186" s="105">
        <v>0.0104166666666667</v>
      </c>
      <c r="C186" s="0" t="s">
        <v>6</v>
      </c>
      <c r="D186" s="0" t="s">
        <v>7</v>
      </c>
      <c r="E186" s="0" t="s">
        <v>968</v>
      </c>
      <c r="F186" s="0" t="s">
        <v>989</v>
      </c>
      <c r="G186" s="0" t="s">
        <v>990</v>
      </c>
      <c r="J186" s="97">
        <v>42605.8748867245</v>
      </c>
      <c r="K186" s="99">
        <v>81</v>
      </c>
      <c r="L186" s="0">
        <v>186</v>
      </c>
    </row>
    <row r="187">
      <c r="A187" s="137">
        <v>42605.875</v>
      </c>
      <c r="B187" s="105">
        <v>0.0104166666666667</v>
      </c>
      <c r="C187" s="0" t="s">
        <v>6</v>
      </c>
      <c r="D187" s="0" t="s">
        <v>7</v>
      </c>
      <c r="E187" s="0" t="s">
        <v>968</v>
      </c>
      <c r="F187" s="0" t="s">
        <v>991</v>
      </c>
      <c r="J187" s="97">
        <v>42605.870495544</v>
      </c>
      <c r="K187" s="99">
        <v>2</v>
      </c>
      <c r="L187" s="0">
        <v>187</v>
      </c>
    </row>
    <row r="188">
      <c r="A188" s="137">
        <v>42605.8645833333</v>
      </c>
      <c r="B188" s="105">
        <v>0.0104166666666667</v>
      </c>
      <c r="C188" s="0" t="s">
        <v>6</v>
      </c>
      <c r="D188" s="0" t="s">
        <v>7</v>
      </c>
      <c r="E188" s="0" t="s">
        <v>968</v>
      </c>
      <c r="F188" s="0" t="s">
        <v>989</v>
      </c>
      <c r="G188" s="0" t="s">
        <v>990</v>
      </c>
      <c r="J188" s="97">
        <v>42605.864470081</v>
      </c>
      <c r="K188" s="99">
        <v>74</v>
      </c>
      <c r="L188" s="0">
        <v>188</v>
      </c>
    </row>
    <row r="189">
      <c r="A189" s="137">
        <v>42605.8541666667</v>
      </c>
      <c r="B189" s="105">
        <v>0.0104166666666667</v>
      </c>
      <c r="C189" s="0" t="s">
        <v>6</v>
      </c>
      <c r="D189" s="0" t="s">
        <v>7</v>
      </c>
      <c r="E189" s="0" t="s">
        <v>968</v>
      </c>
      <c r="F189" s="0" t="s">
        <v>989</v>
      </c>
      <c r="G189" s="0" t="s">
        <v>990</v>
      </c>
      <c r="J189" s="97">
        <v>42605.8540533912</v>
      </c>
      <c r="K189" s="99">
        <v>72</v>
      </c>
      <c r="L189" s="0">
        <v>189</v>
      </c>
    </row>
    <row r="190">
      <c r="A190" s="137">
        <v>42605.84375</v>
      </c>
      <c r="B190" s="105">
        <v>0.0104166666666667</v>
      </c>
      <c r="C190" s="0" t="s">
        <v>6</v>
      </c>
      <c r="D190" s="0" t="s">
        <v>7</v>
      </c>
      <c r="E190" s="0" t="s">
        <v>968</v>
      </c>
      <c r="F190" s="0" t="s">
        <v>988</v>
      </c>
      <c r="J190" s="97">
        <v>42605.8344484607</v>
      </c>
      <c r="K190" s="99">
        <v>1</v>
      </c>
      <c r="L190" s="0">
        <v>191</v>
      </c>
    </row>
    <row r="191">
      <c r="A191" s="137">
        <v>42605.84375</v>
      </c>
      <c r="B191" s="105">
        <v>0.0104166666666667</v>
      </c>
      <c r="C191" s="0" t="s">
        <v>6</v>
      </c>
      <c r="D191" s="0" t="s">
        <v>7</v>
      </c>
      <c r="E191" s="0" t="s">
        <v>968</v>
      </c>
      <c r="F191" s="0" t="s">
        <v>989</v>
      </c>
      <c r="G191" s="0" t="s">
        <v>990</v>
      </c>
      <c r="J191" s="97">
        <v>42605.843636875</v>
      </c>
      <c r="K191" s="99">
        <v>72</v>
      </c>
      <c r="L191" s="0">
        <v>190</v>
      </c>
    </row>
    <row r="192">
      <c r="A192" s="137">
        <v>42605.8333333333</v>
      </c>
      <c r="B192" s="105">
        <v>0.0104166666666667</v>
      </c>
      <c r="C192" s="0" t="s">
        <v>6</v>
      </c>
      <c r="D192" s="0" t="s">
        <v>7</v>
      </c>
      <c r="E192" s="0" t="s">
        <v>968</v>
      </c>
      <c r="F192" s="0" t="s">
        <v>989</v>
      </c>
      <c r="G192" s="0" t="s">
        <v>990</v>
      </c>
      <c r="J192" s="97">
        <v>42605.8332200579</v>
      </c>
      <c r="K192" s="99">
        <v>74</v>
      </c>
      <c r="L192" s="0">
        <v>192</v>
      </c>
    </row>
    <row r="193">
      <c r="A193" s="137">
        <v>42605.8229166667</v>
      </c>
      <c r="B193" s="105">
        <v>0.0104166666666667</v>
      </c>
      <c r="C193" s="0" t="s">
        <v>6</v>
      </c>
      <c r="D193" s="0" t="s">
        <v>7</v>
      </c>
      <c r="E193" s="0" t="s">
        <v>968</v>
      </c>
      <c r="F193" s="0" t="s">
        <v>989</v>
      </c>
      <c r="G193" s="0" t="s">
        <v>990</v>
      </c>
      <c r="J193" s="97">
        <v>42605.8228034259</v>
      </c>
      <c r="K193" s="99">
        <v>60</v>
      </c>
      <c r="L193" s="0">
        <v>193</v>
      </c>
    </row>
    <row r="194">
      <c r="A194" s="137">
        <v>42605.8125</v>
      </c>
      <c r="B194" s="105">
        <v>0.0104166666666667</v>
      </c>
      <c r="C194" s="0" t="s">
        <v>6</v>
      </c>
      <c r="D194" s="0" t="s">
        <v>7</v>
      </c>
      <c r="E194" s="0" t="s">
        <v>968</v>
      </c>
      <c r="F194" s="0" t="s">
        <v>988</v>
      </c>
      <c r="J194" s="97">
        <v>42605.8060157639</v>
      </c>
      <c r="K194" s="99">
        <v>2</v>
      </c>
      <c r="L194" s="0">
        <v>195</v>
      </c>
    </row>
    <row r="195">
      <c r="A195" s="137">
        <v>42605.8125</v>
      </c>
      <c r="B195" s="105">
        <v>0.0104166666666667</v>
      </c>
      <c r="C195" s="0" t="s">
        <v>6</v>
      </c>
      <c r="D195" s="0" t="s">
        <v>7</v>
      </c>
      <c r="E195" s="0" t="s">
        <v>968</v>
      </c>
      <c r="F195" s="0" t="s">
        <v>989</v>
      </c>
      <c r="G195" s="0" t="s">
        <v>990</v>
      </c>
      <c r="J195" s="97">
        <v>42605.812386875</v>
      </c>
      <c r="K195" s="99">
        <v>64</v>
      </c>
      <c r="L195" s="0">
        <v>194</v>
      </c>
    </row>
    <row r="196">
      <c r="A196" s="137">
        <v>42605.8020833333</v>
      </c>
      <c r="B196" s="105">
        <v>1</v>
      </c>
      <c r="J196" s="97"/>
      <c r="K196" s="99">
        <v>0</v>
      </c>
    </row>
  </sheetData>
  <autoFilter ref="A2:N2"/>
  <mergeCells>
    <mergeCell ref="A1:G1"/>
  </mergeCells>
  <pageMargins left="0.7" right="0.7" top="0.75" bottom="0.75" header="0.3" footer="0.3"/>
  <pageSetup orientation="portrait" horizontalDpi="0" verticalDpi="0"/>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7"/>
  <sheetViews>
    <sheetView workbookViewId="0"/>
  </sheetViews>
  <sheetFormatPr defaultRowHeight="15"/>
  <cols>
    <col min="1" max="1" width="150" customWidth="1" style="141"/>
  </cols>
  <sheetData>
    <row r="1">
      <c r="A1" s="142" t="s">
        <v>992</v>
      </c>
    </row>
    <row r="2">
      <c r="A2" s="141" t="s">
        <v>993</v>
      </c>
    </row>
    <row r="3">
      <c r="A3" s="141" t="s">
        <v>994</v>
      </c>
    </row>
    <row r="4">
      <c r="A4" s="141" t="s">
        <v>995</v>
      </c>
    </row>
    <row r="5">
      <c r="A5" s="141" t="s">
        <v>996</v>
      </c>
    </row>
    <row r="6">
      <c r="A6" s="141" t="s">
        <v>997</v>
      </c>
    </row>
    <row r="7">
      <c r="A7" s="141" t="s">
        <v>998</v>
      </c>
    </row>
  </sheetData>
  <pageMargins left="0.7" right="0.7" top="0.75" bottom="0.75" header="0.3" footer="0.3"/>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sheetViews>
    <sheetView workbookViewId="0"/>
  </sheetViews>
  <sheetFormatPr defaultRowHeight="15"/>
  <sheetData/>
  <pageMargins left="0.7" right="0.7" top="0.75" bottom="0.75" header="0.3" footer="0.3"/>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201"/>
  <sheetViews>
    <sheetView workbookViewId="0">
      <pane ySplit="1" topLeftCell="A2" state="frozen" activePane="bottomLeft"/>
      <selection pane="bottomLeft" activeCell="A2" sqref="A2"/>
    </sheetView>
  </sheetViews>
  <sheetFormatPr defaultRowHeight="15"/>
  <cols>
    <col min="1" max="1" width="9.66399908065796" customWidth="1"/>
    <col min="2" max="2" width="14.1767406463623" customWidth="1"/>
    <col min="3" max="3" width="17.5784320831299" customWidth="1"/>
    <col min="4" max="4" width="11.9802188873291" customWidth="1"/>
    <col min="5" max="5" width="9.140625" customWidth="1"/>
    <col min="6" max="6" width="45.2234191894531" customWidth="1"/>
    <col min="7" max="7" width="9.140625" customWidth="1"/>
    <col min="8" max="8" width="17.9283208847046" customWidth="1"/>
    <col min="9" max="9" width="23.3014583587646" customWidth="1" style="95"/>
    <col min="10" max="10" width="9.140625" customWidth="1"/>
    <col min="11" max="11" width="9.93306493759155" customWidth="1"/>
    <col min="12" max="12" width="25.4263648986816" customWidth="1"/>
  </cols>
  <sheetData>
    <row r="1" s="94" customFormat="1">
      <c r="A1" s="96" t="s">
        <v>537</v>
      </c>
      <c r="B1" s="96" t="s">
        <v>0</v>
      </c>
      <c r="C1" s="96" t="s">
        <v>1</v>
      </c>
      <c r="D1" s="96" t="s">
        <v>522</v>
      </c>
      <c r="E1" s="96" t="s">
        <v>523</v>
      </c>
      <c r="F1" s="96" t="s">
        <v>541</v>
      </c>
      <c r="G1" s="96" t="s">
        <v>234</v>
      </c>
      <c r="H1" s="96" t="s">
        <v>904</v>
      </c>
      <c r="I1" s="96" t="s">
        <v>905</v>
      </c>
      <c r="J1" s="94" t="s">
        <v>540</v>
      </c>
      <c r="K1" s="94" t="s">
        <v>906</v>
      </c>
      <c r="L1" s="94" t="s">
        <v>764</v>
      </c>
    </row>
    <row r="2">
      <c r="A2" s="0" t="s">
        <v>907</v>
      </c>
      <c r="B2" s="0" t="s">
        <v>6</v>
      </c>
      <c r="C2" s="0" t="s">
        <v>7</v>
      </c>
      <c r="D2" s="0" t="s">
        <v>531</v>
      </c>
      <c r="F2" s="0" t="s">
        <v>908</v>
      </c>
      <c r="G2" s="0">
        <v>0</v>
      </c>
      <c r="I2" s="95"/>
      <c r="K2" s="0">
        <v>0</v>
      </c>
    </row>
    <row r="3">
      <c r="A3" s="0" t="s">
        <v>907</v>
      </c>
      <c r="B3" s="0" t="s">
        <v>6</v>
      </c>
      <c r="C3" s="0" t="s">
        <v>7</v>
      </c>
      <c r="D3" s="0" t="s">
        <v>531</v>
      </c>
      <c r="F3" s="0" t="s">
        <v>729</v>
      </c>
      <c r="H3" s="0" t="s">
        <v>909</v>
      </c>
      <c r="I3" s="95"/>
    </row>
    <row r="4">
      <c r="A4" s="0" t="s">
        <v>907</v>
      </c>
      <c r="B4" s="0" t="s">
        <v>6</v>
      </c>
      <c r="C4" s="0" t="s">
        <v>7</v>
      </c>
      <c r="D4" s="0" t="s">
        <v>531</v>
      </c>
      <c r="F4" s="0" t="s">
        <v>910</v>
      </c>
      <c r="G4" s="0">
        <v>5</v>
      </c>
      <c r="I4" s="95"/>
      <c r="K4" s="0">
        <v>5</v>
      </c>
    </row>
    <row r="5">
      <c r="A5" s="0" t="s">
        <v>907</v>
      </c>
      <c r="B5" s="0" t="s">
        <v>6</v>
      </c>
      <c r="C5" s="0" t="s">
        <v>7</v>
      </c>
      <c r="D5" s="0" t="s">
        <v>531</v>
      </c>
      <c r="F5" s="0" t="s">
        <v>754</v>
      </c>
      <c r="G5" s="0">
        <v>0.0436</v>
      </c>
      <c r="H5" s="0" t="s">
        <v>911</v>
      </c>
      <c r="I5" s="95"/>
      <c r="K5" s="0">
        <v>0.0436</v>
      </c>
    </row>
    <row r="6">
      <c r="A6" s="0" t="s">
        <v>907</v>
      </c>
      <c r="B6" s="0" t="s">
        <v>6</v>
      </c>
      <c r="C6" s="0" t="s">
        <v>7</v>
      </c>
      <c r="D6" s="0" t="s">
        <v>531</v>
      </c>
      <c r="F6" s="0" t="s">
        <v>912</v>
      </c>
      <c r="G6" s="0">
        <v>0</v>
      </c>
      <c r="I6" s="95"/>
      <c r="K6" s="0">
        <v>0</v>
      </c>
    </row>
    <row r="7">
      <c r="A7" s="0" t="s">
        <v>907</v>
      </c>
      <c r="B7" s="0" t="s">
        <v>6</v>
      </c>
      <c r="C7" s="0" t="s">
        <v>7</v>
      </c>
      <c r="D7" s="0" t="s">
        <v>531</v>
      </c>
      <c r="E7" s="0" t="s">
        <v>678</v>
      </c>
      <c r="F7" s="0" t="s">
        <v>913</v>
      </c>
      <c r="G7" s="0">
        <v>2</v>
      </c>
      <c r="I7" s="95"/>
      <c r="J7" s="0" t="b">
        <v>0</v>
      </c>
      <c r="K7" s="0">
        <v>2</v>
      </c>
    </row>
    <row r="8">
      <c r="A8" s="0" t="s">
        <v>907</v>
      </c>
      <c r="B8" s="0" t="s">
        <v>6</v>
      </c>
      <c r="C8" s="0" t="s">
        <v>7</v>
      </c>
      <c r="D8" s="0" t="s">
        <v>531</v>
      </c>
      <c r="E8" s="0" t="s">
        <v>678</v>
      </c>
      <c r="F8" s="0" t="s">
        <v>914</v>
      </c>
      <c r="G8" s="0">
        <v>9917</v>
      </c>
      <c r="I8" s="95">
        <v>0.0094575881958007813</v>
      </c>
      <c r="J8" s="0" t="b">
        <v>0</v>
      </c>
      <c r="K8" s="0">
        <v>9917</v>
      </c>
    </row>
    <row r="9">
      <c r="A9" s="0" t="s">
        <v>907</v>
      </c>
      <c r="B9" s="0" t="s">
        <v>6</v>
      </c>
      <c r="C9" s="0" t="s">
        <v>7</v>
      </c>
      <c r="D9" s="0" t="s">
        <v>531</v>
      </c>
      <c r="E9" s="0" t="s">
        <v>678</v>
      </c>
      <c r="F9" s="0" t="s">
        <v>709</v>
      </c>
      <c r="G9" s="0">
        <v>9917</v>
      </c>
      <c r="I9" s="95">
        <v>0.0094575881958007813</v>
      </c>
      <c r="J9" s="0" t="b">
        <v>0</v>
      </c>
      <c r="K9" s="0">
        <v>9917</v>
      </c>
    </row>
    <row r="10">
      <c r="A10" s="0" t="s">
        <v>907</v>
      </c>
      <c r="B10" s="0" t="s">
        <v>6</v>
      </c>
      <c r="C10" s="0" t="s">
        <v>7</v>
      </c>
      <c r="D10" s="0" t="s">
        <v>531</v>
      </c>
      <c r="E10" s="0" t="s">
        <v>678</v>
      </c>
      <c r="F10" s="0" t="s">
        <v>915</v>
      </c>
      <c r="G10" s="0">
        <v>0</v>
      </c>
      <c r="I10" s="95">
        <v>0</v>
      </c>
      <c r="J10" s="0" t="b">
        <v>0</v>
      </c>
      <c r="K10" s="0">
        <v>0</v>
      </c>
    </row>
    <row r="11">
      <c r="A11" s="0" t="s">
        <v>907</v>
      </c>
      <c r="B11" s="0" t="s">
        <v>6</v>
      </c>
      <c r="C11" s="0" t="s">
        <v>7</v>
      </c>
      <c r="D11" s="0" t="s">
        <v>531</v>
      </c>
      <c r="E11" s="0" t="s">
        <v>678</v>
      </c>
      <c r="F11" s="0" t="s">
        <v>916</v>
      </c>
      <c r="G11" s="0">
        <v>224</v>
      </c>
      <c r="I11" s="95">
        <v>0.000213623046875</v>
      </c>
      <c r="J11" s="0" t="b">
        <v>0</v>
      </c>
      <c r="K11" s="0">
        <v>224</v>
      </c>
    </row>
    <row r="12">
      <c r="A12" s="0" t="s">
        <v>907</v>
      </c>
      <c r="B12" s="0" t="s">
        <v>6</v>
      </c>
      <c r="C12" s="0" t="s">
        <v>7</v>
      </c>
      <c r="D12" s="0" t="s">
        <v>531</v>
      </c>
      <c r="E12" s="0" t="s">
        <v>678</v>
      </c>
      <c r="F12" s="0" t="s">
        <v>917</v>
      </c>
      <c r="G12" s="0">
        <v>0.86003584229390673</v>
      </c>
      <c r="I12" s="95"/>
      <c r="J12" s="0" t="b">
        <v>0</v>
      </c>
      <c r="K12" s="0">
        <v>0.86003584229390673</v>
      </c>
    </row>
    <row r="13">
      <c r="A13" s="0" t="s">
        <v>907</v>
      </c>
      <c r="B13" s="0" t="s">
        <v>6</v>
      </c>
      <c r="C13" s="0" t="s">
        <v>7</v>
      </c>
      <c r="D13" s="0" t="s">
        <v>531</v>
      </c>
      <c r="E13" s="0" t="s">
        <v>678</v>
      </c>
      <c r="F13" s="0" t="s">
        <v>547</v>
      </c>
      <c r="G13" s="0">
        <v>4</v>
      </c>
      <c r="I13" s="95"/>
      <c r="J13" s="0" t="b">
        <v>0</v>
      </c>
      <c r="K13" s="0">
        <v>4</v>
      </c>
    </row>
    <row r="14">
      <c r="A14" s="0" t="s">
        <v>907</v>
      </c>
      <c r="B14" s="0" t="s">
        <v>6</v>
      </c>
      <c r="C14" s="0" t="s">
        <v>7</v>
      </c>
      <c r="D14" s="0" t="s">
        <v>531</v>
      </c>
      <c r="E14" s="0" t="s">
        <v>678</v>
      </c>
      <c r="F14" s="0" t="s">
        <v>918</v>
      </c>
      <c r="G14" s="0">
        <v>0</v>
      </c>
      <c r="I14" s="95"/>
      <c r="J14" s="0" t="b">
        <v>0</v>
      </c>
      <c r="K14" s="0">
        <v>0</v>
      </c>
    </row>
    <row r="15">
      <c r="A15" s="0" t="s">
        <v>907</v>
      </c>
      <c r="B15" s="0" t="s">
        <v>6</v>
      </c>
      <c r="C15" s="0" t="s">
        <v>7</v>
      </c>
      <c r="D15" s="0" t="s">
        <v>531</v>
      </c>
      <c r="E15" s="0" t="s">
        <v>678</v>
      </c>
      <c r="F15" s="0" t="s">
        <v>919</v>
      </c>
      <c r="G15" s="0">
        <v>0</v>
      </c>
      <c r="I15" s="95">
        <v>0</v>
      </c>
      <c r="J15" s="0" t="b">
        <v>0</v>
      </c>
      <c r="K15" s="0">
        <v>0</v>
      </c>
    </row>
    <row r="16">
      <c r="A16" s="0" t="s">
        <v>907</v>
      </c>
      <c r="B16" s="0" t="s">
        <v>6</v>
      </c>
      <c r="C16" s="0" t="s">
        <v>7</v>
      </c>
      <c r="D16" s="0" t="s">
        <v>531</v>
      </c>
      <c r="E16" s="0" t="s">
        <v>678</v>
      </c>
      <c r="F16" s="0" t="s">
        <v>920</v>
      </c>
      <c r="G16" s="0">
        <v>0</v>
      </c>
      <c r="I16" s="95">
        <v>0</v>
      </c>
      <c r="J16" s="0" t="b">
        <v>0</v>
      </c>
      <c r="K16" s="0">
        <v>0</v>
      </c>
    </row>
    <row r="17">
      <c r="A17" s="0" t="s">
        <v>907</v>
      </c>
      <c r="B17" s="0" t="s">
        <v>6</v>
      </c>
      <c r="C17" s="0" t="s">
        <v>7</v>
      </c>
      <c r="D17" s="0" t="s">
        <v>531</v>
      </c>
      <c r="E17" s="0" t="s">
        <v>678</v>
      </c>
      <c r="F17" s="0" t="s">
        <v>921</v>
      </c>
      <c r="G17" s="0">
        <v>0</v>
      </c>
      <c r="I17" s="95"/>
      <c r="J17" s="0" t="b">
        <v>0</v>
      </c>
      <c r="K17" s="0">
        <v>0</v>
      </c>
    </row>
    <row r="18">
      <c r="A18" s="0" t="s">
        <v>907</v>
      </c>
      <c r="B18" s="0" t="s">
        <v>6</v>
      </c>
      <c r="C18" s="0" t="s">
        <v>7</v>
      </c>
      <c r="D18" s="0" t="s">
        <v>531</v>
      </c>
      <c r="E18" s="0" t="s">
        <v>678</v>
      </c>
      <c r="F18" s="0" t="s">
        <v>686</v>
      </c>
      <c r="G18" s="0">
        <v>0</v>
      </c>
      <c r="I18" s="95"/>
      <c r="J18" s="0" t="b">
        <v>0</v>
      </c>
      <c r="K18" s="0">
        <v>0</v>
      </c>
    </row>
    <row r="19">
      <c r="A19" s="0" t="s">
        <v>907</v>
      </c>
      <c r="B19" s="0" t="s">
        <v>6</v>
      </c>
      <c r="C19" s="0" t="s">
        <v>7</v>
      </c>
      <c r="D19" s="0" t="s">
        <v>531</v>
      </c>
      <c r="E19" s="0" t="s">
        <v>678</v>
      </c>
      <c r="F19" s="0" t="s">
        <v>685</v>
      </c>
      <c r="H19" s="0" t="s">
        <v>922</v>
      </c>
      <c r="I19" s="95"/>
      <c r="J19" s="0" t="b">
        <v>0</v>
      </c>
    </row>
    <row r="20">
      <c r="A20" s="0" t="s">
        <v>907</v>
      </c>
      <c r="B20" s="0" t="s">
        <v>6</v>
      </c>
      <c r="C20" s="0" t="s">
        <v>7</v>
      </c>
      <c r="D20" s="0" t="s">
        <v>531</v>
      </c>
      <c r="E20" s="0" t="s">
        <v>678</v>
      </c>
      <c r="F20" s="0" t="s">
        <v>701</v>
      </c>
      <c r="G20" s="0">
        <v>0</v>
      </c>
      <c r="I20" s="95"/>
      <c r="J20" s="0" t="b">
        <v>0</v>
      </c>
      <c r="K20" s="0">
        <v>0</v>
      </c>
    </row>
    <row r="21">
      <c r="A21" s="0" t="s">
        <v>907</v>
      </c>
      <c r="B21" s="0" t="s">
        <v>6</v>
      </c>
      <c r="C21" s="0" t="s">
        <v>7</v>
      </c>
      <c r="D21" s="0" t="s">
        <v>531</v>
      </c>
      <c r="E21" s="0" t="s">
        <v>678</v>
      </c>
      <c r="F21" s="0" t="s">
        <v>700</v>
      </c>
      <c r="H21" s="0" t="s">
        <v>922</v>
      </c>
      <c r="I21" s="95"/>
      <c r="J21" s="0" t="b">
        <v>0</v>
      </c>
    </row>
    <row r="22">
      <c r="A22" s="0" t="s">
        <v>907</v>
      </c>
      <c r="B22" s="0" t="s">
        <v>6</v>
      </c>
      <c r="C22" s="0" t="s">
        <v>7</v>
      </c>
      <c r="D22" s="0" t="s">
        <v>531</v>
      </c>
      <c r="E22" s="0" t="s">
        <v>678</v>
      </c>
      <c r="F22" s="0" t="s">
        <v>923</v>
      </c>
      <c r="G22" s="0">
        <v>0</v>
      </c>
      <c r="I22" s="95"/>
      <c r="J22" s="0" t="b">
        <v>0</v>
      </c>
      <c r="K22" s="0">
        <v>0</v>
      </c>
    </row>
    <row r="23">
      <c r="A23" s="0" t="s">
        <v>907</v>
      </c>
      <c r="B23" s="0" t="s">
        <v>6</v>
      </c>
      <c r="C23" s="0" t="s">
        <v>7</v>
      </c>
      <c r="D23" s="0" t="s">
        <v>531</v>
      </c>
      <c r="E23" s="0" t="s">
        <v>678</v>
      </c>
      <c r="F23" s="0" t="s">
        <v>924</v>
      </c>
      <c r="G23" s="0">
        <v>0</v>
      </c>
      <c r="I23" s="95"/>
      <c r="J23" s="0" t="b">
        <v>0</v>
      </c>
      <c r="K23" s="0">
        <v>0</v>
      </c>
    </row>
    <row r="24">
      <c r="A24" s="0" t="s">
        <v>907</v>
      </c>
      <c r="B24" s="0" t="s">
        <v>6</v>
      </c>
      <c r="C24" s="0" t="s">
        <v>7</v>
      </c>
      <c r="D24" s="0" t="s">
        <v>531</v>
      </c>
      <c r="E24" s="0" t="s">
        <v>678</v>
      </c>
      <c r="F24" s="0" t="s">
        <v>925</v>
      </c>
      <c r="G24" s="0">
        <v>0</v>
      </c>
      <c r="I24" s="95"/>
      <c r="J24" s="0" t="b">
        <v>0</v>
      </c>
      <c r="K24" s="0">
        <v>0</v>
      </c>
    </row>
    <row r="25">
      <c r="A25" s="0" t="s">
        <v>907</v>
      </c>
      <c r="B25" s="0" t="s">
        <v>6</v>
      </c>
      <c r="C25" s="0" t="s">
        <v>7</v>
      </c>
      <c r="D25" s="0" t="s">
        <v>531</v>
      </c>
      <c r="E25" s="0" t="s">
        <v>678</v>
      </c>
      <c r="F25" s="0" t="s">
        <v>926</v>
      </c>
      <c r="G25" s="0">
        <v>192</v>
      </c>
      <c r="I25" s="95">
        <v>0.00018310546875</v>
      </c>
      <c r="J25" s="0" t="b">
        <v>0</v>
      </c>
      <c r="K25" s="0">
        <v>192</v>
      </c>
    </row>
    <row r="26">
      <c r="A26" s="0" t="s">
        <v>907</v>
      </c>
      <c r="B26" s="0" t="s">
        <v>6</v>
      </c>
      <c r="C26" s="0" t="s">
        <v>7</v>
      </c>
      <c r="D26" s="0" t="s">
        <v>531</v>
      </c>
      <c r="E26" s="0" t="s">
        <v>678</v>
      </c>
      <c r="F26" s="0" t="s">
        <v>927</v>
      </c>
      <c r="G26" s="0">
        <v>176</v>
      </c>
      <c r="I26" s="95">
        <v>0.0001678466796875</v>
      </c>
      <c r="J26" s="0" t="b">
        <v>0</v>
      </c>
      <c r="K26" s="0">
        <v>176</v>
      </c>
    </row>
    <row r="27">
      <c r="A27" s="0" t="s">
        <v>907</v>
      </c>
      <c r="B27" s="0" t="s">
        <v>6</v>
      </c>
      <c r="C27" s="0" t="s">
        <v>7</v>
      </c>
      <c r="D27" s="0" t="s">
        <v>531</v>
      </c>
      <c r="E27" s="0" t="s">
        <v>678</v>
      </c>
      <c r="F27" s="0" t="s">
        <v>928</v>
      </c>
      <c r="G27" s="0">
        <v>32</v>
      </c>
      <c r="I27" s="95">
        <v>3.0517578125E-05</v>
      </c>
      <c r="J27" s="0" t="b">
        <v>0</v>
      </c>
      <c r="K27" s="0">
        <v>32</v>
      </c>
    </row>
    <row r="28">
      <c r="A28" s="0" t="s">
        <v>907</v>
      </c>
      <c r="B28" s="0" t="s">
        <v>6</v>
      </c>
      <c r="C28" s="0" t="s">
        <v>7</v>
      </c>
      <c r="D28" s="0" t="s">
        <v>531</v>
      </c>
      <c r="E28" s="0" t="s">
        <v>678</v>
      </c>
      <c r="F28" s="0" t="s">
        <v>929</v>
      </c>
      <c r="G28" s="0">
        <v>16</v>
      </c>
      <c r="I28" s="95">
        <v>1.52587890625E-05</v>
      </c>
      <c r="J28" s="0" t="b">
        <v>0</v>
      </c>
      <c r="K28" s="0">
        <v>16</v>
      </c>
    </row>
    <row r="29">
      <c r="A29" s="0" t="s">
        <v>907</v>
      </c>
      <c r="B29" s="0" t="s">
        <v>6</v>
      </c>
      <c r="C29" s="0" t="s">
        <v>7</v>
      </c>
      <c r="D29" s="0" t="s">
        <v>531</v>
      </c>
      <c r="E29" s="0" t="s">
        <v>678</v>
      </c>
      <c r="F29" s="0" t="s">
        <v>930</v>
      </c>
      <c r="G29" s="0">
        <v>25</v>
      </c>
      <c r="I29" s="95">
        <v>2.384185791015625E-05</v>
      </c>
      <c r="J29" s="0" t="b">
        <v>0</v>
      </c>
      <c r="K29" s="0">
        <v>25</v>
      </c>
    </row>
    <row r="30">
      <c r="A30" s="0" t="s">
        <v>907</v>
      </c>
      <c r="B30" s="0" t="s">
        <v>6</v>
      </c>
      <c r="C30" s="0" t="s">
        <v>7</v>
      </c>
      <c r="D30" s="0" t="s">
        <v>531</v>
      </c>
      <c r="E30" s="0" t="s">
        <v>678</v>
      </c>
      <c r="F30" s="0" t="s">
        <v>545</v>
      </c>
      <c r="G30" s="0">
        <v>35</v>
      </c>
      <c r="I30" s="95">
        <v>3.337860107421875E-05</v>
      </c>
      <c r="J30" s="0" t="b">
        <v>0</v>
      </c>
      <c r="K30" s="0">
        <v>35</v>
      </c>
    </row>
    <row r="31">
      <c r="A31" s="0" t="s">
        <v>907</v>
      </c>
      <c r="B31" s="0" t="s">
        <v>6</v>
      </c>
      <c r="C31" s="0" t="s">
        <v>7</v>
      </c>
      <c r="D31" s="0" t="s">
        <v>531</v>
      </c>
      <c r="E31" s="0" t="s">
        <v>678</v>
      </c>
      <c r="F31" s="0" t="s">
        <v>546</v>
      </c>
      <c r="G31" s="0">
        <v>33</v>
      </c>
      <c r="I31" s="95">
        <v>3.147125244140625E-05</v>
      </c>
      <c r="J31" s="0" t="b">
        <v>0</v>
      </c>
      <c r="K31" s="0">
        <v>33</v>
      </c>
    </row>
    <row r="32">
      <c r="A32" s="0" t="s">
        <v>907</v>
      </c>
      <c r="B32" s="0" t="s">
        <v>6</v>
      </c>
      <c r="C32" s="0" t="s">
        <v>7</v>
      </c>
      <c r="D32" s="0" t="s">
        <v>531</v>
      </c>
      <c r="E32" s="0" t="s">
        <v>678</v>
      </c>
      <c r="F32" s="0" t="s">
        <v>931</v>
      </c>
      <c r="G32" s="0">
        <v>1</v>
      </c>
      <c r="I32" s="95"/>
      <c r="J32" s="0" t="b">
        <v>0</v>
      </c>
      <c r="K32" s="0">
        <v>1</v>
      </c>
    </row>
    <row r="33">
      <c r="A33" s="0" t="s">
        <v>907</v>
      </c>
      <c r="B33" s="0" t="s">
        <v>6</v>
      </c>
      <c r="C33" s="0" t="s">
        <v>7</v>
      </c>
      <c r="D33" s="0" t="s">
        <v>531</v>
      </c>
      <c r="E33" s="0" t="s">
        <v>678</v>
      </c>
      <c r="F33" s="0" t="s">
        <v>932</v>
      </c>
      <c r="G33" s="0">
        <v>1</v>
      </c>
      <c r="I33" s="95"/>
      <c r="J33" s="0" t="b">
        <v>0</v>
      </c>
      <c r="K33" s="0">
        <v>1</v>
      </c>
    </row>
    <row r="34">
      <c r="A34" s="0" t="s">
        <v>907</v>
      </c>
      <c r="B34" s="0" t="s">
        <v>6</v>
      </c>
      <c r="C34" s="0" t="s">
        <v>7</v>
      </c>
      <c r="D34" s="0" t="s">
        <v>531</v>
      </c>
      <c r="E34" s="0" t="s">
        <v>678</v>
      </c>
      <c r="F34" s="0" t="s">
        <v>933</v>
      </c>
      <c r="G34" s="0">
        <v>1</v>
      </c>
      <c r="I34" s="95"/>
      <c r="J34" s="0" t="b">
        <v>0</v>
      </c>
      <c r="K34" s="0">
        <v>1</v>
      </c>
    </row>
    <row r="35">
      <c r="A35" s="0" t="s">
        <v>907</v>
      </c>
      <c r="B35" s="0" t="s">
        <v>6</v>
      </c>
      <c r="C35" s="0" t="s">
        <v>7</v>
      </c>
      <c r="D35" s="0" t="s">
        <v>531</v>
      </c>
      <c r="E35" s="0" t="s">
        <v>678</v>
      </c>
      <c r="F35" s="0" t="s">
        <v>648</v>
      </c>
      <c r="G35" s="0">
        <v>1</v>
      </c>
      <c r="I35" s="95"/>
      <c r="J35" s="0" t="b">
        <v>0</v>
      </c>
      <c r="K35" s="0">
        <v>1</v>
      </c>
    </row>
    <row r="36">
      <c r="A36" s="0" t="s">
        <v>907</v>
      </c>
      <c r="B36" s="0" t="s">
        <v>6</v>
      </c>
      <c r="C36" s="0" t="s">
        <v>7</v>
      </c>
      <c r="D36" s="0" t="s">
        <v>531</v>
      </c>
      <c r="E36" s="0" t="s">
        <v>532</v>
      </c>
      <c r="F36" s="0" t="s">
        <v>913</v>
      </c>
      <c r="G36" s="0">
        <v>2</v>
      </c>
      <c r="I36" s="95"/>
      <c r="J36" s="0" t="b">
        <v>1</v>
      </c>
      <c r="K36" s="0">
        <v>2</v>
      </c>
    </row>
    <row r="37">
      <c r="A37" s="0" t="s">
        <v>907</v>
      </c>
      <c r="B37" s="0" t="s">
        <v>6</v>
      </c>
      <c r="C37" s="0" t="s">
        <v>7</v>
      </c>
      <c r="D37" s="0" t="s">
        <v>531</v>
      </c>
      <c r="E37" s="0" t="s">
        <v>532</v>
      </c>
      <c r="F37" s="0" t="s">
        <v>914</v>
      </c>
      <c r="G37" s="0">
        <v>10014</v>
      </c>
      <c r="I37" s="95">
        <v>0.0095500946044921875</v>
      </c>
      <c r="J37" s="0" t="b">
        <v>1</v>
      </c>
      <c r="K37" s="0">
        <v>10014</v>
      </c>
    </row>
    <row r="38">
      <c r="A38" s="0" t="s">
        <v>907</v>
      </c>
      <c r="B38" s="0" t="s">
        <v>6</v>
      </c>
      <c r="C38" s="0" t="s">
        <v>7</v>
      </c>
      <c r="D38" s="0" t="s">
        <v>531</v>
      </c>
      <c r="E38" s="0" t="s">
        <v>532</v>
      </c>
      <c r="F38" s="0" t="s">
        <v>709</v>
      </c>
      <c r="G38" s="0">
        <v>10014</v>
      </c>
      <c r="I38" s="95">
        <v>0.0095500946044921875</v>
      </c>
      <c r="J38" s="0" t="b">
        <v>1</v>
      </c>
      <c r="K38" s="0">
        <v>10014</v>
      </c>
    </row>
    <row r="39">
      <c r="A39" s="0" t="s">
        <v>907</v>
      </c>
      <c r="B39" s="0" t="s">
        <v>6</v>
      </c>
      <c r="C39" s="0" t="s">
        <v>7</v>
      </c>
      <c r="D39" s="0" t="s">
        <v>531</v>
      </c>
      <c r="E39" s="0" t="s">
        <v>532</v>
      </c>
      <c r="F39" s="0" t="s">
        <v>915</v>
      </c>
      <c r="G39" s="0">
        <v>4956</v>
      </c>
      <c r="I39" s="95">
        <v>0.004726409912109375</v>
      </c>
      <c r="J39" s="0" t="b">
        <v>1</v>
      </c>
      <c r="K39" s="0">
        <v>4956</v>
      </c>
    </row>
    <row r="40">
      <c r="A40" s="0" t="s">
        <v>907</v>
      </c>
      <c r="B40" s="0" t="s">
        <v>6</v>
      </c>
      <c r="C40" s="0" t="s">
        <v>7</v>
      </c>
      <c r="D40" s="0" t="s">
        <v>531</v>
      </c>
      <c r="E40" s="0" t="s">
        <v>532</v>
      </c>
      <c r="F40" s="0" t="s">
        <v>916</v>
      </c>
      <c r="G40" s="0">
        <v>240</v>
      </c>
      <c r="I40" s="95">
        <v>0.0002288818359375</v>
      </c>
      <c r="J40" s="0" t="b">
        <v>1</v>
      </c>
      <c r="K40" s="0">
        <v>240</v>
      </c>
    </row>
    <row r="41">
      <c r="A41" s="0" t="s">
        <v>907</v>
      </c>
      <c r="B41" s="0" t="s">
        <v>6</v>
      </c>
      <c r="C41" s="0" t="s">
        <v>7</v>
      </c>
      <c r="D41" s="0" t="s">
        <v>531</v>
      </c>
      <c r="E41" s="0" t="s">
        <v>532</v>
      </c>
      <c r="F41" s="0" t="s">
        <v>917</v>
      </c>
      <c r="G41" s="0">
        <v>0.69485950044603029</v>
      </c>
      <c r="I41" s="95"/>
      <c r="J41" s="0" t="b">
        <v>1</v>
      </c>
      <c r="K41" s="0">
        <v>0.69485950044603029</v>
      </c>
    </row>
    <row r="42">
      <c r="A42" s="0" t="s">
        <v>907</v>
      </c>
      <c r="B42" s="0" t="s">
        <v>6</v>
      </c>
      <c r="C42" s="0" t="s">
        <v>7</v>
      </c>
      <c r="D42" s="0" t="s">
        <v>531</v>
      </c>
      <c r="E42" s="0" t="s">
        <v>532</v>
      </c>
      <c r="F42" s="0" t="s">
        <v>547</v>
      </c>
      <c r="G42" s="0">
        <v>7</v>
      </c>
      <c r="I42" s="95"/>
      <c r="J42" s="0" t="b">
        <v>1</v>
      </c>
      <c r="K42" s="0">
        <v>7</v>
      </c>
    </row>
    <row r="43">
      <c r="A43" s="0" t="s">
        <v>907</v>
      </c>
      <c r="B43" s="0" t="s">
        <v>6</v>
      </c>
      <c r="C43" s="0" t="s">
        <v>7</v>
      </c>
      <c r="D43" s="0" t="s">
        <v>531</v>
      </c>
      <c r="E43" s="0" t="s">
        <v>532</v>
      </c>
      <c r="F43" s="0" t="s">
        <v>918</v>
      </c>
      <c r="G43" s="0">
        <v>0</v>
      </c>
      <c r="I43" s="95"/>
      <c r="J43" s="0" t="b">
        <v>1</v>
      </c>
      <c r="K43" s="0">
        <v>0</v>
      </c>
    </row>
    <row r="44">
      <c r="A44" s="0" t="s">
        <v>907</v>
      </c>
      <c r="B44" s="0" t="s">
        <v>6</v>
      </c>
      <c r="C44" s="0" t="s">
        <v>7</v>
      </c>
      <c r="D44" s="0" t="s">
        <v>531</v>
      </c>
      <c r="E44" s="0" t="s">
        <v>532</v>
      </c>
      <c r="F44" s="0" t="s">
        <v>919</v>
      </c>
      <c r="G44" s="0">
        <v>0</v>
      </c>
      <c r="I44" s="95">
        <v>0</v>
      </c>
      <c r="J44" s="0" t="b">
        <v>1</v>
      </c>
      <c r="K44" s="0">
        <v>0</v>
      </c>
    </row>
    <row r="45">
      <c r="A45" s="0" t="s">
        <v>907</v>
      </c>
      <c r="B45" s="0" t="s">
        <v>6</v>
      </c>
      <c r="C45" s="0" t="s">
        <v>7</v>
      </c>
      <c r="D45" s="0" t="s">
        <v>531</v>
      </c>
      <c r="E45" s="0" t="s">
        <v>532</v>
      </c>
      <c r="F45" s="0" t="s">
        <v>920</v>
      </c>
      <c r="G45" s="0">
        <v>0</v>
      </c>
      <c r="I45" s="95">
        <v>0</v>
      </c>
      <c r="J45" s="0" t="b">
        <v>1</v>
      </c>
      <c r="K45" s="0">
        <v>0</v>
      </c>
    </row>
    <row r="46">
      <c r="A46" s="0" t="s">
        <v>907</v>
      </c>
      <c r="B46" s="0" t="s">
        <v>6</v>
      </c>
      <c r="C46" s="0" t="s">
        <v>7</v>
      </c>
      <c r="D46" s="0" t="s">
        <v>531</v>
      </c>
      <c r="E46" s="0" t="s">
        <v>532</v>
      </c>
      <c r="F46" s="0" t="s">
        <v>921</v>
      </c>
      <c r="G46" s="0">
        <v>1</v>
      </c>
      <c r="I46" s="95"/>
      <c r="J46" s="0" t="b">
        <v>1</v>
      </c>
      <c r="K46" s="0">
        <v>1</v>
      </c>
    </row>
    <row r="47">
      <c r="A47" s="0" t="s">
        <v>907</v>
      </c>
      <c r="B47" s="0" t="s">
        <v>6</v>
      </c>
      <c r="C47" s="0" t="s">
        <v>7</v>
      </c>
      <c r="D47" s="0" t="s">
        <v>531</v>
      </c>
      <c r="E47" s="0" t="s">
        <v>532</v>
      </c>
      <c r="F47" s="0" t="s">
        <v>686</v>
      </c>
      <c r="G47" s="0">
        <v>0</v>
      </c>
      <c r="I47" s="95"/>
      <c r="J47" s="0" t="b">
        <v>1</v>
      </c>
      <c r="K47" s="0">
        <v>0</v>
      </c>
    </row>
    <row r="48">
      <c r="A48" s="0" t="s">
        <v>907</v>
      </c>
      <c r="B48" s="0" t="s">
        <v>6</v>
      </c>
      <c r="C48" s="0" t="s">
        <v>7</v>
      </c>
      <c r="D48" s="0" t="s">
        <v>531</v>
      </c>
      <c r="E48" s="0" t="s">
        <v>532</v>
      </c>
      <c r="F48" s="0" t="s">
        <v>685</v>
      </c>
      <c r="H48" s="0" t="s">
        <v>922</v>
      </c>
      <c r="I48" s="95"/>
      <c r="J48" s="0" t="b">
        <v>1</v>
      </c>
    </row>
    <row r="49">
      <c r="A49" s="0" t="s">
        <v>907</v>
      </c>
      <c r="B49" s="0" t="s">
        <v>6</v>
      </c>
      <c r="C49" s="0" t="s">
        <v>7</v>
      </c>
      <c r="D49" s="0" t="s">
        <v>531</v>
      </c>
      <c r="E49" s="0" t="s">
        <v>532</v>
      </c>
      <c r="F49" s="0" t="s">
        <v>701</v>
      </c>
      <c r="G49" s="0">
        <v>5</v>
      </c>
      <c r="I49" s="95"/>
      <c r="J49" s="0" t="b">
        <v>1</v>
      </c>
      <c r="K49" s="0">
        <v>5</v>
      </c>
    </row>
    <row r="50">
      <c r="A50" s="0" t="s">
        <v>907</v>
      </c>
      <c r="B50" s="0" t="s">
        <v>6</v>
      </c>
      <c r="C50" s="0" t="s">
        <v>7</v>
      </c>
      <c r="D50" s="0" t="s">
        <v>531</v>
      </c>
      <c r="E50" s="0" t="s">
        <v>532</v>
      </c>
      <c r="F50" s="0" t="s">
        <v>700</v>
      </c>
      <c r="G50" s="0">
        <v>0.052</v>
      </c>
      <c r="H50" s="0" t="s">
        <v>934</v>
      </c>
      <c r="I50" s="95"/>
      <c r="J50" s="0" t="b">
        <v>1</v>
      </c>
      <c r="K50" s="0">
        <v>0.052</v>
      </c>
    </row>
    <row r="51">
      <c r="A51" s="0" t="s">
        <v>907</v>
      </c>
      <c r="B51" s="0" t="s">
        <v>6</v>
      </c>
      <c r="C51" s="0" t="s">
        <v>7</v>
      </c>
      <c r="D51" s="0" t="s">
        <v>531</v>
      </c>
      <c r="E51" s="0" t="s">
        <v>532</v>
      </c>
      <c r="F51" s="0" t="s">
        <v>923</v>
      </c>
      <c r="G51" s="0">
        <v>0</v>
      </c>
      <c r="I51" s="95"/>
      <c r="J51" s="0" t="b">
        <v>1</v>
      </c>
      <c r="K51" s="0">
        <v>0</v>
      </c>
    </row>
    <row r="52">
      <c r="A52" s="0" t="s">
        <v>907</v>
      </c>
      <c r="B52" s="0" t="s">
        <v>6</v>
      </c>
      <c r="C52" s="0" t="s">
        <v>7</v>
      </c>
      <c r="D52" s="0" t="s">
        <v>531</v>
      </c>
      <c r="E52" s="0" t="s">
        <v>532</v>
      </c>
      <c r="F52" s="0" t="s">
        <v>924</v>
      </c>
      <c r="G52" s="0">
        <v>0</v>
      </c>
      <c r="I52" s="95"/>
      <c r="J52" s="0" t="b">
        <v>1</v>
      </c>
      <c r="K52" s="0">
        <v>0</v>
      </c>
    </row>
    <row r="53">
      <c r="A53" s="0" t="s">
        <v>907</v>
      </c>
      <c r="B53" s="0" t="s">
        <v>6</v>
      </c>
      <c r="C53" s="0" t="s">
        <v>7</v>
      </c>
      <c r="D53" s="0" t="s">
        <v>531</v>
      </c>
      <c r="E53" s="0" t="s">
        <v>532</v>
      </c>
      <c r="F53" s="0" t="s">
        <v>925</v>
      </c>
      <c r="G53" s="0">
        <v>0</v>
      </c>
      <c r="I53" s="95"/>
      <c r="J53" s="0" t="b">
        <v>1</v>
      </c>
      <c r="K53" s="0">
        <v>0</v>
      </c>
    </row>
    <row r="54">
      <c r="A54" s="0" t="s">
        <v>907</v>
      </c>
      <c r="B54" s="0" t="s">
        <v>6</v>
      </c>
      <c r="C54" s="0" t="s">
        <v>7</v>
      </c>
      <c r="D54" s="0" t="s">
        <v>531</v>
      </c>
      <c r="E54" s="0" t="s">
        <v>532</v>
      </c>
      <c r="F54" s="0" t="s">
        <v>926</v>
      </c>
      <c r="G54" s="0">
        <v>200</v>
      </c>
      <c r="I54" s="95">
        <v>0.00019073486328125</v>
      </c>
      <c r="J54" s="0" t="b">
        <v>1</v>
      </c>
      <c r="K54" s="0">
        <v>200</v>
      </c>
    </row>
    <row r="55">
      <c r="A55" s="0" t="s">
        <v>907</v>
      </c>
      <c r="B55" s="0" t="s">
        <v>6</v>
      </c>
      <c r="C55" s="0" t="s">
        <v>7</v>
      </c>
      <c r="D55" s="0" t="s">
        <v>531</v>
      </c>
      <c r="E55" s="0" t="s">
        <v>532</v>
      </c>
      <c r="F55" s="0" t="s">
        <v>927</v>
      </c>
      <c r="G55" s="0">
        <v>184</v>
      </c>
      <c r="I55" s="95">
        <v>0.00017547607421875</v>
      </c>
      <c r="J55" s="0" t="b">
        <v>1</v>
      </c>
      <c r="K55" s="0">
        <v>184</v>
      </c>
    </row>
    <row r="56">
      <c r="A56" s="0" t="s">
        <v>907</v>
      </c>
      <c r="B56" s="0" t="s">
        <v>6</v>
      </c>
      <c r="C56" s="0" t="s">
        <v>7</v>
      </c>
      <c r="D56" s="0" t="s">
        <v>531</v>
      </c>
      <c r="E56" s="0" t="s">
        <v>532</v>
      </c>
      <c r="F56" s="0" t="s">
        <v>928</v>
      </c>
      <c r="G56" s="0">
        <v>32</v>
      </c>
      <c r="I56" s="95">
        <v>3.0517578125E-05</v>
      </c>
      <c r="J56" s="0" t="b">
        <v>1</v>
      </c>
      <c r="K56" s="0">
        <v>32</v>
      </c>
    </row>
    <row r="57">
      <c r="A57" s="0" t="s">
        <v>907</v>
      </c>
      <c r="B57" s="0" t="s">
        <v>6</v>
      </c>
      <c r="C57" s="0" t="s">
        <v>7</v>
      </c>
      <c r="D57" s="0" t="s">
        <v>531</v>
      </c>
      <c r="E57" s="0" t="s">
        <v>532</v>
      </c>
      <c r="F57" s="0" t="s">
        <v>929</v>
      </c>
      <c r="G57" s="0">
        <v>24</v>
      </c>
      <c r="I57" s="95">
        <v>2.288818359375E-05</v>
      </c>
      <c r="J57" s="0" t="b">
        <v>1</v>
      </c>
      <c r="K57" s="0">
        <v>24</v>
      </c>
    </row>
    <row r="58">
      <c r="A58" s="0" t="s">
        <v>907</v>
      </c>
      <c r="B58" s="0" t="s">
        <v>6</v>
      </c>
      <c r="C58" s="0" t="s">
        <v>7</v>
      </c>
      <c r="D58" s="0" t="s">
        <v>531</v>
      </c>
      <c r="E58" s="0" t="s">
        <v>532</v>
      </c>
      <c r="F58" s="0" t="s">
        <v>930</v>
      </c>
      <c r="G58" s="0">
        <v>25</v>
      </c>
      <c r="I58" s="95">
        <v>2.384185791015625E-05</v>
      </c>
      <c r="J58" s="0" t="b">
        <v>1</v>
      </c>
      <c r="K58" s="0">
        <v>25</v>
      </c>
    </row>
    <row r="59">
      <c r="A59" s="0" t="s">
        <v>907</v>
      </c>
      <c r="B59" s="0" t="s">
        <v>6</v>
      </c>
      <c r="C59" s="0" t="s">
        <v>7</v>
      </c>
      <c r="D59" s="0" t="s">
        <v>531</v>
      </c>
      <c r="E59" s="0" t="s">
        <v>532</v>
      </c>
      <c r="F59" s="0" t="s">
        <v>545</v>
      </c>
      <c r="G59" s="0">
        <v>35</v>
      </c>
      <c r="I59" s="95">
        <v>3.337860107421875E-05</v>
      </c>
      <c r="J59" s="0" t="b">
        <v>1</v>
      </c>
      <c r="K59" s="0">
        <v>35</v>
      </c>
    </row>
    <row r="60">
      <c r="A60" s="0" t="s">
        <v>907</v>
      </c>
      <c r="B60" s="0" t="s">
        <v>6</v>
      </c>
      <c r="C60" s="0" t="s">
        <v>7</v>
      </c>
      <c r="D60" s="0" t="s">
        <v>531</v>
      </c>
      <c r="E60" s="0" t="s">
        <v>532</v>
      </c>
      <c r="F60" s="0" t="s">
        <v>546</v>
      </c>
      <c r="G60" s="0">
        <v>33</v>
      </c>
      <c r="I60" s="95">
        <v>3.147125244140625E-05</v>
      </c>
      <c r="J60" s="0" t="b">
        <v>1</v>
      </c>
      <c r="K60" s="0">
        <v>33</v>
      </c>
    </row>
    <row r="61">
      <c r="A61" s="0" t="s">
        <v>907</v>
      </c>
      <c r="B61" s="0" t="s">
        <v>6</v>
      </c>
      <c r="C61" s="0" t="s">
        <v>7</v>
      </c>
      <c r="D61" s="0" t="s">
        <v>531</v>
      </c>
      <c r="E61" s="0" t="s">
        <v>532</v>
      </c>
      <c r="F61" s="0" t="s">
        <v>931</v>
      </c>
      <c r="G61" s="0">
        <v>1.1111111111111112</v>
      </c>
      <c r="I61" s="95"/>
      <c r="J61" s="0" t="b">
        <v>1</v>
      </c>
      <c r="K61" s="0">
        <v>1.1111111111111112</v>
      </c>
    </row>
    <row r="62">
      <c r="A62" s="0" t="s">
        <v>907</v>
      </c>
      <c r="B62" s="0" t="s">
        <v>6</v>
      </c>
      <c r="C62" s="0" t="s">
        <v>7</v>
      </c>
      <c r="D62" s="0" t="s">
        <v>531</v>
      </c>
      <c r="E62" s="0" t="s">
        <v>532</v>
      </c>
      <c r="F62" s="0" t="s">
        <v>932</v>
      </c>
      <c r="G62" s="0">
        <v>3</v>
      </c>
      <c r="I62" s="95"/>
      <c r="J62" s="0" t="b">
        <v>1</v>
      </c>
      <c r="K62" s="0">
        <v>3</v>
      </c>
    </row>
    <row r="63">
      <c r="A63" s="0" t="s">
        <v>907</v>
      </c>
      <c r="B63" s="0" t="s">
        <v>6</v>
      </c>
      <c r="C63" s="0" t="s">
        <v>7</v>
      </c>
      <c r="D63" s="0" t="s">
        <v>531</v>
      </c>
      <c r="E63" s="0" t="s">
        <v>532</v>
      </c>
      <c r="F63" s="0" t="s">
        <v>933</v>
      </c>
      <c r="G63" s="0">
        <v>1</v>
      </c>
      <c r="I63" s="95"/>
      <c r="J63" s="0" t="b">
        <v>1</v>
      </c>
      <c r="K63" s="0">
        <v>1</v>
      </c>
    </row>
    <row r="64">
      <c r="A64" s="0" t="s">
        <v>907</v>
      </c>
      <c r="B64" s="0" t="s">
        <v>6</v>
      </c>
      <c r="C64" s="0" t="s">
        <v>7</v>
      </c>
      <c r="D64" s="0" t="s">
        <v>531</v>
      </c>
      <c r="E64" s="0" t="s">
        <v>532</v>
      </c>
      <c r="F64" s="0" t="s">
        <v>648</v>
      </c>
      <c r="G64" s="0">
        <v>1</v>
      </c>
      <c r="I64" s="95"/>
      <c r="J64" s="0" t="b">
        <v>1</v>
      </c>
      <c r="K64" s="0">
        <v>1</v>
      </c>
    </row>
    <row r="65">
      <c r="A65" s="0" t="s">
        <v>907</v>
      </c>
      <c r="B65" s="0" t="s">
        <v>6</v>
      </c>
      <c r="C65" s="0" t="s">
        <v>89</v>
      </c>
      <c r="D65" s="0" t="s">
        <v>531</v>
      </c>
      <c r="F65" s="0" t="s">
        <v>908</v>
      </c>
      <c r="G65" s="0">
        <v>0</v>
      </c>
      <c r="I65" s="95"/>
      <c r="K65" s="0">
        <v>0</v>
      </c>
    </row>
    <row r="66">
      <c r="A66" s="0" t="s">
        <v>907</v>
      </c>
      <c r="B66" s="0" t="s">
        <v>6</v>
      </c>
      <c r="C66" s="0" t="s">
        <v>89</v>
      </c>
      <c r="D66" s="0" t="s">
        <v>531</v>
      </c>
      <c r="F66" s="0" t="s">
        <v>729</v>
      </c>
      <c r="H66" s="0" t="s">
        <v>909</v>
      </c>
      <c r="I66" s="95"/>
    </row>
    <row r="67">
      <c r="A67" s="0" t="s">
        <v>907</v>
      </c>
      <c r="B67" s="0" t="s">
        <v>6</v>
      </c>
      <c r="C67" s="0" t="s">
        <v>89</v>
      </c>
      <c r="D67" s="0" t="s">
        <v>531</v>
      </c>
      <c r="F67" s="0" t="s">
        <v>910</v>
      </c>
      <c r="G67" s="0">
        <v>3</v>
      </c>
      <c r="I67" s="95"/>
      <c r="K67" s="0">
        <v>3</v>
      </c>
    </row>
    <row r="68">
      <c r="A68" s="0" t="s">
        <v>907</v>
      </c>
      <c r="B68" s="0" t="s">
        <v>6</v>
      </c>
      <c r="C68" s="0" t="s">
        <v>89</v>
      </c>
      <c r="D68" s="0" t="s">
        <v>531</v>
      </c>
      <c r="F68" s="0" t="s">
        <v>754</v>
      </c>
      <c r="G68" s="0">
        <v>0.068333333333333329</v>
      </c>
      <c r="H68" s="0" t="s">
        <v>911</v>
      </c>
      <c r="I68" s="95"/>
      <c r="K68" s="0">
        <v>0.068333333333333329</v>
      </c>
    </row>
    <row r="69">
      <c r="A69" s="0" t="s">
        <v>907</v>
      </c>
      <c r="B69" s="0" t="s">
        <v>6</v>
      </c>
      <c r="C69" s="0" t="s">
        <v>89</v>
      </c>
      <c r="D69" s="0" t="s">
        <v>531</v>
      </c>
      <c r="F69" s="0" t="s">
        <v>912</v>
      </c>
      <c r="G69" s="0">
        <v>0</v>
      </c>
      <c r="I69" s="95"/>
      <c r="K69" s="0">
        <v>0</v>
      </c>
    </row>
    <row r="70">
      <c r="A70" s="0" t="s">
        <v>907</v>
      </c>
      <c r="B70" s="0" t="s">
        <v>6</v>
      </c>
      <c r="C70" s="0" t="s">
        <v>89</v>
      </c>
      <c r="D70" s="0" t="s">
        <v>531</v>
      </c>
      <c r="E70" s="0" t="s">
        <v>678</v>
      </c>
      <c r="F70" s="0" t="s">
        <v>913</v>
      </c>
      <c r="G70" s="0">
        <v>2</v>
      </c>
      <c r="I70" s="95"/>
      <c r="J70" s="0" t="b">
        <v>0</v>
      </c>
      <c r="K70" s="0">
        <v>2</v>
      </c>
    </row>
    <row r="71">
      <c r="A71" s="0" t="s">
        <v>907</v>
      </c>
      <c r="B71" s="0" t="s">
        <v>6</v>
      </c>
      <c r="C71" s="0" t="s">
        <v>89</v>
      </c>
      <c r="D71" s="0" t="s">
        <v>531</v>
      </c>
      <c r="E71" s="0" t="s">
        <v>678</v>
      </c>
      <c r="F71" s="0" t="s">
        <v>914</v>
      </c>
      <c r="G71" s="0">
        <v>10130</v>
      </c>
      <c r="I71" s="95">
        <v>0.0096607208251953125</v>
      </c>
      <c r="J71" s="0" t="b">
        <v>0</v>
      </c>
      <c r="K71" s="0">
        <v>10130</v>
      </c>
    </row>
    <row r="72">
      <c r="A72" s="0" t="s">
        <v>907</v>
      </c>
      <c r="B72" s="0" t="s">
        <v>6</v>
      </c>
      <c r="C72" s="0" t="s">
        <v>89</v>
      </c>
      <c r="D72" s="0" t="s">
        <v>531</v>
      </c>
      <c r="E72" s="0" t="s">
        <v>678</v>
      </c>
      <c r="F72" s="0" t="s">
        <v>709</v>
      </c>
      <c r="G72" s="0">
        <v>10130</v>
      </c>
      <c r="I72" s="95">
        <v>0.0096607208251953125</v>
      </c>
      <c r="J72" s="0" t="b">
        <v>0</v>
      </c>
      <c r="K72" s="0">
        <v>10130</v>
      </c>
    </row>
    <row r="73">
      <c r="A73" s="0" t="s">
        <v>907</v>
      </c>
      <c r="B73" s="0" t="s">
        <v>6</v>
      </c>
      <c r="C73" s="0" t="s">
        <v>89</v>
      </c>
      <c r="D73" s="0" t="s">
        <v>531</v>
      </c>
      <c r="E73" s="0" t="s">
        <v>678</v>
      </c>
      <c r="F73" s="0" t="s">
        <v>915</v>
      </c>
      <c r="G73" s="0">
        <v>0</v>
      </c>
      <c r="I73" s="95">
        <v>0</v>
      </c>
      <c r="J73" s="0" t="b">
        <v>0</v>
      </c>
      <c r="K73" s="0">
        <v>0</v>
      </c>
    </row>
    <row r="74">
      <c r="A74" s="0" t="s">
        <v>907</v>
      </c>
      <c r="B74" s="0" t="s">
        <v>6</v>
      </c>
      <c r="C74" s="0" t="s">
        <v>89</v>
      </c>
      <c r="D74" s="0" t="s">
        <v>531</v>
      </c>
      <c r="E74" s="0" t="s">
        <v>678</v>
      </c>
      <c r="F74" s="0" t="s">
        <v>916</v>
      </c>
      <c r="G74" s="0">
        <v>384</v>
      </c>
      <c r="I74" s="95">
        <v>0.0003662109375</v>
      </c>
      <c r="J74" s="0" t="b">
        <v>0</v>
      </c>
      <c r="K74" s="0">
        <v>384</v>
      </c>
    </row>
    <row r="75">
      <c r="A75" s="0" t="s">
        <v>907</v>
      </c>
      <c r="B75" s="0" t="s">
        <v>6</v>
      </c>
      <c r="C75" s="0" t="s">
        <v>89</v>
      </c>
      <c r="D75" s="0" t="s">
        <v>531</v>
      </c>
      <c r="E75" s="0" t="s">
        <v>678</v>
      </c>
      <c r="F75" s="0" t="s">
        <v>917</v>
      </c>
      <c r="G75" s="0">
        <v>0.71690712985011906</v>
      </c>
      <c r="I75" s="95"/>
      <c r="J75" s="0" t="b">
        <v>0</v>
      </c>
      <c r="K75" s="0">
        <v>0.71690712985011906</v>
      </c>
    </row>
    <row r="76">
      <c r="A76" s="0" t="s">
        <v>907</v>
      </c>
      <c r="B76" s="0" t="s">
        <v>6</v>
      </c>
      <c r="C76" s="0" t="s">
        <v>89</v>
      </c>
      <c r="D76" s="0" t="s">
        <v>531</v>
      </c>
      <c r="E76" s="0" t="s">
        <v>678</v>
      </c>
      <c r="F76" s="0" t="s">
        <v>547</v>
      </c>
      <c r="G76" s="0">
        <v>6</v>
      </c>
      <c r="I76" s="95"/>
      <c r="J76" s="0" t="b">
        <v>0</v>
      </c>
      <c r="K76" s="0">
        <v>6</v>
      </c>
    </row>
    <row r="77">
      <c r="A77" s="0" t="s">
        <v>907</v>
      </c>
      <c r="B77" s="0" t="s">
        <v>6</v>
      </c>
      <c r="C77" s="0" t="s">
        <v>89</v>
      </c>
      <c r="D77" s="0" t="s">
        <v>531</v>
      </c>
      <c r="E77" s="0" t="s">
        <v>678</v>
      </c>
      <c r="F77" s="0" t="s">
        <v>918</v>
      </c>
      <c r="G77" s="0">
        <v>0</v>
      </c>
      <c r="I77" s="95"/>
      <c r="J77" s="0" t="b">
        <v>0</v>
      </c>
      <c r="K77" s="0">
        <v>0</v>
      </c>
    </row>
    <row r="78">
      <c r="A78" s="0" t="s">
        <v>907</v>
      </c>
      <c r="B78" s="0" t="s">
        <v>6</v>
      </c>
      <c r="C78" s="0" t="s">
        <v>89</v>
      </c>
      <c r="D78" s="0" t="s">
        <v>531</v>
      </c>
      <c r="E78" s="0" t="s">
        <v>678</v>
      </c>
      <c r="F78" s="0" t="s">
        <v>919</v>
      </c>
      <c r="G78" s="0">
        <v>0</v>
      </c>
      <c r="I78" s="95">
        <v>0</v>
      </c>
      <c r="J78" s="0" t="b">
        <v>0</v>
      </c>
      <c r="K78" s="0">
        <v>0</v>
      </c>
    </row>
    <row r="79">
      <c r="A79" s="0" t="s">
        <v>907</v>
      </c>
      <c r="B79" s="0" t="s">
        <v>6</v>
      </c>
      <c r="C79" s="0" t="s">
        <v>89</v>
      </c>
      <c r="D79" s="0" t="s">
        <v>531</v>
      </c>
      <c r="E79" s="0" t="s">
        <v>678</v>
      </c>
      <c r="F79" s="0" t="s">
        <v>920</v>
      </c>
      <c r="G79" s="0">
        <v>0</v>
      </c>
      <c r="I79" s="95">
        <v>0</v>
      </c>
      <c r="J79" s="0" t="b">
        <v>0</v>
      </c>
      <c r="K79" s="0">
        <v>0</v>
      </c>
    </row>
    <row r="80">
      <c r="A80" s="0" t="s">
        <v>907</v>
      </c>
      <c r="B80" s="0" t="s">
        <v>6</v>
      </c>
      <c r="C80" s="0" t="s">
        <v>89</v>
      </c>
      <c r="D80" s="0" t="s">
        <v>531</v>
      </c>
      <c r="E80" s="0" t="s">
        <v>678</v>
      </c>
      <c r="F80" s="0" t="s">
        <v>921</v>
      </c>
      <c r="G80" s="0">
        <v>0</v>
      </c>
      <c r="I80" s="95"/>
      <c r="J80" s="0" t="b">
        <v>0</v>
      </c>
      <c r="K80" s="0">
        <v>0</v>
      </c>
    </row>
    <row r="81">
      <c r="A81" s="0" t="s">
        <v>907</v>
      </c>
      <c r="B81" s="0" t="s">
        <v>6</v>
      </c>
      <c r="C81" s="0" t="s">
        <v>89</v>
      </c>
      <c r="D81" s="0" t="s">
        <v>531</v>
      </c>
      <c r="E81" s="0" t="s">
        <v>678</v>
      </c>
      <c r="F81" s="0" t="s">
        <v>686</v>
      </c>
      <c r="G81" s="0">
        <v>0</v>
      </c>
      <c r="I81" s="95"/>
      <c r="J81" s="0" t="b">
        <v>0</v>
      </c>
      <c r="K81" s="0">
        <v>0</v>
      </c>
    </row>
    <row r="82">
      <c r="A82" s="0" t="s">
        <v>907</v>
      </c>
      <c r="B82" s="0" t="s">
        <v>6</v>
      </c>
      <c r="C82" s="0" t="s">
        <v>89</v>
      </c>
      <c r="D82" s="0" t="s">
        <v>531</v>
      </c>
      <c r="E82" s="0" t="s">
        <v>678</v>
      </c>
      <c r="F82" s="0" t="s">
        <v>685</v>
      </c>
      <c r="H82" s="0" t="s">
        <v>922</v>
      </c>
      <c r="I82" s="95"/>
      <c r="J82" s="0" t="b">
        <v>0</v>
      </c>
    </row>
    <row r="83">
      <c r="A83" s="0" t="s">
        <v>907</v>
      </c>
      <c r="B83" s="0" t="s">
        <v>6</v>
      </c>
      <c r="C83" s="0" t="s">
        <v>89</v>
      </c>
      <c r="D83" s="0" t="s">
        <v>531</v>
      </c>
      <c r="E83" s="0" t="s">
        <v>678</v>
      </c>
      <c r="F83" s="0" t="s">
        <v>701</v>
      </c>
      <c r="G83" s="0">
        <v>0</v>
      </c>
      <c r="I83" s="95"/>
      <c r="J83" s="0" t="b">
        <v>0</v>
      </c>
      <c r="K83" s="0">
        <v>0</v>
      </c>
    </row>
    <row r="84">
      <c r="A84" s="0" t="s">
        <v>907</v>
      </c>
      <c r="B84" s="0" t="s">
        <v>6</v>
      </c>
      <c r="C84" s="0" t="s">
        <v>89</v>
      </c>
      <c r="D84" s="0" t="s">
        <v>531</v>
      </c>
      <c r="E84" s="0" t="s">
        <v>678</v>
      </c>
      <c r="F84" s="0" t="s">
        <v>700</v>
      </c>
      <c r="H84" s="0" t="s">
        <v>922</v>
      </c>
      <c r="I84" s="95"/>
      <c r="J84" s="0" t="b">
        <v>0</v>
      </c>
    </row>
    <row r="85">
      <c r="A85" s="0" t="s">
        <v>907</v>
      </c>
      <c r="B85" s="0" t="s">
        <v>6</v>
      </c>
      <c r="C85" s="0" t="s">
        <v>89</v>
      </c>
      <c r="D85" s="0" t="s">
        <v>531</v>
      </c>
      <c r="E85" s="0" t="s">
        <v>678</v>
      </c>
      <c r="F85" s="0" t="s">
        <v>923</v>
      </c>
      <c r="G85" s="0">
        <v>0</v>
      </c>
      <c r="I85" s="95"/>
      <c r="J85" s="0" t="b">
        <v>0</v>
      </c>
      <c r="K85" s="0">
        <v>0</v>
      </c>
    </row>
    <row r="86">
      <c r="A86" s="0" t="s">
        <v>907</v>
      </c>
      <c r="B86" s="0" t="s">
        <v>6</v>
      </c>
      <c r="C86" s="0" t="s">
        <v>89</v>
      </c>
      <c r="D86" s="0" t="s">
        <v>531</v>
      </c>
      <c r="E86" s="0" t="s">
        <v>678</v>
      </c>
      <c r="F86" s="0" t="s">
        <v>924</v>
      </c>
      <c r="G86" s="0">
        <v>0</v>
      </c>
      <c r="I86" s="95"/>
      <c r="J86" s="0" t="b">
        <v>0</v>
      </c>
      <c r="K86" s="0">
        <v>0</v>
      </c>
    </row>
    <row r="87">
      <c r="A87" s="0" t="s">
        <v>907</v>
      </c>
      <c r="B87" s="0" t="s">
        <v>6</v>
      </c>
      <c r="C87" s="0" t="s">
        <v>89</v>
      </c>
      <c r="D87" s="0" t="s">
        <v>531</v>
      </c>
      <c r="E87" s="0" t="s">
        <v>678</v>
      </c>
      <c r="F87" s="0" t="s">
        <v>925</v>
      </c>
      <c r="G87" s="0">
        <v>0</v>
      </c>
      <c r="I87" s="95"/>
      <c r="J87" s="0" t="b">
        <v>0</v>
      </c>
      <c r="K87" s="0">
        <v>0</v>
      </c>
    </row>
    <row r="88">
      <c r="A88" s="0" t="s">
        <v>907</v>
      </c>
      <c r="B88" s="0" t="s">
        <v>6</v>
      </c>
      <c r="C88" s="0" t="s">
        <v>89</v>
      </c>
      <c r="D88" s="0" t="s">
        <v>531</v>
      </c>
      <c r="E88" s="0" t="s">
        <v>678</v>
      </c>
      <c r="F88" s="0" t="s">
        <v>926</v>
      </c>
      <c r="G88" s="0">
        <v>352</v>
      </c>
      <c r="I88" s="95">
        <v>0.000335693359375</v>
      </c>
      <c r="J88" s="0" t="b">
        <v>0</v>
      </c>
      <c r="K88" s="0">
        <v>352</v>
      </c>
    </row>
    <row r="89">
      <c r="A89" s="0" t="s">
        <v>907</v>
      </c>
      <c r="B89" s="0" t="s">
        <v>6</v>
      </c>
      <c r="C89" s="0" t="s">
        <v>89</v>
      </c>
      <c r="D89" s="0" t="s">
        <v>531</v>
      </c>
      <c r="E89" s="0" t="s">
        <v>678</v>
      </c>
      <c r="F89" s="0" t="s">
        <v>927</v>
      </c>
      <c r="G89" s="0">
        <v>336</v>
      </c>
      <c r="I89" s="95">
        <v>0.0003204345703125</v>
      </c>
      <c r="J89" s="0" t="b">
        <v>0</v>
      </c>
      <c r="K89" s="0">
        <v>336</v>
      </c>
    </row>
    <row r="90">
      <c r="A90" s="0" t="s">
        <v>907</v>
      </c>
      <c r="B90" s="0" t="s">
        <v>6</v>
      </c>
      <c r="C90" s="0" t="s">
        <v>89</v>
      </c>
      <c r="D90" s="0" t="s">
        <v>531</v>
      </c>
      <c r="E90" s="0" t="s">
        <v>678</v>
      </c>
      <c r="F90" s="0" t="s">
        <v>928</v>
      </c>
      <c r="G90" s="0">
        <v>32</v>
      </c>
      <c r="I90" s="95">
        <v>3.0517578125E-05</v>
      </c>
      <c r="J90" s="0" t="b">
        <v>0</v>
      </c>
      <c r="K90" s="0">
        <v>32</v>
      </c>
    </row>
    <row r="91">
      <c r="A91" s="0" t="s">
        <v>907</v>
      </c>
      <c r="B91" s="0" t="s">
        <v>6</v>
      </c>
      <c r="C91" s="0" t="s">
        <v>89</v>
      </c>
      <c r="D91" s="0" t="s">
        <v>531</v>
      </c>
      <c r="E91" s="0" t="s">
        <v>678</v>
      </c>
      <c r="F91" s="0" t="s">
        <v>929</v>
      </c>
      <c r="G91" s="0">
        <v>16</v>
      </c>
      <c r="I91" s="95">
        <v>1.52587890625E-05</v>
      </c>
      <c r="J91" s="0" t="b">
        <v>0</v>
      </c>
      <c r="K91" s="0">
        <v>16</v>
      </c>
    </row>
    <row r="92">
      <c r="A92" s="0" t="s">
        <v>907</v>
      </c>
      <c r="B92" s="0" t="s">
        <v>6</v>
      </c>
      <c r="C92" s="0" t="s">
        <v>89</v>
      </c>
      <c r="D92" s="0" t="s">
        <v>531</v>
      </c>
      <c r="E92" s="0" t="s">
        <v>678</v>
      </c>
      <c r="F92" s="0" t="s">
        <v>930</v>
      </c>
      <c r="G92" s="0">
        <v>25</v>
      </c>
      <c r="I92" s="95">
        <v>2.384185791015625E-05</v>
      </c>
      <c r="J92" s="0" t="b">
        <v>0</v>
      </c>
      <c r="K92" s="0">
        <v>25</v>
      </c>
    </row>
    <row r="93">
      <c r="A93" s="0" t="s">
        <v>907</v>
      </c>
      <c r="B93" s="0" t="s">
        <v>6</v>
      </c>
      <c r="C93" s="0" t="s">
        <v>89</v>
      </c>
      <c r="D93" s="0" t="s">
        <v>531</v>
      </c>
      <c r="E93" s="0" t="s">
        <v>678</v>
      </c>
      <c r="F93" s="0" t="s">
        <v>545</v>
      </c>
      <c r="G93" s="0">
        <v>35</v>
      </c>
      <c r="I93" s="95">
        <v>3.337860107421875E-05</v>
      </c>
      <c r="J93" s="0" t="b">
        <v>0</v>
      </c>
      <c r="K93" s="0">
        <v>35</v>
      </c>
    </row>
    <row r="94">
      <c r="A94" s="0" t="s">
        <v>907</v>
      </c>
      <c r="B94" s="0" t="s">
        <v>6</v>
      </c>
      <c r="C94" s="0" t="s">
        <v>89</v>
      </c>
      <c r="D94" s="0" t="s">
        <v>531</v>
      </c>
      <c r="E94" s="0" t="s">
        <v>678</v>
      </c>
      <c r="F94" s="0" t="s">
        <v>546</v>
      </c>
      <c r="G94" s="0">
        <v>33</v>
      </c>
      <c r="I94" s="95">
        <v>3.147125244140625E-05</v>
      </c>
      <c r="J94" s="0" t="b">
        <v>0</v>
      </c>
      <c r="K94" s="0">
        <v>33</v>
      </c>
    </row>
    <row r="95">
      <c r="A95" s="0" t="s">
        <v>907</v>
      </c>
      <c r="B95" s="0" t="s">
        <v>6</v>
      </c>
      <c r="C95" s="0" t="s">
        <v>89</v>
      </c>
      <c r="D95" s="0" t="s">
        <v>531</v>
      </c>
      <c r="E95" s="0" t="s">
        <v>678</v>
      </c>
      <c r="F95" s="0" t="s">
        <v>931</v>
      </c>
      <c r="G95" s="0">
        <v>1.1176470588235294</v>
      </c>
      <c r="I95" s="95"/>
      <c r="J95" s="0" t="b">
        <v>0</v>
      </c>
      <c r="K95" s="0">
        <v>1.1176470588235294</v>
      </c>
    </row>
    <row r="96">
      <c r="A96" s="0" t="s">
        <v>907</v>
      </c>
      <c r="B96" s="0" t="s">
        <v>6</v>
      </c>
      <c r="C96" s="0" t="s">
        <v>89</v>
      </c>
      <c r="D96" s="0" t="s">
        <v>531</v>
      </c>
      <c r="E96" s="0" t="s">
        <v>678</v>
      </c>
      <c r="F96" s="0" t="s">
        <v>932</v>
      </c>
      <c r="G96" s="0">
        <v>2</v>
      </c>
      <c r="I96" s="95"/>
      <c r="J96" s="0" t="b">
        <v>0</v>
      </c>
      <c r="K96" s="0">
        <v>2</v>
      </c>
    </row>
    <row r="97">
      <c r="A97" s="0" t="s">
        <v>907</v>
      </c>
      <c r="B97" s="0" t="s">
        <v>6</v>
      </c>
      <c r="C97" s="0" t="s">
        <v>89</v>
      </c>
      <c r="D97" s="0" t="s">
        <v>531</v>
      </c>
      <c r="E97" s="0" t="s">
        <v>678</v>
      </c>
      <c r="F97" s="0" t="s">
        <v>933</v>
      </c>
      <c r="G97" s="0">
        <v>1</v>
      </c>
      <c r="I97" s="95"/>
      <c r="J97" s="0" t="b">
        <v>0</v>
      </c>
      <c r="K97" s="0">
        <v>1</v>
      </c>
    </row>
    <row r="98">
      <c r="A98" s="0" t="s">
        <v>907</v>
      </c>
      <c r="B98" s="0" t="s">
        <v>6</v>
      </c>
      <c r="C98" s="0" t="s">
        <v>89</v>
      </c>
      <c r="D98" s="0" t="s">
        <v>531</v>
      </c>
      <c r="E98" s="0" t="s">
        <v>678</v>
      </c>
      <c r="F98" s="0" t="s">
        <v>648</v>
      </c>
      <c r="G98" s="0">
        <v>1</v>
      </c>
      <c r="I98" s="95"/>
      <c r="J98" s="0" t="b">
        <v>0</v>
      </c>
      <c r="K98" s="0">
        <v>1</v>
      </c>
    </row>
    <row r="99">
      <c r="A99" s="0" t="s">
        <v>907</v>
      </c>
      <c r="B99" s="0" t="s">
        <v>6</v>
      </c>
      <c r="C99" s="0" t="s">
        <v>89</v>
      </c>
      <c r="D99" s="0" t="s">
        <v>531</v>
      </c>
      <c r="E99" s="0" t="s">
        <v>532</v>
      </c>
      <c r="F99" s="0" t="s">
        <v>913</v>
      </c>
      <c r="G99" s="0">
        <v>2</v>
      </c>
      <c r="I99" s="95"/>
      <c r="J99" s="0" t="b">
        <v>1</v>
      </c>
      <c r="K99" s="0">
        <v>2</v>
      </c>
    </row>
    <row r="100">
      <c r="A100" s="0" t="s">
        <v>907</v>
      </c>
      <c r="B100" s="0" t="s">
        <v>6</v>
      </c>
      <c r="C100" s="0" t="s">
        <v>89</v>
      </c>
      <c r="D100" s="0" t="s">
        <v>531</v>
      </c>
      <c r="E100" s="0" t="s">
        <v>532</v>
      </c>
      <c r="F100" s="0" t="s">
        <v>914</v>
      </c>
      <c r="G100" s="0">
        <v>9758</v>
      </c>
      <c r="I100" s="95">
        <v>0.0093059539794921875</v>
      </c>
      <c r="J100" s="0" t="b">
        <v>1</v>
      </c>
      <c r="K100" s="0">
        <v>9758</v>
      </c>
    </row>
    <row r="101">
      <c r="A101" s="0" t="s">
        <v>907</v>
      </c>
      <c r="B101" s="0" t="s">
        <v>6</v>
      </c>
      <c r="C101" s="0" t="s">
        <v>89</v>
      </c>
      <c r="D101" s="0" t="s">
        <v>531</v>
      </c>
      <c r="E101" s="0" t="s">
        <v>532</v>
      </c>
      <c r="F101" s="0" t="s">
        <v>709</v>
      </c>
      <c r="G101" s="0">
        <v>9758</v>
      </c>
      <c r="I101" s="95">
        <v>0.0093059539794921875</v>
      </c>
      <c r="J101" s="0" t="b">
        <v>1</v>
      </c>
      <c r="K101" s="0">
        <v>9758</v>
      </c>
    </row>
    <row r="102">
      <c r="A102" s="0" t="s">
        <v>907</v>
      </c>
      <c r="B102" s="0" t="s">
        <v>6</v>
      </c>
      <c r="C102" s="0" t="s">
        <v>89</v>
      </c>
      <c r="D102" s="0" t="s">
        <v>531</v>
      </c>
      <c r="E102" s="0" t="s">
        <v>532</v>
      </c>
      <c r="F102" s="0" t="s">
        <v>915</v>
      </c>
      <c r="G102" s="0">
        <v>0</v>
      </c>
      <c r="I102" s="95">
        <v>0</v>
      </c>
      <c r="J102" s="0" t="b">
        <v>1</v>
      </c>
      <c r="K102" s="0">
        <v>0</v>
      </c>
    </row>
    <row r="103">
      <c r="A103" s="0" t="s">
        <v>907</v>
      </c>
      <c r="B103" s="0" t="s">
        <v>6</v>
      </c>
      <c r="C103" s="0" t="s">
        <v>89</v>
      </c>
      <c r="D103" s="0" t="s">
        <v>531</v>
      </c>
      <c r="E103" s="0" t="s">
        <v>532</v>
      </c>
      <c r="F103" s="0" t="s">
        <v>916</v>
      </c>
      <c r="G103" s="0">
        <v>64</v>
      </c>
      <c r="I103" s="95">
        <v>6.103515625E-05</v>
      </c>
      <c r="J103" s="0" t="b">
        <v>1</v>
      </c>
      <c r="K103" s="0">
        <v>64</v>
      </c>
    </row>
    <row r="104">
      <c r="A104" s="0" t="s">
        <v>907</v>
      </c>
      <c r="B104" s="0" t="s">
        <v>6</v>
      </c>
      <c r="C104" s="0" t="s">
        <v>89</v>
      </c>
      <c r="D104" s="0" t="s">
        <v>531</v>
      </c>
      <c r="E104" s="0" t="s">
        <v>532</v>
      </c>
      <c r="F104" s="0" t="s">
        <v>917</v>
      </c>
      <c r="G104" s="0">
        <v>0.86003584229390673</v>
      </c>
      <c r="I104" s="95"/>
      <c r="J104" s="0" t="b">
        <v>1</v>
      </c>
      <c r="K104" s="0">
        <v>0.86003584229390673</v>
      </c>
    </row>
    <row r="105">
      <c r="A105" s="0" t="s">
        <v>907</v>
      </c>
      <c r="B105" s="0" t="s">
        <v>6</v>
      </c>
      <c r="C105" s="0" t="s">
        <v>89</v>
      </c>
      <c r="D105" s="0" t="s">
        <v>531</v>
      </c>
      <c r="E105" s="0" t="s">
        <v>532</v>
      </c>
      <c r="F105" s="0" t="s">
        <v>547</v>
      </c>
      <c r="G105" s="0">
        <v>4</v>
      </c>
      <c r="I105" s="95"/>
      <c r="J105" s="0" t="b">
        <v>1</v>
      </c>
      <c r="K105" s="0">
        <v>4</v>
      </c>
    </row>
    <row r="106">
      <c r="A106" s="0" t="s">
        <v>907</v>
      </c>
      <c r="B106" s="0" t="s">
        <v>6</v>
      </c>
      <c r="C106" s="0" t="s">
        <v>89</v>
      </c>
      <c r="D106" s="0" t="s">
        <v>531</v>
      </c>
      <c r="E106" s="0" t="s">
        <v>532</v>
      </c>
      <c r="F106" s="0" t="s">
        <v>918</v>
      </c>
      <c r="G106" s="0">
        <v>0</v>
      </c>
      <c r="I106" s="95"/>
      <c r="J106" s="0" t="b">
        <v>1</v>
      </c>
      <c r="K106" s="0">
        <v>0</v>
      </c>
    </row>
    <row r="107">
      <c r="A107" s="0" t="s">
        <v>907</v>
      </c>
      <c r="B107" s="0" t="s">
        <v>6</v>
      </c>
      <c r="C107" s="0" t="s">
        <v>89</v>
      </c>
      <c r="D107" s="0" t="s">
        <v>531</v>
      </c>
      <c r="E107" s="0" t="s">
        <v>532</v>
      </c>
      <c r="F107" s="0" t="s">
        <v>919</v>
      </c>
      <c r="G107" s="0">
        <v>0</v>
      </c>
      <c r="I107" s="95">
        <v>0</v>
      </c>
      <c r="J107" s="0" t="b">
        <v>1</v>
      </c>
      <c r="K107" s="0">
        <v>0</v>
      </c>
    </row>
    <row r="108">
      <c r="A108" s="0" t="s">
        <v>907</v>
      </c>
      <c r="B108" s="0" t="s">
        <v>6</v>
      </c>
      <c r="C108" s="0" t="s">
        <v>89</v>
      </c>
      <c r="D108" s="0" t="s">
        <v>531</v>
      </c>
      <c r="E108" s="0" t="s">
        <v>532</v>
      </c>
      <c r="F108" s="0" t="s">
        <v>920</v>
      </c>
      <c r="G108" s="0">
        <v>0</v>
      </c>
      <c r="I108" s="95">
        <v>0</v>
      </c>
      <c r="J108" s="0" t="b">
        <v>1</v>
      </c>
      <c r="K108" s="0">
        <v>0</v>
      </c>
    </row>
    <row r="109">
      <c r="A109" s="0" t="s">
        <v>907</v>
      </c>
      <c r="B109" s="0" t="s">
        <v>6</v>
      </c>
      <c r="C109" s="0" t="s">
        <v>89</v>
      </c>
      <c r="D109" s="0" t="s">
        <v>531</v>
      </c>
      <c r="E109" s="0" t="s">
        <v>532</v>
      </c>
      <c r="F109" s="0" t="s">
        <v>921</v>
      </c>
      <c r="G109" s="0">
        <v>1</v>
      </c>
      <c r="I109" s="95"/>
      <c r="J109" s="0" t="b">
        <v>1</v>
      </c>
      <c r="K109" s="0">
        <v>1</v>
      </c>
    </row>
    <row r="110">
      <c r="A110" s="0" t="s">
        <v>907</v>
      </c>
      <c r="B110" s="0" t="s">
        <v>6</v>
      </c>
      <c r="C110" s="0" t="s">
        <v>89</v>
      </c>
      <c r="D110" s="0" t="s">
        <v>531</v>
      </c>
      <c r="E110" s="0" t="s">
        <v>532</v>
      </c>
      <c r="F110" s="0" t="s">
        <v>686</v>
      </c>
      <c r="G110" s="0">
        <v>0</v>
      </c>
      <c r="I110" s="95"/>
      <c r="J110" s="0" t="b">
        <v>1</v>
      </c>
      <c r="K110" s="0">
        <v>0</v>
      </c>
    </row>
    <row r="111">
      <c r="A111" s="0" t="s">
        <v>907</v>
      </c>
      <c r="B111" s="0" t="s">
        <v>6</v>
      </c>
      <c r="C111" s="0" t="s">
        <v>89</v>
      </c>
      <c r="D111" s="0" t="s">
        <v>531</v>
      </c>
      <c r="E111" s="0" t="s">
        <v>532</v>
      </c>
      <c r="F111" s="0" t="s">
        <v>685</v>
      </c>
      <c r="H111" s="0" t="s">
        <v>922</v>
      </c>
      <c r="I111" s="95"/>
      <c r="J111" s="0" t="b">
        <v>1</v>
      </c>
    </row>
    <row r="112">
      <c r="A112" s="0" t="s">
        <v>907</v>
      </c>
      <c r="B112" s="0" t="s">
        <v>6</v>
      </c>
      <c r="C112" s="0" t="s">
        <v>89</v>
      </c>
      <c r="D112" s="0" t="s">
        <v>531</v>
      </c>
      <c r="E112" s="0" t="s">
        <v>532</v>
      </c>
      <c r="F112" s="0" t="s">
        <v>701</v>
      </c>
      <c r="G112" s="0">
        <v>3</v>
      </c>
      <c r="I112" s="95"/>
      <c r="J112" s="0" t="b">
        <v>1</v>
      </c>
      <c r="K112" s="0">
        <v>3</v>
      </c>
    </row>
    <row r="113">
      <c r="A113" s="0" t="s">
        <v>907</v>
      </c>
      <c r="B113" s="0" t="s">
        <v>6</v>
      </c>
      <c r="C113" s="0" t="s">
        <v>89</v>
      </c>
      <c r="D113" s="0" t="s">
        <v>531</v>
      </c>
      <c r="E113" s="0" t="s">
        <v>532</v>
      </c>
      <c r="F113" s="0" t="s">
        <v>700</v>
      </c>
      <c r="G113" s="0">
        <v>0.08</v>
      </c>
      <c r="H113" s="0" t="s">
        <v>934</v>
      </c>
      <c r="I113" s="95"/>
      <c r="J113" s="0" t="b">
        <v>1</v>
      </c>
      <c r="K113" s="0">
        <v>0.08</v>
      </c>
    </row>
    <row r="114">
      <c r="A114" s="0" t="s">
        <v>907</v>
      </c>
      <c r="B114" s="0" t="s">
        <v>6</v>
      </c>
      <c r="C114" s="0" t="s">
        <v>89</v>
      </c>
      <c r="D114" s="0" t="s">
        <v>531</v>
      </c>
      <c r="E114" s="0" t="s">
        <v>532</v>
      </c>
      <c r="F114" s="0" t="s">
        <v>923</v>
      </c>
      <c r="G114" s="0">
        <v>0</v>
      </c>
      <c r="I114" s="95"/>
      <c r="J114" s="0" t="b">
        <v>1</v>
      </c>
      <c r="K114" s="0">
        <v>0</v>
      </c>
    </row>
    <row r="115">
      <c r="A115" s="0" t="s">
        <v>907</v>
      </c>
      <c r="B115" s="0" t="s">
        <v>6</v>
      </c>
      <c r="C115" s="0" t="s">
        <v>89</v>
      </c>
      <c r="D115" s="0" t="s">
        <v>531</v>
      </c>
      <c r="E115" s="0" t="s">
        <v>532</v>
      </c>
      <c r="F115" s="0" t="s">
        <v>924</v>
      </c>
      <c r="G115" s="0">
        <v>0</v>
      </c>
      <c r="I115" s="95"/>
      <c r="J115" s="0" t="b">
        <v>1</v>
      </c>
      <c r="K115" s="0">
        <v>0</v>
      </c>
    </row>
    <row r="116">
      <c r="A116" s="0" t="s">
        <v>907</v>
      </c>
      <c r="B116" s="0" t="s">
        <v>6</v>
      </c>
      <c r="C116" s="0" t="s">
        <v>89</v>
      </c>
      <c r="D116" s="0" t="s">
        <v>531</v>
      </c>
      <c r="E116" s="0" t="s">
        <v>532</v>
      </c>
      <c r="F116" s="0" t="s">
        <v>925</v>
      </c>
      <c r="G116" s="0">
        <v>0</v>
      </c>
      <c r="I116" s="95"/>
      <c r="J116" s="0" t="b">
        <v>1</v>
      </c>
      <c r="K116" s="0">
        <v>0</v>
      </c>
    </row>
    <row r="117">
      <c r="A117" s="0" t="s">
        <v>907</v>
      </c>
      <c r="B117" s="0" t="s">
        <v>6</v>
      </c>
      <c r="C117" s="0" t="s">
        <v>89</v>
      </c>
      <c r="D117" s="0" t="s">
        <v>531</v>
      </c>
      <c r="E117" s="0" t="s">
        <v>532</v>
      </c>
      <c r="F117" s="0" t="s">
        <v>926</v>
      </c>
      <c r="G117" s="0">
        <v>32</v>
      </c>
      <c r="I117" s="95">
        <v>3.0517578125E-05</v>
      </c>
      <c r="J117" s="0" t="b">
        <v>1</v>
      </c>
      <c r="K117" s="0">
        <v>32</v>
      </c>
    </row>
    <row r="118">
      <c r="A118" s="0" t="s">
        <v>907</v>
      </c>
      <c r="B118" s="0" t="s">
        <v>6</v>
      </c>
      <c r="C118" s="0" t="s">
        <v>89</v>
      </c>
      <c r="D118" s="0" t="s">
        <v>531</v>
      </c>
      <c r="E118" s="0" t="s">
        <v>532</v>
      </c>
      <c r="F118" s="0" t="s">
        <v>927</v>
      </c>
      <c r="G118" s="0">
        <v>16</v>
      </c>
      <c r="I118" s="95">
        <v>1.52587890625E-05</v>
      </c>
      <c r="J118" s="0" t="b">
        <v>1</v>
      </c>
      <c r="K118" s="0">
        <v>16</v>
      </c>
    </row>
    <row r="119">
      <c r="A119" s="0" t="s">
        <v>907</v>
      </c>
      <c r="B119" s="0" t="s">
        <v>6</v>
      </c>
      <c r="C119" s="0" t="s">
        <v>89</v>
      </c>
      <c r="D119" s="0" t="s">
        <v>531</v>
      </c>
      <c r="E119" s="0" t="s">
        <v>532</v>
      </c>
      <c r="F119" s="0" t="s">
        <v>928</v>
      </c>
      <c r="G119" s="0">
        <v>32</v>
      </c>
      <c r="I119" s="95">
        <v>3.0517578125E-05</v>
      </c>
      <c r="J119" s="0" t="b">
        <v>1</v>
      </c>
      <c r="K119" s="0">
        <v>32</v>
      </c>
    </row>
    <row r="120">
      <c r="A120" s="0" t="s">
        <v>907</v>
      </c>
      <c r="B120" s="0" t="s">
        <v>6</v>
      </c>
      <c r="C120" s="0" t="s">
        <v>89</v>
      </c>
      <c r="D120" s="0" t="s">
        <v>531</v>
      </c>
      <c r="E120" s="0" t="s">
        <v>532</v>
      </c>
      <c r="F120" s="0" t="s">
        <v>929</v>
      </c>
      <c r="G120" s="0">
        <v>16</v>
      </c>
      <c r="I120" s="95">
        <v>1.52587890625E-05</v>
      </c>
      <c r="J120" s="0" t="b">
        <v>1</v>
      </c>
      <c r="K120" s="0">
        <v>16</v>
      </c>
    </row>
    <row r="121">
      <c r="A121" s="0" t="s">
        <v>907</v>
      </c>
      <c r="B121" s="0" t="s">
        <v>6</v>
      </c>
      <c r="C121" s="0" t="s">
        <v>89</v>
      </c>
      <c r="D121" s="0" t="s">
        <v>531</v>
      </c>
      <c r="E121" s="0" t="s">
        <v>532</v>
      </c>
      <c r="F121" s="0" t="s">
        <v>930</v>
      </c>
      <c r="G121" s="0">
        <v>25</v>
      </c>
      <c r="I121" s="95">
        <v>2.384185791015625E-05</v>
      </c>
      <c r="J121" s="0" t="b">
        <v>1</v>
      </c>
      <c r="K121" s="0">
        <v>25</v>
      </c>
    </row>
    <row r="122">
      <c r="A122" s="0" t="s">
        <v>907</v>
      </c>
      <c r="B122" s="0" t="s">
        <v>6</v>
      </c>
      <c r="C122" s="0" t="s">
        <v>89</v>
      </c>
      <c r="D122" s="0" t="s">
        <v>531</v>
      </c>
      <c r="E122" s="0" t="s">
        <v>532</v>
      </c>
      <c r="F122" s="0" t="s">
        <v>545</v>
      </c>
      <c r="G122" s="0">
        <v>35</v>
      </c>
      <c r="I122" s="95">
        <v>3.337860107421875E-05</v>
      </c>
      <c r="J122" s="0" t="b">
        <v>1</v>
      </c>
      <c r="K122" s="0">
        <v>35</v>
      </c>
    </row>
    <row r="123">
      <c r="A123" s="0" t="s">
        <v>907</v>
      </c>
      <c r="B123" s="0" t="s">
        <v>6</v>
      </c>
      <c r="C123" s="0" t="s">
        <v>89</v>
      </c>
      <c r="D123" s="0" t="s">
        <v>531</v>
      </c>
      <c r="E123" s="0" t="s">
        <v>532</v>
      </c>
      <c r="F123" s="0" t="s">
        <v>546</v>
      </c>
      <c r="G123" s="0">
        <v>33</v>
      </c>
      <c r="I123" s="95">
        <v>3.147125244140625E-05</v>
      </c>
      <c r="J123" s="0" t="b">
        <v>1</v>
      </c>
      <c r="K123" s="0">
        <v>33</v>
      </c>
    </row>
    <row r="124">
      <c r="A124" s="0" t="s">
        <v>907</v>
      </c>
      <c r="B124" s="0" t="s">
        <v>6</v>
      </c>
      <c r="C124" s="0" t="s">
        <v>89</v>
      </c>
      <c r="D124" s="0" t="s">
        <v>531</v>
      </c>
      <c r="E124" s="0" t="s">
        <v>532</v>
      </c>
      <c r="F124" s="0" t="s">
        <v>931</v>
      </c>
      <c r="G124" s="0">
        <v>1.0588235294117647</v>
      </c>
      <c r="I124" s="95"/>
      <c r="J124" s="0" t="b">
        <v>1</v>
      </c>
      <c r="K124" s="0">
        <v>1.0588235294117647</v>
      </c>
    </row>
    <row r="125">
      <c r="A125" s="0" t="s">
        <v>907</v>
      </c>
      <c r="B125" s="0" t="s">
        <v>6</v>
      </c>
      <c r="C125" s="0" t="s">
        <v>89</v>
      </c>
      <c r="D125" s="0" t="s">
        <v>531</v>
      </c>
      <c r="E125" s="0" t="s">
        <v>532</v>
      </c>
      <c r="F125" s="0" t="s">
        <v>932</v>
      </c>
      <c r="G125" s="0">
        <v>2</v>
      </c>
      <c r="I125" s="95"/>
      <c r="J125" s="0" t="b">
        <v>1</v>
      </c>
      <c r="K125" s="0">
        <v>2</v>
      </c>
    </row>
    <row r="126">
      <c r="A126" s="0" t="s">
        <v>907</v>
      </c>
      <c r="B126" s="0" t="s">
        <v>6</v>
      </c>
      <c r="C126" s="0" t="s">
        <v>89</v>
      </c>
      <c r="D126" s="0" t="s">
        <v>531</v>
      </c>
      <c r="E126" s="0" t="s">
        <v>532</v>
      </c>
      <c r="F126" s="0" t="s">
        <v>933</v>
      </c>
      <c r="G126" s="0">
        <v>1</v>
      </c>
      <c r="I126" s="95"/>
      <c r="J126" s="0" t="b">
        <v>1</v>
      </c>
      <c r="K126" s="0">
        <v>1</v>
      </c>
    </row>
    <row r="127">
      <c r="A127" s="0" t="s">
        <v>907</v>
      </c>
      <c r="B127" s="0" t="s">
        <v>6</v>
      </c>
      <c r="C127" s="0" t="s">
        <v>89</v>
      </c>
      <c r="D127" s="0" t="s">
        <v>531</v>
      </c>
      <c r="E127" s="0" t="s">
        <v>532</v>
      </c>
      <c r="F127" s="0" t="s">
        <v>648</v>
      </c>
      <c r="G127" s="0">
        <v>1</v>
      </c>
      <c r="I127" s="95"/>
      <c r="J127" s="0" t="b">
        <v>1</v>
      </c>
      <c r="K127" s="0">
        <v>1</v>
      </c>
    </row>
    <row r="128">
      <c r="F128" s="0" t="s">
        <v>931</v>
      </c>
    </row>
    <row r="129">
      <c r="F129" s="0" t="s">
        <v>933</v>
      </c>
    </row>
    <row r="130">
      <c r="F130" s="0" t="s">
        <v>717</v>
      </c>
    </row>
    <row r="131">
      <c r="F131" s="0" t="s">
        <v>718</v>
      </c>
    </row>
    <row r="132">
      <c r="F132" s="0" t="s">
        <v>935</v>
      </c>
    </row>
    <row r="133">
      <c r="F133" s="0" t="s">
        <v>716</v>
      </c>
    </row>
    <row r="134">
      <c r="F134" s="0" t="s">
        <v>924</v>
      </c>
    </row>
    <row r="135">
      <c r="F135" s="0" t="s">
        <v>925</v>
      </c>
    </row>
    <row r="136">
      <c r="F136" s="0" t="s">
        <v>927</v>
      </c>
    </row>
    <row r="137">
      <c r="F137" s="0" t="s">
        <v>926</v>
      </c>
    </row>
    <row r="138">
      <c r="F138" s="0" t="s">
        <v>545</v>
      </c>
    </row>
    <row r="139">
      <c r="F139" s="0" t="s">
        <v>546</v>
      </c>
    </row>
    <row r="140">
      <c r="F140" s="0" t="s">
        <v>930</v>
      </c>
    </row>
    <row r="141">
      <c r="F141" s="0" t="s">
        <v>936</v>
      </c>
    </row>
    <row r="142">
      <c r="F142" s="0" t="s">
        <v>591</v>
      </c>
    </row>
    <row r="143">
      <c r="F143" s="0" t="s">
        <v>937</v>
      </c>
    </row>
    <row r="144">
      <c r="F144" s="0" t="s">
        <v>593</v>
      </c>
    </row>
    <row r="145">
      <c r="F145" s="0" t="s">
        <v>593</v>
      </c>
    </row>
    <row r="146">
      <c r="F146" s="0" t="s">
        <v>938</v>
      </c>
    </row>
    <row r="147">
      <c r="F147" s="0" t="s">
        <v>592</v>
      </c>
    </row>
    <row r="148">
      <c r="F148" s="0" t="s">
        <v>590</v>
      </c>
    </row>
    <row r="149">
      <c r="F149" s="0" t="s">
        <v>929</v>
      </c>
    </row>
    <row r="150">
      <c r="F150" s="0" t="s">
        <v>928</v>
      </c>
    </row>
    <row r="151">
      <c r="F151" s="0" t="s">
        <v>686</v>
      </c>
    </row>
    <row r="152">
      <c r="F152" s="0" t="s">
        <v>685</v>
      </c>
    </row>
    <row r="153">
      <c r="F153" s="0" t="s">
        <v>701</v>
      </c>
    </row>
    <row r="154">
      <c r="F154" s="0" t="s">
        <v>700</v>
      </c>
    </row>
    <row r="155">
      <c r="F155" s="0" t="s">
        <v>932</v>
      </c>
    </row>
    <row r="156">
      <c r="F156" s="0" t="s">
        <v>648</v>
      </c>
    </row>
    <row r="157">
      <c r="F157" s="0" t="s">
        <v>939</v>
      </c>
    </row>
    <row r="158">
      <c r="F158" s="0" t="s">
        <v>940</v>
      </c>
    </row>
    <row r="159">
      <c r="F159" s="0" t="s">
        <v>941</v>
      </c>
    </row>
    <row r="160">
      <c r="F160" s="0" t="s">
        <v>942</v>
      </c>
    </row>
    <row r="161">
      <c r="F161" s="0" t="s">
        <v>943</v>
      </c>
    </row>
    <row r="162">
      <c r="F162" s="0" t="s">
        <v>944</v>
      </c>
    </row>
    <row r="163">
      <c r="F163" s="0" t="s">
        <v>945</v>
      </c>
    </row>
    <row r="164">
      <c r="F164" s="0" t="s">
        <v>918</v>
      </c>
    </row>
    <row r="165">
      <c r="F165" s="0" t="s">
        <v>919</v>
      </c>
    </row>
    <row r="166">
      <c r="F166" s="0" t="s">
        <v>920</v>
      </c>
    </row>
    <row r="167">
      <c r="F167" s="0" t="s">
        <v>921</v>
      </c>
    </row>
    <row r="168">
      <c r="F168" s="0" t="s">
        <v>547</v>
      </c>
    </row>
    <row r="169">
      <c r="F169" s="0" t="s">
        <v>916</v>
      </c>
    </row>
    <row r="170">
      <c r="F170" s="0" t="s">
        <v>542</v>
      </c>
    </row>
    <row r="171">
      <c r="F171" s="0" t="s">
        <v>544</v>
      </c>
    </row>
    <row r="172">
      <c r="F172" s="0" t="s">
        <v>946</v>
      </c>
    </row>
    <row r="173">
      <c r="F173" s="0" t="s">
        <v>543</v>
      </c>
    </row>
    <row r="174">
      <c r="F174" s="0" t="s">
        <v>923</v>
      </c>
    </row>
    <row r="175">
      <c r="F175" s="0" t="s">
        <v>908</v>
      </c>
    </row>
    <row r="176">
      <c r="F176" s="0" t="s">
        <v>947</v>
      </c>
    </row>
    <row r="177">
      <c r="F177" s="0" t="s">
        <v>688</v>
      </c>
    </row>
    <row r="178">
      <c r="F178" s="0" t="s">
        <v>917</v>
      </c>
    </row>
    <row r="179">
      <c r="F179" s="0" t="s">
        <v>913</v>
      </c>
    </row>
    <row r="180">
      <c r="F180" s="0" t="s">
        <v>948</v>
      </c>
    </row>
    <row r="181">
      <c r="F181" s="0" t="s">
        <v>914</v>
      </c>
    </row>
    <row r="182">
      <c r="F182" s="0" t="s">
        <v>709</v>
      </c>
    </row>
    <row r="183">
      <c r="F183" s="0" t="s">
        <v>915</v>
      </c>
    </row>
    <row r="184">
      <c r="F184" s="0" t="s">
        <v>949</v>
      </c>
    </row>
    <row r="185">
      <c r="F185" s="0" t="s">
        <v>645</v>
      </c>
    </row>
    <row r="186">
      <c r="F186" s="0" t="s">
        <v>646</v>
      </c>
    </row>
    <row r="187">
      <c r="F187" s="0" t="s">
        <v>950</v>
      </c>
    </row>
    <row r="188">
      <c r="F188" s="0" t="s">
        <v>647</v>
      </c>
    </row>
    <row r="189">
      <c r="F189" s="0" t="s">
        <v>910</v>
      </c>
    </row>
    <row r="190">
      <c r="F190" s="0" t="s">
        <v>951</v>
      </c>
    </row>
    <row r="191">
      <c r="F191" s="0" t="s">
        <v>702</v>
      </c>
    </row>
    <row r="192">
      <c r="F192" s="0" t="s">
        <v>720</v>
      </c>
    </row>
    <row r="193">
      <c r="F193" s="0" t="s">
        <v>952</v>
      </c>
    </row>
    <row r="194">
      <c r="F194" s="0" t="s">
        <v>721</v>
      </c>
    </row>
    <row r="195">
      <c r="F195" s="0" t="s">
        <v>953</v>
      </c>
    </row>
    <row r="196">
      <c r="F196" s="0" t="s">
        <v>719</v>
      </c>
    </row>
    <row r="197">
      <c r="F197" s="0" t="s">
        <v>636</v>
      </c>
    </row>
    <row r="198">
      <c r="F198" s="0" t="s">
        <v>954</v>
      </c>
    </row>
    <row r="199">
      <c r="F199" s="0" t="s">
        <v>637</v>
      </c>
    </row>
    <row r="200">
      <c r="F200" s="0" t="s">
        <v>955</v>
      </c>
    </row>
    <row r="201">
      <c r="F201" s="0" t="s">
        <v>956</v>
      </c>
    </row>
  </sheetData>
  <autoFilter ref="A1:L1"/>
  <pageMargins left="0.7" right="0.7" top="0.75" bottom="0.75" header="0.3" footer="0.3"/>
  <pageSetup orientation="portrait"/>
  <headerFooter/>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222"/>
  <sheetViews>
    <sheetView workbookViewId="0">
      <pane ySplit="1" topLeftCell="A2" state="frozen" activePane="bottomLeft"/>
      <selection pane="bottomLeft" activeCell="A2" sqref="A2"/>
    </sheetView>
  </sheetViews>
  <sheetFormatPr defaultRowHeight="15"/>
  <cols>
    <col min="1" max="1" width="13.9196710586548" customWidth="1"/>
    <col min="2" max="2" width="14.1767406463623" customWidth="1"/>
    <col min="3" max="3" width="17.5784320831299" customWidth="1"/>
    <col min="4" max="4" width="52.4605827331543" customWidth="1"/>
    <col min="5" max="5" width="9.140625" customWidth="1" style="99"/>
    <col min="6" max="6" width="10.7637948989868" customWidth="1" style="99"/>
    <col min="7" max="7" width="13.3091812133789" customWidth="1" style="99"/>
    <col min="8" max="8" width="10.5704355239868" customWidth="1" style="99"/>
    <col min="9" max="9" width="17.762583732605" customWidth="1" style="99"/>
    <col min="10" max="10" width="11.3551263809204" customWidth="1" style="99"/>
    <col min="11" max="11" width="14.7895565032959" customWidth="1" style="99"/>
    <col min="12" max="12" width="14.5931272506714" customWidth="1" style="99"/>
    <col min="13" max="13" width="11.7305908203125" customWidth="1"/>
    <col min="14" max="14" width="25.4263648986816" customWidth="1"/>
  </cols>
  <sheetData>
    <row r="1" s="94" customFormat="1">
      <c r="A1" s="100" t="s">
        <v>537</v>
      </c>
      <c r="B1" s="100" t="s">
        <v>0</v>
      </c>
      <c r="C1" s="100" t="s">
        <v>1</v>
      </c>
      <c r="D1" s="100" t="s">
        <v>541</v>
      </c>
      <c r="E1" s="100" t="s">
        <v>540</v>
      </c>
      <c r="F1" s="100" t="s">
        <v>757</v>
      </c>
      <c r="G1" s="100" t="s">
        <v>758</v>
      </c>
      <c r="H1" s="100" t="s">
        <v>759</v>
      </c>
      <c r="I1" s="100" t="s">
        <v>760</v>
      </c>
      <c r="J1" s="100" t="s">
        <v>761</v>
      </c>
      <c r="K1" s="100" t="s">
        <v>762</v>
      </c>
      <c r="L1" s="100" t="s">
        <v>596</v>
      </c>
      <c r="M1" s="94" t="s">
        <v>763</v>
      </c>
      <c r="N1" s="94" t="s">
        <v>764</v>
      </c>
    </row>
    <row r="2">
      <c r="A2" s="0" t="s">
        <v>765</v>
      </c>
      <c r="B2" s="0" t="s">
        <v>6</v>
      </c>
      <c r="C2" s="0" t="s">
        <v>7</v>
      </c>
      <c r="D2" s="0" t="s">
        <v>766</v>
      </c>
      <c r="E2" s="99"/>
      <c r="F2" s="99"/>
      <c r="G2" s="99"/>
      <c r="H2" s="99"/>
      <c r="I2" s="99"/>
      <c r="J2" s="99"/>
      <c r="K2" s="99">
        <v>221</v>
      </c>
      <c r="L2" s="99"/>
      <c r="N2" s="0">
        <v>2</v>
      </c>
    </row>
    <row r="3">
      <c r="A3" s="0" t="s">
        <v>765</v>
      </c>
      <c r="B3" s="0" t="s">
        <v>6</v>
      </c>
      <c r="C3" s="0" t="s">
        <v>7</v>
      </c>
      <c r="D3" s="0" t="s">
        <v>767</v>
      </c>
      <c r="E3" s="99"/>
      <c r="F3" s="99"/>
      <c r="G3" s="99"/>
      <c r="H3" s="99"/>
      <c r="I3" s="99"/>
      <c r="J3" s="99"/>
      <c r="K3" s="99">
        <v>241</v>
      </c>
      <c r="L3" s="99"/>
      <c r="N3" s="0">
        <v>2</v>
      </c>
    </row>
    <row r="4">
      <c r="A4" s="0" t="s">
        <v>765</v>
      </c>
      <c r="B4" s="0" t="s">
        <v>6</v>
      </c>
      <c r="C4" s="0" t="s">
        <v>7</v>
      </c>
      <c r="D4" s="0" t="s">
        <v>768</v>
      </c>
      <c r="E4" s="99"/>
      <c r="F4" s="99"/>
      <c r="G4" s="99"/>
      <c r="H4" s="99"/>
      <c r="I4" s="99"/>
      <c r="J4" s="99"/>
      <c r="K4" s="99">
        <v>229</v>
      </c>
      <c r="L4" s="99"/>
      <c r="N4" s="0">
        <v>2</v>
      </c>
    </row>
    <row r="5">
      <c r="A5" s="0" t="s">
        <v>765</v>
      </c>
      <c r="B5" s="0" t="s">
        <v>6</v>
      </c>
      <c r="C5" s="0" t="s">
        <v>7</v>
      </c>
      <c r="D5" s="0" t="s">
        <v>567</v>
      </c>
      <c r="E5" s="99"/>
      <c r="F5" s="99"/>
      <c r="G5" s="99"/>
      <c r="H5" s="99"/>
      <c r="I5" s="99"/>
      <c r="J5" s="99"/>
      <c r="K5" s="99"/>
      <c r="L5" s="99">
        <v>4</v>
      </c>
      <c r="N5" s="0">
        <v>2</v>
      </c>
    </row>
    <row r="6">
      <c r="A6" s="0" t="s">
        <v>769</v>
      </c>
      <c r="B6" s="0" t="s">
        <v>6</v>
      </c>
      <c r="C6" s="0" t="s">
        <v>7</v>
      </c>
      <c r="D6" s="0" t="s">
        <v>770</v>
      </c>
      <c r="E6" s="99">
        <v>0</v>
      </c>
      <c r="F6" s="99">
        <v>0</v>
      </c>
      <c r="G6" s="99">
        <v>36544025</v>
      </c>
      <c r="H6" s="99">
        <v>0</v>
      </c>
      <c r="I6" s="99">
        <v>0</v>
      </c>
      <c r="J6" s="99"/>
      <c r="K6" s="99"/>
      <c r="L6" s="99"/>
    </row>
    <row r="7">
      <c r="A7" s="0" t="s">
        <v>769</v>
      </c>
      <c r="B7" s="0" t="s">
        <v>6</v>
      </c>
      <c r="C7" s="0" t="s">
        <v>7</v>
      </c>
      <c r="D7" s="0" t="s">
        <v>771</v>
      </c>
      <c r="E7" s="99">
        <v>0</v>
      </c>
      <c r="F7" s="99">
        <v>0</v>
      </c>
      <c r="G7" s="99">
        <v>0</v>
      </c>
      <c r="H7" s="99">
        <v>0</v>
      </c>
      <c r="I7" s="99">
        <v>0</v>
      </c>
      <c r="J7" s="99"/>
      <c r="K7" s="99"/>
      <c r="L7" s="99"/>
    </row>
    <row r="8">
      <c r="A8" s="0" t="s">
        <v>769</v>
      </c>
      <c r="B8" s="0" t="s">
        <v>6</v>
      </c>
      <c r="C8" s="0" t="s">
        <v>7</v>
      </c>
      <c r="D8" s="0" t="s">
        <v>772</v>
      </c>
      <c r="E8" s="99">
        <v>0</v>
      </c>
      <c r="F8" s="99">
        <v>0</v>
      </c>
      <c r="G8" s="99">
        <v>92768</v>
      </c>
      <c r="H8" s="99">
        <v>0</v>
      </c>
      <c r="I8" s="99">
        <v>0</v>
      </c>
      <c r="J8" s="99"/>
      <c r="K8" s="99"/>
      <c r="L8" s="99"/>
    </row>
    <row r="9">
      <c r="A9" s="0" t="s">
        <v>769</v>
      </c>
      <c r="B9" s="0" t="s">
        <v>6</v>
      </c>
      <c r="C9" s="0" t="s">
        <v>7</v>
      </c>
      <c r="D9" s="0" t="s">
        <v>773</v>
      </c>
      <c r="E9" s="99">
        <v>0</v>
      </c>
      <c r="F9" s="99">
        <v>0</v>
      </c>
      <c r="G9" s="99">
        <v>21273746</v>
      </c>
      <c r="H9" s="99">
        <v>0</v>
      </c>
      <c r="I9" s="99">
        <v>0</v>
      </c>
      <c r="J9" s="99"/>
      <c r="K9" s="99"/>
      <c r="L9" s="99"/>
    </row>
    <row r="10">
      <c r="A10" s="0" t="s">
        <v>769</v>
      </c>
      <c r="B10" s="0" t="s">
        <v>6</v>
      </c>
      <c r="C10" s="0" t="s">
        <v>7</v>
      </c>
      <c r="D10" s="0" t="s">
        <v>774</v>
      </c>
      <c r="E10" s="99">
        <v>0</v>
      </c>
      <c r="F10" s="99">
        <v>0</v>
      </c>
      <c r="G10" s="99">
        <v>3531</v>
      </c>
      <c r="H10" s="99">
        <v>0</v>
      </c>
      <c r="I10" s="99">
        <v>0</v>
      </c>
      <c r="J10" s="99"/>
      <c r="K10" s="99"/>
      <c r="L10" s="99"/>
    </row>
    <row r="11">
      <c r="A11" s="0" t="s">
        <v>769</v>
      </c>
      <c r="B11" s="0" t="s">
        <v>6</v>
      </c>
      <c r="C11" s="0" t="s">
        <v>7</v>
      </c>
      <c r="D11" s="0" t="s">
        <v>775</v>
      </c>
      <c r="E11" s="99">
        <v>0</v>
      </c>
      <c r="F11" s="99">
        <v>0</v>
      </c>
      <c r="G11" s="99">
        <v>0</v>
      </c>
      <c r="H11" s="99">
        <v>0</v>
      </c>
      <c r="I11" s="99">
        <v>0</v>
      </c>
      <c r="J11" s="99"/>
      <c r="K11" s="99"/>
      <c r="L11" s="99"/>
    </row>
    <row r="12">
      <c r="A12" s="0" t="s">
        <v>769</v>
      </c>
      <c r="B12" s="0" t="s">
        <v>6</v>
      </c>
      <c r="C12" s="0" t="s">
        <v>7</v>
      </c>
      <c r="D12" s="0" t="s">
        <v>776</v>
      </c>
      <c r="E12" s="99">
        <v>0</v>
      </c>
      <c r="F12" s="99">
        <v>0</v>
      </c>
      <c r="G12" s="99">
        <v>0</v>
      </c>
      <c r="H12" s="99">
        <v>0</v>
      </c>
      <c r="I12" s="99">
        <v>0</v>
      </c>
      <c r="J12" s="99"/>
      <c r="K12" s="99"/>
      <c r="L12" s="99"/>
    </row>
    <row r="13">
      <c r="A13" s="0" t="s">
        <v>769</v>
      </c>
      <c r="B13" s="0" t="s">
        <v>6</v>
      </c>
      <c r="C13" s="0" t="s">
        <v>7</v>
      </c>
      <c r="D13" s="0" t="s">
        <v>777</v>
      </c>
      <c r="E13" s="99">
        <v>0</v>
      </c>
      <c r="F13" s="99">
        <v>0</v>
      </c>
      <c r="G13" s="99">
        <v>789676</v>
      </c>
      <c r="H13" s="99">
        <v>0</v>
      </c>
      <c r="I13" s="99">
        <v>0</v>
      </c>
      <c r="J13" s="99"/>
      <c r="K13" s="99"/>
      <c r="L13" s="99"/>
    </row>
    <row r="14">
      <c r="A14" s="0" t="s">
        <v>769</v>
      </c>
      <c r="B14" s="0" t="s">
        <v>6</v>
      </c>
      <c r="C14" s="0" t="s">
        <v>7</v>
      </c>
      <c r="D14" s="0" t="s">
        <v>778</v>
      </c>
      <c r="E14" s="99">
        <v>0</v>
      </c>
      <c r="F14" s="99">
        <v>0</v>
      </c>
      <c r="G14" s="99">
        <v>3567</v>
      </c>
      <c r="H14" s="99">
        <v>0</v>
      </c>
      <c r="I14" s="99">
        <v>0</v>
      </c>
      <c r="J14" s="99"/>
      <c r="K14" s="99"/>
      <c r="L14" s="99"/>
    </row>
    <row r="15">
      <c r="A15" s="0" t="s">
        <v>769</v>
      </c>
      <c r="B15" s="0" t="s">
        <v>6</v>
      </c>
      <c r="C15" s="0" t="s">
        <v>7</v>
      </c>
      <c r="D15" s="0" t="s">
        <v>779</v>
      </c>
      <c r="E15" s="99">
        <v>0</v>
      </c>
      <c r="F15" s="99">
        <v>0</v>
      </c>
      <c r="G15" s="99">
        <v>6</v>
      </c>
      <c r="H15" s="99">
        <v>0</v>
      </c>
      <c r="I15" s="99">
        <v>0</v>
      </c>
      <c r="J15" s="99"/>
      <c r="K15" s="99"/>
      <c r="L15" s="99"/>
    </row>
    <row r="16">
      <c r="A16" s="0" t="s">
        <v>769</v>
      </c>
      <c r="B16" s="0" t="s">
        <v>6</v>
      </c>
      <c r="C16" s="0" t="s">
        <v>7</v>
      </c>
      <c r="D16" s="0" t="s">
        <v>780</v>
      </c>
      <c r="E16" s="99">
        <v>0</v>
      </c>
      <c r="F16" s="99">
        <v>0</v>
      </c>
      <c r="G16" s="99">
        <v>1874323</v>
      </c>
      <c r="H16" s="99">
        <v>0</v>
      </c>
      <c r="I16" s="99">
        <v>0</v>
      </c>
      <c r="J16" s="99"/>
      <c r="K16" s="99"/>
      <c r="L16" s="99"/>
    </row>
    <row r="17">
      <c r="A17" s="0" t="s">
        <v>769</v>
      </c>
      <c r="B17" s="0" t="s">
        <v>6</v>
      </c>
      <c r="C17" s="0" t="s">
        <v>7</v>
      </c>
      <c r="D17" s="0" t="s">
        <v>781</v>
      </c>
      <c r="E17" s="99">
        <v>0</v>
      </c>
      <c r="F17" s="99">
        <v>0</v>
      </c>
      <c r="G17" s="99">
        <v>0</v>
      </c>
      <c r="H17" s="99">
        <v>0</v>
      </c>
      <c r="I17" s="99">
        <v>0</v>
      </c>
      <c r="J17" s="99"/>
      <c r="K17" s="99"/>
      <c r="L17" s="99"/>
    </row>
    <row r="18">
      <c r="A18" s="0" t="s">
        <v>769</v>
      </c>
      <c r="B18" s="0" t="s">
        <v>6</v>
      </c>
      <c r="C18" s="0" t="s">
        <v>7</v>
      </c>
      <c r="D18" s="0" t="s">
        <v>782</v>
      </c>
      <c r="E18" s="99">
        <v>0</v>
      </c>
      <c r="F18" s="99">
        <v>0</v>
      </c>
      <c r="G18" s="99">
        <v>1</v>
      </c>
      <c r="H18" s="99">
        <v>0</v>
      </c>
      <c r="I18" s="99">
        <v>0</v>
      </c>
      <c r="J18" s="99"/>
      <c r="K18" s="99"/>
      <c r="L18" s="99"/>
    </row>
    <row r="19">
      <c r="A19" s="0" t="s">
        <v>769</v>
      </c>
      <c r="B19" s="0" t="s">
        <v>6</v>
      </c>
      <c r="C19" s="0" t="s">
        <v>7</v>
      </c>
      <c r="D19" s="0" t="s">
        <v>783</v>
      </c>
      <c r="E19" s="99">
        <v>0</v>
      </c>
      <c r="F19" s="99">
        <v>0</v>
      </c>
      <c r="G19" s="99">
        <v>137</v>
      </c>
      <c r="H19" s="99">
        <v>0</v>
      </c>
      <c r="I19" s="99">
        <v>0</v>
      </c>
      <c r="J19" s="99"/>
      <c r="K19" s="99"/>
      <c r="L19" s="99"/>
    </row>
    <row r="20">
      <c r="A20" s="0" t="s">
        <v>769</v>
      </c>
      <c r="B20" s="0" t="s">
        <v>6</v>
      </c>
      <c r="C20" s="0" t="s">
        <v>7</v>
      </c>
      <c r="D20" s="0" t="s">
        <v>784</v>
      </c>
      <c r="E20" s="99">
        <v>0</v>
      </c>
      <c r="F20" s="99">
        <v>0</v>
      </c>
      <c r="G20" s="99">
        <v>4195</v>
      </c>
      <c r="H20" s="99">
        <v>0</v>
      </c>
      <c r="I20" s="99">
        <v>0</v>
      </c>
      <c r="J20" s="99"/>
      <c r="K20" s="99"/>
      <c r="L20" s="99"/>
    </row>
    <row r="21">
      <c r="A21" s="0" t="s">
        <v>769</v>
      </c>
      <c r="B21" s="0" t="s">
        <v>6</v>
      </c>
      <c r="C21" s="0" t="s">
        <v>7</v>
      </c>
      <c r="D21" s="0" t="s">
        <v>785</v>
      </c>
      <c r="E21" s="99">
        <v>0</v>
      </c>
      <c r="F21" s="99">
        <v>0</v>
      </c>
      <c r="G21" s="99">
        <v>0</v>
      </c>
      <c r="H21" s="99">
        <v>0</v>
      </c>
      <c r="I21" s="99">
        <v>0</v>
      </c>
      <c r="J21" s="99"/>
      <c r="K21" s="99"/>
      <c r="L21" s="99"/>
    </row>
    <row r="22">
      <c r="A22" s="0" t="s">
        <v>769</v>
      </c>
      <c r="B22" s="0" t="s">
        <v>6</v>
      </c>
      <c r="C22" s="0" t="s">
        <v>7</v>
      </c>
      <c r="D22" s="0" t="s">
        <v>786</v>
      </c>
      <c r="E22" s="99">
        <v>0</v>
      </c>
      <c r="F22" s="99">
        <v>0</v>
      </c>
      <c r="G22" s="99">
        <v>0</v>
      </c>
      <c r="H22" s="99">
        <v>0</v>
      </c>
      <c r="I22" s="99">
        <v>0</v>
      </c>
      <c r="J22" s="99"/>
      <c r="K22" s="99"/>
      <c r="L22" s="99"/>
    </row>
    <row r="23">
      <c r="A23" s="0" t="s">
        <v>769</v>
      </c>
      <c r="B23" s="0" t="s">
        <v>6</v>
      </c>
      <c r="C23" s="0" t="s">
        <v>7</v>
      </c>
      <c r="D23" s="0" t="s">
        <v>787</v>
      </c>
      <c r="E23" s="99">
        <v>0</v>
      </c>
      <c r="F23" s="99">
        <v>0</v>
      </c>
      <c r="G23" s="99">
        <v>3567</v>
      </c>
      <c r="H23" s="99">
        <v>0</v>
      </c>
      <c r="I23" s="99">
        <v>0</v>
      </c>
      <c r="J23" s="99"/>
      <c r="K23" s="99"/>
      <c r="L23" s="99"/>
    </row>
    <row r="24">
      <c r="A24" s="0" t="s">
        <v>769</v>
      </c>
      <c r="B24" s="0" t="s">
        <v>6</v>
      </c>
      <c r="C24" s="0" t="s">
        <v>7</v>
      </c>
      <c r="D24" s="0" t="s">
        <v>788</v>
      </c>
      <c r="E24" s="99">
        <v>0</v>
      </c>
      <c r="F24" s="99">
        <v>0</v>
      </c>
      <c r="G24" s="99">
        <v>158</v>
      </c>
      <c r="H24" s="99">
        <v>0</v>
      </c>
      <c r="I24" s="99">
        <v>0</v>
      </c>
      <c r="J24" s="99"/>
      <c r="K24" s="99"/>
      <c r="L24" s="99"/>
    </row>
    <row r="25">
      <c r="A25" s="0" t="s">
        <v>769</v>
      </c>
      <c r="B25" s="0" t="s">
        <v>6</v>
      </c>
      <c r="C25" s="0" t="s">
        <v>7</v>
      </c>
      <c r="D25" s="0" t="s">
        <v>789</v>
      </c>
      <c r="E25" s="99">
        <v>0</v>
      </c>
      <c r="F25" s="99">
        <v>0</v>
      </c>
      <c r="G25" s="99">
        <v>0</v>
      </c>
      <c r="H25" s="99">
        <v>0</v>
      </c>
      <c r="I25" s="99">
        <v>0</v>
      </c>
      <c r="J25" s="99"/>
      <c r="K25" s="99"/>
      <c r="L25" s="99"/>
    </row>
    <row r="26">
      <c r="A26" s="0" t="s">
        <v>769</v>
      </c>
      <c r="B26" s="0" t="s">
        <v>6</v>
      </c>
      <c r="C26" s="0" t="s">
        <v>7</v>
      </c>
      <c r="D26" s="0" t="s">
        <v>790</v>
      </c>
      <c r="E26" s="99">
        <v>0</v>
      </c>
      <c r="F26" s="99">
        <v>0</v>
      </c>
      <c r="G26" s="99">
        <v>0</v>
      </c>
      <c r="H26" s="99">
        <v>0</v>
      </c>
      <c r="I26" s="99">
        <v>0</v>
      </c>
      <c r="J26" s="99"/>
      <c r="K26" s="99"/>
      <c r="L26" s="99"/>
    </row>
    <row r="27">
      <c r="A27" s="0" t="s">
        <v>769</v>
      </c>
      <c r="B27" s="0" t="s">
        <v>6</v>
      </c>
      <c r="C27" s="0" t="s">
        <v>7</v>
      </c>
      <c r="D27" s="0" t="s">
        <v>791</v>
      </c>
      <c r="E27" s="99">
        <v>0</v>
      </c>
      <c r="F27" s="99">
        <v>0</v>
      </c>
      <c r="G27" s="99">
        <v>27551303</v>
      </c>
      <c r="H27" s="99">
        <v>0</v>
      </c>
      <c r="I27" s="99">
        <v>0</v>
      </c>
      <c r="J27" s="99"/>
      <c r="K27" s="99"/>
      <c r="L27" s="99"/>
    </row>
    <row r="28">
      <c r="A28" s="0" t="s">
        <v>769</v>
      </c>
      <c r="B28" s="0" t="s">
        <v>6</v>
      </c>
      <c r="C28" s="0" t="s">
        <v>7</v>
      </c>
      <c r="D28" s="0" t="s">
        <v>606</v>
      </c>
      <c r="E28" s="99"/>
      <c r="F28" s="99"/>
      <c r="G28" s="99"/>
      <c r="H28" s="99"/>
      <c r="I28" s="99"/>
      <c r="J28" s="99">
        <v>0</v>
      </c>
      <c r="K28" s="99"/>
      <c r="L28" s="99"/>
    </row>
    <row r="29">
      <c r="A29" s="0" t="s">
        <v>769</v>
      </c>
      <c r="B29" s="0" t="s">
        <v>6</v>
      </c>
      <c r="C29" s="0" t="s">
        <v>7</v>
      </c>
      <c r="D29" s="0" t="s">
        <v>607</v>
      </c>
      <c r="E29" s="99"/>
      <c r="F29" s="99"/>
      <c r="G29" s="99"/>
      <c r="H29" s="99"/>
      <c r="I29" s="99"/>
      <c r="J29" s="99">
        <v>0</v>
      </c>
      <c r="K29" s="99"/>
      <c r="L29" s="99"/>
    </row>
    <row r="30">
      <c r="A30" s="0" t="s">
        <v>769</v>
      </c>
      <c r="B30" s="0" t="s">
        <v>6</v>
      </c>
      <c r="C30" s="0" t="s">
        <v>7</v>
      </c>
      <c r="D30" s="0" t="s">
        <v>792</v>
      </c>
      <c r="E30" s="99"/>
      <c r="F30" s="99"/>
      <c r="G30" s="99"/>
      <c r="H30" s="99"/>
      <c r="I30" s="99"/>
      <c r="J30" s="99">
        <v>0</v>
      </c>
      <c r="K30" s="99"/>
      <c r="L30" s="99"/>
    </row>
    <row r="31">
      <c r="A31" s="0" t="s">
        <v>769</v>
      </c>
      <c r="B31" s="0" t="s">
        <v>6</v>
      </c>
      <c r="C31" s="0" t="s">
        <v>7</v>
      </c>
      <c r="D31" s="0" t="s">
        <v>793</v>
      </c>
      <c r="E31" s="99"/>
      <c r="F31" s="99"/>
      <c r="G31" s="99"/>
      <c r="H31" s="99"/>
      <c r="I31" s="99"/>
      <c r="J31" s="99">
        <v>0</v>
      </c>
      <c r="K31" s="99"/>
      <c r="L31" s="99"/>
    </row>
    <row r="32">
      <c r="A32" s="0" t="s">
        <v>769</v>
      </c>
      <c r="B32" s="0" t="s">
        <v>6</v>
      </c>
      <c r="C32" s="0" t="s">
        <v>7</v>
      </c>
      <c r="D32" s="0" t="s">
        <v>794</v>
      </c>
      <c r="E32" s="99"/>
      <c r="F32" s="99"/>
      <c r="G32" s="99"/>
      <c r="H32" s="99"/>
      <c r="I32" s="99"/>
      <c r="J32" s="99">
        <v>0</v>
      </c>
      <c r="K32" s="99"/>
      <c r="L32" s="99"/>
    </row>
    <row r="33">
      <c r="A33" s="0" t="s">
        <v>769</v>
      </c>
      <c r="B33" s="0" t="s">
        <v>6</v>
      </c>
      <c r="C33" s="0" t="s">
        <v>7</v>
      </c>
      <c r="D33" s="0" t="s">
        <v>795</v>
      </c>
      <c r="E33" s="99"/>
      <c r="F33" s="99"/>
      <c r="G33" s="99"/>
      <c r="H33" s="99"/>
      <c r="I33" s="99"/>
      <c r="J33" s="99">
        <v>0</v>
      </c>
      <c r="K33" s="99"/>
      <c r="L33" s="99"/>
    </row>
    <row r="34">
      <c r="A34" s="0" t="s">
        <v>769</v>
      </c>
      <c r="B34" s="0" t="s">
        <v>6</v>
      </c>
      <c r="C34" s="0" t="s">
        <v>7</v>
      </c>
      <c r="D34" s="0" t="s">
        <v>796</v>
      </c>
      <c r="E34" s="99"/>
      <c r="F34" s="99"/>
      <c r="G34" s="99"/>
      <c r="H34" s="99"/>
      <c r="I34" s="99"/>
      <c r="J34" s="99">
        <v>0</v>
      </c>
      <c r="K34" s="99"/>
      <c r="L34" s="99"/>
    </row>
    <row r="35">
      <c r="A35" s="0" t="s">
        <v>769</v>
      </c>
      <c r="B35" s="0" t="s">
        <v>6</v>
      </c>
      <c r="C35" s="0" t="s">
        <v>7</v>
      </c>
      <c r="D35" s="0" t="s">
        <v>797</v>
      </c>
      <c r="E35" s="99"/>
      <c r="F35" s="99"/>
      <c r="G35" s="99"/>
      <c r="H35" s="99"/>
      <c r="I35" s="99"/>
      <c r="J35" s="99">
        <v>0</v>
      </c>
      <c r="K35" s="99"/>
      <c r="L35" s="99"/>
    </row>
    <row r="36">
      <c r="A36" s="0" t="s">
        <v>769</v>
      </c>
      <c r="B36" s="0" t="s">
        <v>6</v>
      </c>
      <c r="C36" s="0" t="s">
        <v>7</v>
      </c>
      <c r="D36" s="0" t="s">
        <v>609</v>
      </c>
      <c r="E36" s="99"/>
      <c r="F36" s="99"/>
      <c r="G36" s="99"/>
      <c r="H36" s="99"/>
      <c r="I36" s="99"/>
      <c r="J36" s="99">
        <v>0</v>
      </c>
      <c r="K36" s="99"/>
      <c r="L36" s="99"/>
    </row>
    <row r="37">
      <c r="A37" s="0" t="s">
        <v>769</v>
      </c>
      <c r="B37" s="0" t="s">
        <v>6</v>
      </c>
      <c r="C37" s="0" t="s">
        <v>7</v>
      </c>
      <c r="D37" s="0" t="s">
        <v>608</v>
      </c>
      <c r="E37" s="99"/>
      <c r="F37" s="99"/>
      <c r="G37" s="99"/>
      <c r="H37" s="99"/>
      <c r="I37" s="99"/>
      <c r="J37" s="99">
        <v>0</v>
      </c>
      <c r="K37" s="99"/>
      <c r="L37" s="99"/>
    </row>
    <row r="38">
      <c r="A38" s="0" t="s">
        <v>769</v>
      </c>
      <c r="B38" s="0" t="s">
        <v>6</v>
      </c>
      <c r="C38" s="0" t="s">
        <v>7</v>
      </c>
      <c r="D38" s="0" t="s">
        <v>605</v>
      </c>
      <c r="E38" s="99"/>
      <c r="F38" s="99"/>
      <c r="G38" s="99"/>
      <c r="H38" s="99"/>
      <c r="I38" s="99"/>
      <c r="J38" s="99">
        <v>0</v>
      </c>
      <c r="K38" s="99"/>
      <c r="L38" s="99"/>
    </row>
    <row r="39">
      <c r="A39" s="0" t="s">
        <v>765</v>
      </c>
      <c r="B39" s="0" t="s">
        <v>6</v>
      </c>
      <c r="C39" s="0" t="s">
        <v>89</v>
      </c>
      <c r="D39" s="0" t="s">
        <v>766</v>
      </c>
      <c r="E39" s="99"/>
      <c r="F39" s="99"/>
      <c r="G39" s="99"/>
      <c r="H39" s="99"/>
      <c r="I39" s="99"/>
      <c r="J39" s="99"/>
      <c r="K39" s="99">
        <v>204</v>
      </c>
      <c r="L39" s="99"/>
      <c r="N39" s="0">
        <v>1</v>
      </c>
    </row>
    <row r="40">
      <c r="A40" s="0" t="s">
        <v>765</v>
      </c>
      <c r="B40" s="0" t="s">
        <v>6</v>
      </c>
      <c r="C40" s="0" t="s">
        <v>89</v>
      </c>
      <c r="D40" s="0" t="s">
        <v>767</v>
      </c>
      <c r="E40" s="99"/>
      <c r="F40" s="99"/>
      <c r="G40" s="99"/>
      <c r="H40" s="99"/>
      <c r="I40" s="99"/>
      <c r="J40" s="99"/>
      <c r="K40" s="99">
        <v>376</v>
      </c>
      <c r="L40" s="99"/>
      <c r="N40" s="0">
        <v>1</v>
      </c>
    </row>
    <row r="41">
      <c r="A41" s="0" t="s">
        <v>765</v>
      </c>
      <c r="B41" s="0" t="s">
        <v>6</v>
      </c>
      <c r="C41" s="0" t="s">
        <v>89</v>
      </c>
      <c r="D41" s="0" t="s">
        <v>768</v>
      </c>
      <c r="E41" s="99"/>
      <c r="F41" s="99"/>
      <c r="G41" s="99"/>
      <c r="H41" s="99"/>
      <c r="I41" s="99"/>
      <c r="J41" s="99"/>
      <c r="K41" s="99">
        <v>238</v>
      </c>
      <c r="L41" s="99"/>
      <c r="N41" s="0">
        <v>1</v>
      </c>
    </row>
    <row r="42">
      <c r="A42" s="0" t="s">
        <v>765</v>
      </c>
      <c r="B42" s="0" t="s">
        <v>6</v>
      </c>
      <c r="C42" s="0" t="s">
        <v>89</v>
      </c>
      <c r="D42" s="0" t="s">
        <v>567</v>
      </c>
      <c r="E42" s="99"/>
      <c r="F42" s="99"/>
      <c r="G42" s="99"/>
      <c r="H42" s="99"/>
      <c r="I42" s="99"/>
      <c r="J42" s="99"/>
      <c r="K42" s="99"/>
      <c r="L42" s="99">
        <v>10</v>
      </c>
      <c r="N42" s="0">
        <v>1</v>
      </c>
    </row>
    <row r="43">
      <c r="A43" s="0" t="s">
        <v>769</v>
      </c>
      <c r="B43" s="0" t="s">
        <v>6</v>
      </c>
      <c r="C43" s="0" t="s">
        <v>89</v>
      </c>
      <c r="D43" s="0" t="s">
        <v>770</v>
      </c>
      <c r="E43" s="99">
        <v>0</v>
      </c>
      <c r="F43" s="99">
        <v>0</v>
      </c>
      <c r="G43" s="99">
        <v>41599843</v>
      </c>
      <c r="H43" s="99">
        <v>0</v>
      </c>
      <c r="I43" s="99">
        <v>0</v>
      </c>
      <c r="J43" s="99"/>
      <c r="K43" s="99"/>
      <c r="L43" s="99"/>
    </row>
    <row r="44">
      <c r="A44" s="0" t="s">
        <v>769</v>
      </c>
      <c r="B44" s="0" t="s">
        <v>6</v>
      </c>
      <c r="C44" s="0" t="s">
        <v>89</v>
      </c>
      <c r="D44" s="0" t="s">
        <v>771</v>
      </c>
      <c r="E44" s="99">
        <v>0</v>
      </c>
      <c r="F44" s="99">
        <v>0</v>
      </c>
      <c r="G44" s="99">
        <v>0</v>
      </c>
      <c r="H44" s="99">
        <v>0</v>
      </c>
      <c r="I44" s="99">
        <v>0</v>
      </c>
      <c r="J44" s="99"/>
      <c r="K44" s="99"/>
      <c r="L44" s="99"/>
    </row>
    <row r="45">
      <c r="A45" s="0" t="s">
        <v>769</v>
      </c>
      <c r="B45" s="0" t="s">
        <v>6</v>
      </c>
      <c r="C45" s="0" t="s">
        <v>89</v>
      </c>
      <c r="D45" s="0" t="s">
        <v>772</v>
      </c>
      <c r="E45" s="99">
        <v>0</v>
      </c>
      <c r="F45" s="99">
        <v>0</v>
      </c>
      <c r="G45" s="99">
        <v>188686</v>
      </c>
      <c r="H45" s="99">
        <v>0</v>
      </c>
      <c r="I45" s="99">
        <v>0</v>
      </c>
      <c r="J45" s="99"/>
      <c r="K45" s="99"/>
      <c r="L45" s="99"/>
    </row>
    <row r="46">
      <c r="A46" s="0" t="s">
        <v>769</v>
      </c>
      <c r="B46" s="0" t="s">
        <v>6</v>
      </c>
      <c r="C46" s="0" t="s">
        <v>89</v>
      </c>
      <c r="D46" s="0" t="s">
        <v>773</v>
      </c>
      <c r="E46" s="99">
        <v>0</v>
      </c>
      <c r="F46" s="99">
        <v>0</v>
      </c>
      <c r="G46" s="99">
        <v>19179123</v>
      </c>
      <c r="H46" s="99">
        <v>0</v>
      </c>
      <c r="I46" s="99">
        <v>0</v>
      </c>
      <c r="J46" s="99"/>
      <c r="K46" s="99"/>
      <c r="L46" s="99"/>
    </row>
    <row r="47">
      <c r="A47" s="0" t="s">
        <v>769</v>
      </c>
      <c r="B47" s="0" t="s">
        <v>6</v>
      </c>
      <c r="C47" s="0" t="s">
        <v>89</v>
      </c>
      <c r="D47" s="0" t="s">
        <v>774</v>
      </c>
      <c r="E47" s="99">
        <v>0</v>
      </c>
      <c r="F47" s="99">
        <v>0</v>
      </c>
      <c r="G47" s="99">
        <v>3487</v>
      </c>
      <c r="H47" s="99">
        <v>0</v>
      </c>
      <c r="I47" s="99">
        <v>0</v>
      </c>
      <c r="J47" s="99"/>
      <c r="K47" s="99"/>
      <c r="L47" s="99"/>
    </row>
    <row r="48">
      <c r="A48" s="0" t="s">
        <v>769</v>
      </c>
      <c r="B48" s="0" t="s">
        <v>6</v>
      </c>
      <c r="C48" s="0" t="s">
        <v>89</v>
      </c>
      <c r="D48" s="0" t="s">
        <v>775</v>
      </c>
      <c r="E48" s="99">
        <v>0</v>
      </c>
      <c r="F48" s="99">
        <v>0</v>
      </c>
      <c r="G48" s="99">
        <v>0</v>
      </c>
      <c r="H48" s="99">
        <v>0</v>
      </c>
      <c r="I48" s="99">
        <v>0</v>
      </c>
      <c r="J48" s="99"/>
      <c r="K48" s="99"/>
      <c r="L48" s="99"/>
    </row>
    <row r="49">
      <c r="A49" s="0" t="s">
        <v>769</v>
      </c>
      <c r="B49" s="0" t="s">
        <v>6</v>
      </c>
      <c r="C49" s="0" t="s">
        <v>89</v>
      </c>
      <c r="D49" s="0" t="s">
        <v>776</v>
      </c>
      <c r="E49" s="99">
        <v>0</v>
      </c>
      <c r="F49" s="99">
        <v>0</v>
      </c>
      <c r="G49" s="99">
        <v>0</v>
      </c>
      <c r="H49" s="99">
        <v>0</v>
      </c>
      <c r="I49" s="99">
        <v>0</v>
      </c>
      <c r="J49" s="99"/>
      <c r="K49" s="99"/>
      <c r="L49" s="99"/>
    </row>
    <row r="50">
      <c r="A50" s="0" t="s">
        <v>769</v>
      </c>
      <c r="B50" s="0" t="s">
        <v>6</v>
      </c>
      <c r="C50" s="0" t="s">
        <v>89</v>
      </c>
      <c r="D50" s="0" t="s">
        <v>777</v>
      </c>
      <c r="E50" s="99">
        <v>0</v>
      </c>
      <c r="F50" s="99">
        <v>0</v>
      </c>
      <c r="G50" s="99">
        <v>791013</v>
      </c>
      <c r="H50" s="99">
        <v>0</v>
      </c>
      <c r="I50" s="99">
        <v>0</v>
      </c>
      <c r="J50" s="99"/>
      <c r="K50" s="99"/>
      <c r="L50" s="99"/>
    </row>
    <row r="51">
      <c r="A51" s="0" t="s">
        <v>769</v>
      </c>
      <c r="B51" s="0" t="s">
        <v>6</v>
      </c>
      <c r="C51" s="0" t="s">
        <v>89</v>
      </c>
      <c r="D51" s="0" t="s">
        <v>778</v>
      </c>
      <c r="E51" s="99">
        <v>0</v>
      </c>
      <c r="F51" s="99">
        <v>0</v>
      </c>
      <c r="G51" s="99">
        <v>4610</v>
      </c>
      <c r="H51" s="99">
        <v>0</v>
      </c>
      <c r="I51" s="99">
        <v>0</v>
      </c>
      <c r="J51" s="99"/>
      <c r="K51" s="99"/>
      <c r="L51" s="99"/>
    </row>
    <row r="52">
      <c r="A52" s="0" t="s">
        <v>769</v>
      </c>
      <c r="B52" s="0" t="s">
        <v>6</v>
      </c>
      <c r="C52" s="0" t="s">
        <v>89</v>
      </c>
      <c r="D52" s="0" t="s">
        <v>779</v>
      </c>
      <c r="E52" s="99">
        <v>0</v>
      </c>
      <c r="F52" s="99">
        <v>0</v>
      </c>
      <c r="G52" s="99">
        <v>6</v>
      </c>
      <c r="H52" s="99">
        <v>0</v>
      </c>
      <c r="I52" s="99">
        <v>0</v>
      </c>
      <c r="J52" s="99"/>
      <c r="K52" s="99"/>
      <c r="L52" s="99"/>
    </row>
    <row r="53">
      <c r="A53" s="0" t="s">
        <v>769</v>
      </c>
      <c r="B53" s="0" t="s">
        <v>6</v>
      </c>
      <c r="C53" s="0" t="s">
        <v>89</v>
      </c>
      <c r="D53" s="0" t="s">
        <v>780</v>
      </c>
      <c r="E53" s="99">
        <v>0</v>
      </c>
      <c r="F53" s="99">
        <v>0</v>
      </c>
      <c r="G53" s="99">
        <v>1874836</v>
      </c>
      <c r="H53" s="99">
        <v>0</v>
      </c>
      <c r="I53" s="99">
        <v>0</v>
      </c>
      <c r="J53" s="99"/>
      <c r="K53" s="99"/>
      <c r="L53" s="99"/>
    </row>
    <row r="54">
      <c r="A54" s="0" t="s">
        <v>769</v>
      </c>
      <c r="B54" s="0" t="s">
        <v>6</v>
      </c>
      <c r="C54" s="0" t="s">
        <v>89</v>
      </c>
      <c r="D54" s="0" t="s">
        <v>781</v>
      </c>
      <c r="E54" s="99">
        <v>0</v>
      </c>
      <c r="F54" s="99">
        <v>0</v>
      </c>
      <c r="G54" s="99">
        <v>0</v>
      </c>
      <c r="H54" s="99">
        <v>0</v>
      </c>
      <c r="I54" s="99">
        <v>0</v>
      </c>
      <c r="J54" s="99"/>
      <c r="K54" s="99"/>
      <c r="L54" s="99"/>
    </row>
    <row r="55">
      <c r="A55" s="0" t="s">
        <v>769</v>
      </c>
      <c r="B55" s="0" t="s">
        <v>6</v>
      </c>
      <c r="C55" s="0" t="s">
        <v>89</v>
      </c>
      <c r="D55" s="0" t="s">
        <v>782</v>
      </c>
      <c r="E55" s="99">
        <v>0</v>
      </c>
      <c r="F55" s="99">
        <v>0</v>
      </c>
      <c r="G55" s="99">
        <v>0</v>
      </c>
      <c r="H55" s="99">
        <v>0</v>
      </c>
      <c r="I55" s="99">
        <v>0</v>
      </c>
      <c r="J55" s="99"/>
      <c r="K55" s="99"/>
      <c r="L55" s="99"/>
    </row>
    <row r="56">
      <c r="A56" s="0" t="s">
        <v>769</v>
      </c>
      <c r="B56" s="0" t="s">
        <v>6</v>
      </c>
      <c r="C56" s="0" t="s">
        <v>89</v>
      </c>
      <c r="D56" s="0" t="s">
        <v>783</v>
      </c>
      <c r="E56" s="99">
        <v>0</v>
      </c>
      <c r="F56" s="99">
        <v>0</v>
      </c>
      <c r="G56" s="99">
        <v>157</v>
      </c>
      <c r="H56" s="99">
        <v>0</v>
      </c>
      <c r="I56" s="99">
        <v>0</v>
      </c>
      <c r="J56" s="99"/>
      <c r="K56" s="99"/>
      <c r="L56" s="99"/>
    </row>
    <row r="57">
      <c r="A57" s="0" t="s">
        <v>769</v>
      </c>
      <c r="B57" s="0" t="s">
        <v>6</v>
      </c>
      <c r="C57" s="0" t="s">
        <v>89</v>
      </c>
      <c r="D57" s="0" t="s">
        <v>784</v>
      </c>
      <c r="E57" s="99">
        <v>0</v>
      </c>
      <c r="F57" s="99">
        <v>0</v>
      </c>
      <c r="G57" s="99">
        <v>5229</v>
      </c>
      <c r="H57" s="99">
        <v>0</v>
      </c>
      <c r="I57" s="99">
        <v>0</v>
      </c>
      <c r="J57" s="99"/>
      <c r="K57" s="99"/>
      <c r="L57" s="99"/>
    </row>
    <row r="58">
      <c r="A58" s="0" t="s">
        <v>769</v>
      </c>
      <c r="B58" s="0" t="s">
        <v>6</v>
      </c>
      <c r="C58" s="0" t="s">
        <v>89</v>
      </c>
      <c r="D58" s="0" t="s">
        <v>785</v>
      </c>
      <c r="E58" s="99">
        <v>0</v>
      </c>
      <c r="F58" s="99">
        <v>0</v>
      </c>
      <c r="G58" s="99">
        <v>0</v>
      </c>
      <c r="H58" s="99">
        <v>0</v>
      </c>
      <c r="I58" s="99">
        <v>0</v>
      </c>
      <c r="J58" s="99"/>
      <c r="K58" s="99"/>
      <c r="L58" s="99"/>
    </row>
    <row r="59">
      <c r="A59" s="0" t="s">
        <v>769</v>
      </c>
      <c r="B59" s="0" t="s">
        <v>6</v>
      </c>
      <c r="C59" s="0" t="s">
        <v>89</v>
      </c>
      <c r="D59" s="0" t="s">
        <v>786</v>
      </c>
      <c r="E59" s="99">
        <v>0</v>
      </c>
      <c r="F59" s="99">
        <v>0</v>
      </c>
      <c r="G59" s="99">
        <v>0</v>
      </c>
      <c r="H59" s="99">
        <v>0</v>
      </c>
      <c r="I59" s="99">
        <v>0</v>
      </c>
      <c r="J59" s="99"/>
      <c r="K59" s="99"/>
      <c r="L59" s="99"/>
    </row>
    <row r="60">
      <c r="A60" s="0" t="s">
        <v>769</v>
      </c>
      <c r="B60" s="0" t="s">
        <v>6</v>
      </c>
      <c r="C60" s="0" t="s">
        <v>89</v>
      </c>
      <c r="D60" s="0" t="s">
        <v>787</v>
      </c>
      <c r="E60" s="99">
        <v>0</v>
      </c>
      <c r="F60" s="99">
        <v>0</v>
      </c>
      <c r="G60" s="99">
        <v>4610</v>
      </c>
      <c r="H60" s="99">
        <v>0</v>
      </c>
      <c r="I60" s="99">
        <v>0</v>
      </c>
      <c r="J60" s="99"/>
      <c r="K60" s="99"/>
      <c r="L60" s="99"/>
    </row>
    <row r="61">
      <c r="A61" s="0" t="s">
        <v>769</v>
      </c>
      <c r="B61" s="0" t="s">
        <v>6</v>
      </c>
      <c r="C61" s="0" t="s">
        <v>89</v>
      </c>
      <c r="D61" s="0" t="s">
        <v>788</v>
      </c>
      <c r="E61" s="99">
        <v>0</v>
      </c>
      <c r="F61" s="99">
        <v>0</v>
      </c>
      <c r="G61" s="99">
        <v>9</v>
      </c>
      <c r="H61" s="99">
        <v>0</v>
      </c>
      <c r="I61" s="99">
        <v>0</v>
      </c>
      <c r="J61" s="99"/>
      <c r="K61" s="99"/>
      <c r="L61" s="99"/>
    </row>
    <row r="62">
      <c r="A62" s="0" t="s">
        <v>769</v>
      </c>
      <c r="B62" s="0" t="s">
        <v>6</v>
      </c>
      <c r="C62" s="0" t="s">
        <v>89</v>
      </c>
      <c r="D62" s="0" t="s">
        <v>789</v>
      </c>
      <c r="E62" s="99">
        <v>0</v>
      </c>
      <c r="F62" s="99">
        <v>0</v>
      </c>
      <c r="G62" s="99">
        <v>0</v>
      </c>
      <c r="H62" s="99">
        <v>0</v>
      </c>
      <c r="I62" s="99">
        <v>0</v>
      </c>
      <c r="J62" s="99"/>
      <c r="K62" s="99"/>
      <c r="L62" s="99"/>
    </row>
    <row r="63">
      <c r="A63" s="0" t="s">
        <v>769</v>
      </c>
      <c r="B63" s="0" t="s">
        <v>6</v>
      </c>
      <c r="C63" s="0" t="s">
        <v>89</v>
      </c>
      <c r="D63" s="0" t="s">
        <v>790</v>
      </c>
      <c r="E63" s="99">
        <v>0</v>
      </c>
      <c r="F63" s="99">
        <v>0</v>
      </c>
      <c r="G63" s="99">
        <v>0</v>
      </c>
      <c r="H63" s="99">
        <v>0</v>
      </c>
      <c r="I63" s="99">
        <v>0</v>
      </c>
      <c r="J63" s="99"/>
      <c r="K63" s="99"/>
      <c r="L63" s="99"/>
    </row>
    <row r="64">
      <c r="A64" s="0" t="s">
        <v>769</v>
      </c>
      <c r="B64" s="0" t="s">
        <v>6</v>
      </c>
      <c r="C64" s="0" t="s">
        <v>89</v>
      </c>
      <c r="D64" s="0" t="s">
        <v>791</v>
      </c>
      <c r="E64" s="99">
        <v>0</v>
      </c>
      <c r="F64" s="99">
        <v>0</v>
      </c>
      <c r="G64" s="99">
        <v>27548097</v>
      </c>
      <c r="H64" s="99">
        <v>0</v>
      </c>
      <c r="I64" s="99">
        <v>0</v>
      </c>
      <c r="J64" s="99"/>
      <c r="K64" s="99"/>
      <c r="L64" s="99"/>
    </row>
    <row r="65">
      <c r="A65" s="0" t="s">
        <v>769</v>
      </c>
      <c r="B65" s="0" t="s">
        <v>6</v>
      </c>
      <c r="C65" s="0" t="s">
        <v>89</v>
      </c>
      <c r="D65" s="0" t="s">
        <v>606</v>
      </c>
      <c r="E65" s="99"/>
      <c r="F65" s="99"/>
      <c r="G65" s="99"/>
      <c r="H65" s="99"/>
      <c r="I65" s="99"/>
      <c r="J65" s="99">
        <v>0</v>
      </c>
      <c r="K65" s="99"/>
      <c r="L65" s="99"/>
    </row>
    <row r="66">
      <c r="A66" s="0" t="s">
        <v>769</v>
      </c>
      <c r="B66" s="0" t="s">
        <v>6</v>
      </c>
      <c r="C66" s="0" t="s">
        <v>89</v>
      </c>
      <c r="D66" s="0" t="s">
        <v>607</v>
      </c>
      <c r="E66" s="99"/>
      <c r="F66" s="99"/>
      <c r="G66" s="99"/>
      <c r="H66" s="99"/>
      <c r="I66" s="99"/>
      <c r="J66" s="99">
        <v>0</v>
      </c>
      <c r="K66" s="99"/>
      <c r="L66" s="99"/>
    </row>
    <row r="67">
      <c r="A67" s="0" t="s">
        <v>769</v>
      </c>
      <c r="B67" s="0" t="s">
        <v>6</v>
      </c>
      <c r="C67" s="0" t="s">
        <v>89</v>
      </c>
      <c r="D67" s="0" t="s">
        <v>792</v>
      </c>
      <c r="E67" s="99"/>
      <c r="F67" s="99"/>
      <c r="G67" s="99"/>
      <c r="H67" s="99"/>
      <c r="I67" s="99"/>
      <c r="J67" s="99">
        <v>0</v>
      </c>
      <c r="K67" s="99"/>
      <c r="L67" s="99"/>
    </row>
    <row r="68">
      <c r="A68" s="0" t="s">
        <v>769</v>
      </c>
      <c r="B68" s="0" t="s">
        <v>6</v>
      </c>
      <c r="C68" s="0" t="s">
        <v>89</v>
      </c>
      <c r="D68" s="0" t="s">
        <v>793</v>
      </c>
      <c r="E68" s="99"/>
      <c r="F68" s="99"/>
      <c r="G68" s="99"/>
      <c r="H68" s="99"/>
      <c r="I68" s="99"/>
      <c r="J68" s="99">
        <v>1</v>
      </c>
      <c r="K68" s="99"/>
      <c r="L68" s="99"/>
    </row>
    <row r="69">
      <c r="A69" s="0" t="s">
        <v>769</v>
      </c>
      <c r="B69" s="0" t="s">
        <v>6</v>
      </c>
      <c r="C69" s="0" t="s">
        <v>89</v>
      </c>
      <c r="D69" s="0" t="s">
        <v>794</v>
      </c>
      <c r="E69" s="99"/>
      <c r="F69" s="99"/>
      <c r="G69" s="99"/>
      <c r="H69" s="99"/>
      <c r="I69" s="99"/>
      <c r="J69" s="99">
        <v>238</v>
      </c>
      <c r="K69" s="99"/>
      <c r="L69" s="99"/>
    </row>
    <row r="70">
      <c r="A70" s="0" t="s">
        <v>769</v>
      </c>
      <c r="B70" s="0" t="s">
        <v>6</v>
      </c>
      <c r="C70" s="0" t="s">
        <v>89</v>
      </c>
      <c r="D70" s="0" t="s">
        <v>795</v>
      </c>
      <c r="E70" s="99"/>
      <c r="F70" s="99"/>
      <c r="G70" s="99"/>
      <c r="H70" s="99"/>
      <c r="I70" s="99"/>
      <c r="J70" s="99">
        <v>0</v>
      </c>
      <c r="K70" s="99"/>
      <c r="L70" s="99"/>
    </row>
    <row r="71">
      <c r="A71" s="0" t="s">
        <v>769</v>
      </c>
      <c r="B71" s="0" t="s">
        <v>6</v>
      </c>
      <c r="C71" s="0" t="s">
        <v>89</v>
      </c>
      <c r="D71" s="0" t="s">
        <v>796</v>
      </c>
      <c r="E71" s="99"/>
      <c r="F71" s="99"/>
      <c r="G71" s="99"/>
      <c r="H71" s="99"/>
      <c r="I71" s="99"/>
      <c r="J71" s="99">
        <v>0</v>
      </c>
      <c r="K71" s="99"/>
      <c r="L71" s="99"/>
    </row>
    <row r="72">
      <c r="A72" s="0" t="s">
        <v>769</v>
      </c>
      <c r="B72" s="0" t="s">
        <v>6</v>
      </c>
      <c r="C72" s="0" t="s">
        <v>89</v>
      </c>
      <c r="D72" s="0" t="s">
        <v>797</v>
      </c>
      <c r="E72" s="99"/>
      <c r="F72" s="99"/>
      <c r="G72" s="99"/>
      <c r="H72" s="99"/>
      <c r="I72" s="99"/>
      <c r="J72" s="99">
        <v>0</v>
      </c>
      <c r="K72" s="99"/>
      <c r="L72" s="99"/>
    </row>
    <row r="73">
      <c r="A73" s="0" t="s">
        <v>769</v>
      </c>
      <c r="B73" s="0" t="s">
        <v>6</v>
      </c>
      <c r="C73" s="0" t="s">
        <v>89</v>
      </c>
      <c r="D73" s="0" t="s">
        <v>609</v>
      </c>
      <c r="E73" s="99"/>
      <c r="F73" s="99"/>
      <c r="G73" s="99"/>
      <c r="H73" s="99"/>
      <c r="I73" s="99"/>
      <c r="J73" s="99">
        <v>0</v>
      </c>
      <c r="K73" s="99"/>
      <c r="L73" s="99"/>
    </row>
    <row r="74">
      <c r="A74" s="0" t="s">
        <v>769</v>
      </c>
      <c r="B74" s="0" t="s">
        <v>6</v>
      </c>
      <c r="C74" s="0" t="s">
        <v>89</v>
      </c>
      <c r="D74" s="0" t="s">
        <v>608</v>
      </c>
      <c r="E74" s="99"/>
      <c r="F74" s="99"/>
      <c r="G74" s="99"/>
      <c r="H74" s="99"/>
      <c r="I74" s="99"/>
      <c r="J74" s="99">
        <v>0</v>
      </c>
      <c r="K74" s="99"/>
      <c r="L74" s="99"/>
    </row>
    <row r="75">
      <c r="A75" s="0" t="s">
        <v>769</v>
      </c>
      <c r="B75" s="0" t="s">
        <v>6</v>
      </c>
      <c r="C75" s="0" t="s">
        <v>89</v>
      </c>
      <c r="D75" s="0" t="s">
        <v>605</v>
      </c>
      <c r="E75" s="99"/>
      <c r="F75" s="99"/>
      <c r="G75" s="99"/>
      <c r="H75" s="99"/>
      <c r="I75" s="99"/>
      <c r="J75" s="99">
        <v>0</v>
      </c>
      <c r="K75" s="99"/>
      <c r="L75" s="99"/>
    </row>
    <row r="76">
      <c r="D76" s="0" t="s">
        <v>798</v>
      </c>
    </row>
    <row r="77">
      <c r="D77" s="0" t="s">
        <v>789</v>
      </c>
    </row>
    <row r="78">
      <c r="D78" s="0" t="s">
        <v>799</v>
      </c>
    </row>
    <row r="79">
      <c r="D79" s="0" t="s">
        <v>800</v>
      </c>
    </row>
    <row r="80">
      <c r="D80" s="0" t="s">
        <v>801</v>
      </c>
    </row>
    <row r="81">
      <c r="D81" s="0" t="s">
        <v>802</v>
      </c>
    </row>
    <row r="82">
      <c r="D82" s="0" t="s">
        <v>803</v>
      </c>
    </row>
    <row r="83">
      <c r="D83" s="0" t="s">
        <v>804</v>
      </c>
    </row>
    <row r="84">
      <c r="D84" s="0" t="s">
        <v>795</v>
      </c>
    </row>
    <row r="85">
      <c r="D85" s="0" t="s">
        <v>790</v>
      </c>
    </row>
    <row r="86">
      <c r="D86" s="0" t="s">
        <v>805</v>
      </c>
    </row>
    <row r="87">
      <c r="D87" s="0" t="s">
        <v>777</v>
      </c>
    </row>
    <row r="88">
      <c r="D88" s="0" t="s">
        <v>806</v>
      </c>
    </row>
    <row r="89">
      <c r="D89" s="0" t="s">
        <v>807</v>
      </c>
    </row>
    <row r="90">
      <c r="D90" s="0" t="s">
        <v>808</v>
      </c>
    </row>
    <row r="91">
      <c r="D91" s="0" t="s">
        <v>809</v>
      </c>
    </row>
    <row r="92">
      <c r="D92" s="0" t="s">
        <v>810</v>
      </c>
    </row>
    <row r="93">
      <c r="D93" s="0" t="s">
        <v>775</v>
      </c>
    </row>
    <row r="94">
      <c r="D94" s="0" t="s">
        <v>811</v>
      </c>
    </row>
    <row r="95">
      <c r="D95" s="0" t="s">
        <v>812</v>
      </c>
    </row>
    <row r="96">
      <c r="D96" s="0" t="s">
        <v>813</v>
      </c>
    </row>
    <row r="97">
      <c r="D97" s="0" t="s">
        <v>814</v>
      </c>
    </row>
    <row r="98">
      <c r="D98" s="0" t="s">
        <v>815</v>
      </c>
    </row>
    <row r="99">
      <c r="D99" s="0" t="s">
        <v>767</v>
      </c>
    </row>
    <row r="100">
      <c r="D100" s="0" t="s">
        <v>768</v>
      </c>
    </row>
    <row r="101">
      <c r="D101" s="0" t="s">
        <v>766</v>
      </c>
    </row>
    <row r="102">
      <c r="D102" s="0" t="s">
        <v>567</v>
      </c>
    </row>
    <row r="103">
      <c r="D103" s="0" t="s">
        <v>780</v>
      </c>
    </row>
    <row r="104">
      <c r="D104" s="0" t="s">
        <v>816</v>
      </c>
    </row>
    <row r="105">
      <c r="D105" s="0" t="s">
        <v>817</v>
      </c>
    </row>
    <row r="106">
      <c r="D106" s="0" t="s">
        <v>818</v>
      </c>
    </row>
    <row r="107">
      <c r="D107" s="0" t="s">
        <v>819</v>
      </c>
    </row>
    <row r="108">
      <c r="D108" s="0" t="s">
        <v>820</v>
      </c>
    </row>
    <row r="109">
      <c r="D109" s="0" t="s">
        <v>821</v>
      </c>
    </row>
    <row r="110">
      <c r="D110" s="0" t="s">
        <v>822</v>
      </c>
    </row>
    <row r="111">
      <c r="D111" s="0" t="s">
        <v>823</v>
      </c>
    </row>
    <row r="112">
      <c r="D112" s="0" t="s">
        <v>824</v>
      </c>
    </row>
    <row r="113">
      <c r="D113" s="0" t="s">
        <v>825</v>
      </c>
    </row>
    <row r="114">
      <c r="D114" s="0" t="s">
        <v>826</v>
      </c>
    </row>
    <row r="115">
      <c r="D115" s="0" t="s">
        <v>788</v>
      </c>
    </row>
    <row r="116">
      <c r="D116" s="0" t="s">
        <v>827</v>
      </c>
    </row>
    <row r="117">
      <c r="D117" s="0" t="s">
        <v>828</v>
      </c>
    </row>
    <row r="118">
      <c r="D118" s="0" t="s">
        <v>829</v>
      </c>
    </row>
    <row r="119">
      <c r="D119" s="0" t="s">
        <v>830</v>
      </c>
    </row>
    <row r="120">
      <c r="D120" s="0" t="s">
        <v>831</v>
      </c>
    </row>
    <row r="121">
      <c r="D121" s="0" t="s">
        <v>794</v>
      </c>
    </row>
    <row r="122">
      <c r="D122" s="0" t="s">
        <v>787</v>
      </c>
    </row>
    <row r="123">
      <c r="D123" s="0" t="s">
        <v>832</v>
      </c>
    </row>
    <row r="124">
      <c r="D124" s="0" t="s">
        <v>833</v>
      </c>
    </row>
    <row r="125">
      <c r="D125" s="0" t="s">
        <v>834</v>
      </c>
    </row>
    <row r="126">
      <c r="D126" s="0" t="s">
        <v>835</v>
      </c>
    </row>
    <row r="127">
      <c r="D127" s="0" t="s">
        <v>836</v>
      </c>
    </row>
    <row r="128">
      <c r="D128" s="0" t="s">
        <v>784</v>
      </c>
    </row>
    <row r="129">
      <c r="D129" s="0" t="s">
        <v>837</v>
      </c>
    </row>
    <row r="130">
      <c r="D130" s="0" t="s">
        <v>838</v>
      </c>
    </row>
    <row r="131">
      <c r="D131" s="0" t="s">
        <v>839</v>
      </c>
    </row>
    <row r="132">
      <c r="D132" s="0" t="s">
        <v>840</v>
      </c>
    </row>
    <row r="133">
      <c r="D133" s="0" t="s">
        <v>841</v>
      </c>
    </row>
    <row r="134">
      <c r="D134" s="0" t="s">
        <v>778</v>
      </c>
    </row>
    <row r="135">
      <c r="D135" s="0" t="s">
        <v>842</v>
      </c>
    </row>
    <row r="136">
      <c r="D136" s="0" t="s">
        <v>843</v>
      </c>
    </row>
    <row r="137">
      <c r="D137" s="0" t="s">
        <v>844</v>
      </c>
    </row>
    <row r="138">
      <c r="D138" s="0" t="s">
        <v>845</v>
      </c>
    </row>
    <row r="139">
      <c r="D139" s="0" t="s">
        <v>846</v>
      </c>
    </row>
    <row r="140">
      <c r="D140" s="0" t="s">
        <v>783</v>
      </c>
    </row>
    <row r="141">
      <c r="D141" s="0" t="s">
        <v>847</v>
      </c>
    </row>
    <row r="142">
      <c r="D142" s="0" t="s">
        <v>848</v>
      </c>
    </row>
    <row r="143">
      <c r="D143" s="0" t="s">
        <v>849</v>
      </c>
    </row>
    <row r="144">
      <c r="D144" s="0" t="s">
        <v>850</v>
      </c>
    </row>
    <row r="145">
      <c r="D145" s="0" t="s">
        <v>851</v>
      </c>
    </row>
    <row r="146">
      <c r="D146" s="0" t="s">
        <v>776</v>
      </c>
    </row>
    <row r="147">
      <c r="D147" s="0" t="s">
        <v>770</v>
      </c>
    </row>
    <row r="148">
      <c r="D148" s="0" t="s">
        <v>852</v>
      </c>
    </row>
    <row r="149">
      <c r="D149" s="0" t="s">
        <v>853</v>
      </c>
    </row>
    <row r="150">
      <c r="D150" s="0" t="s">
        <v>854</v>
      </c>
    </row>
    <row r="151">
      <c r="D151" s="0" t="s">
        <v>855</v>
      </c>
    </row>
    <row r="152">
      <c r="D152" s="0" t="s">
        <v>856</v>
      </c>
    </row>
    <row r="153">
      <c r="D153" s="0" t="s">
        <v>608</v>
      </c>
    </row>
    <row r="154">
      <c r="D154" s="0" t="s">
        <v>857</v>
      </c>
    </row>
    <row r="155">
      <c r="D155" s="0" t="s">
        <v>858</v>
      </c>
    </row>
    <row r="156">
      <c r="D156" s="0" t="s">
        <v>859</v>
      </c>
    </row>
    <row r="157">
      <c r="D157" s="0" t="s">
        <v>582</v>
      </c>
    </row>
    <row r="158">
      <c r="D158" s="0" t="s">
        <v>779</v>
      </c>
    </row>
    <row r="159">
      <c r="D159" s="0" t="s">
        <v>860</v>
      </c>
    </row>
    <row r="160">
      <c r="D160" s="0" t="s">
        <v>861</v>
      </c>
    </row>
    <row r="161">
      <c r="D161" s="0" t="s">
        <v>862</v>
      </c>
    </row>
    <row r="162">
      <c r="D162" s="0" t="s">
        <v>863</v>
      </c>
    </row>
    <row r="163">
      <c r="D163" s="0" t="s">
        <v>864</v>
      </c>
    </row>
    <row r="164">
      <c r="D164" s="0" t="s">
        <v>607</v>
      </c>
    </row>
    <row r="165">
      <c r="D165" s="0" t="s">
        <v>606</v>
      </c>
    </row>
    <row r="166">
      <c r="D166" s="0" t="s">
        <v>605</v>
      </c>
    </row>
    <row r="167">
      <c r="D167" s="0" t="s">
        <v>609</v>
      </c>
    </row>
    <row r="168">
      <c r="D168" s="0" t="s">
        <v>774</v>
      </c>
    </row>
    <row r="169">
      <c r="D169" s="0" t="s">
        <v>865</v>
      </c>
    </row>
    <row r="170">
      <c r="D170" s="0" t="s">
        <v>866</v>
      </c>
    </row>
    <row r="171">
      <c r="D171" s="0" t="s">
        <v>867</v>
      </c>
    </row>
    <row r="172">
      <c r="D172" s="0" t="s">
        <v>868</v>
      </c>
    </row>
    <row r="173">
      <c r="D173" s="0" t="s">
        <v>869</v>
      </c>
    </row>
    <row r="174">
      <c r="D174" s="0" t="s">
        <v>772</v>
      </c>
    </row>
    <row r="175">
      <c r="D175" s="0" t="s">
        <v>870</v>
      </c>
    </row>
    <row r="176">
      <c r="D176" s="0" t="s">
        <v>871</v>
      </c>
    </row>
    <row r="177">
      <c r="D177" s="0" t="s">
        <v>872</v>
      </c>
    </row>
    <row r="178">
      <c r="D178" s="0" t="s">
        <v>873</v>
      </c>
    </row>
    <row r="179">
      <c r="D179" s="0" t="s">
        <v>874</v>
      </c>
    </row>
    <row r="180">
      <c r="D180" s="0" t="s">
        <v>773</v>
      </c>
    </row>
    <row r="181">
      <c r="D181" s="0" t="s">
        <v>875</v>
      </c>
    </row>
    <row r="182">
      <c r="D182" s="0" t="s">
        <v>876</v>
      </c>
    </row>
    <row r="183">
      <c r="D183" s="0" t="s">
        <v>877</v>
      </c>
    </row>
    <row r="184">
      <c r="D184" s="0" t="s">
        <v>878</v>
      </c>
    </row>
    <row r="185">
      <c r="D185" s="0" t="s">
        <v>879</v>
      </c>
    </row>
    <row r="186">
      <c r="D186" s="0" t="s">
        <v>786</v>
      </c>
    </row>
    <row r="187">
      <c r="D187" s="0" t="s">
        <v>634</v>
      </c>
    </row>
    <row r="188">
      <c r="D188" s="0" t="s">
        <v>635</v>
      </c>
    </row>
    <row r="189">
      <c r="D189" s="0" t="s">
        <v>880</v>
      </c>
    </row>
    <row r="190">
      <c r="D190" s="0" t="s">
        <v>633</v>
      </c>
    </row>
    <row r="191">
      <c r="D191" s="0" t="s">
        <v>785</v>
      </c>
    </row>
    <row r="192">
      <c r="D192" s="0" t="s">
        <v>792</v>
      </c>
    </row>
    <row r="193">
      <c r="D193" s="0" t="s">
        <v>583</v>
      </c>
    </row>
    <row r="194">
      <c r="D194" s="0" t="s">
        <v>585</v>
      </c>
    </row>
    <row r="195">
      <c r="D195" s="0" t="s">
        <v>610</v>
      </c>
    </row>
    <row r="196">
      <c r="D196" s="0" t="s">
        <v>881</v>
      </c>
    </row>
    <row r="197">
      <c r="D197" s="0" t="s">
        <v>882</v>
      </c>
    </row>
    <row r="198">
      <c r="D198" s="0" t="s">
        <v>883</v>
      </c>
    </row>
    <row r="199">
      <c r="D199" s="0" t="s">
        <v>611</v>
      </c>
    </row>
    <row r="200">
      <c r="D200" s="0" t="s">
        <v>884</v>
      </c>
    </row>
    <row r="201">
      <c r="D201" s="0" t="s">
        <v>885</v>
      </c>
    </row>
    <row r="202">
      <c r="D202" s="0" t="s">
        <v>886</v>
      </c>
    </row>
    <row r="203">
      <c r="D203" s="0" t="s">
        <v>887</v>
      </c>
    </row>
    <row r="204">
      <c r="D204" s="0" t="s">
        <v>584</v>
      </c>
    </row>
    <row r="205">
      <c r="D205" s="0" t="s">
        <v>612</v>
      </c>
    </row>
    <row r="206">
      <c r="D206" s="0" t="s">
        <v>888</v>
      </c>
    </row>
    <row r="207">
      <c r="D207" s="0" t="s">
        <v>889</v>
      </c>
    </row>
    <row r="208">
      <c r="D208" s="0" t="s">
        <v>890</v>
      </c>
    </row>
    <row r="209">
      <c r="D209" s="0" t="s">
        <v>613</v>
      </c>
    </row>
    <row r="210">
      <c r="D210" s="0" t="s">
        <v>891</v>
      </c>
    </row>
    <row r="211">
      <c r="D211" s="0" t="s">
        <v>892</v>
      </c>
    </row>
    <row r="212">
      <c r="D212" s="0" t="s">
        <v>893</v>
      </c>
    </row>
    <row r="213">
      <c r="D213" s="0" t="s">
        <v>894</v>
      </c>
    </row>
    <row r="214">
      <c r="D214" s="0" t="s">
        <v>895</v>
      </c>
    </row>
    <row r="215">
      <c r="D215" s="0" t="s">
        <v>896</v>
      </c>
    </row>
    <row r="216">
      <c r="D216" s="0" t="s">
        <v>897</v>
      </c>
    </row>
    <row r="217">
      <c r="D217" s="0" t="s">
        <v>898</v>
      </c>
    </row>
    <row r="218">
      <c r="D218" s="0" t="s">
        <v>899</v>
      </c>
    </row>
    <row r="219">
      <c r="D219" s="0" t="s">
        <v>900</v>
      </c>
    </row>
    <row r="220">
      <c r="D220" s="0" t="s">
        <v>901</v>
      </c>
    </row>
    <row r="221">
      <c r="D221" s="0" t="s">
        <v>902</v>
      </c>
    </row>
    <row r="222">
      <c r="D222" s="0" t="s">
        <v>903</v>
      </c>
    </row>
  </sheetData>
  <autoFilter ref="A1:N1"/>
  <pageMargins left="0.7" right="0.7" top="0.75" bottom="0.75" header="0.3" footer="0.3"/>
  <pageSetup orientation="portrait"/>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customWidth="1" style="7"/>
    <col min="2" max="2" width="14.140625" customWidth="1" style="7"/>
    <col min="3" max="3" width="17.5703125" customWidth="1" style="7"/>
    <col min="4" max="4" width="20.28515625" customWidth="1" style="7"/>
    <col min="5" max="5" width="36" customWidth="1" style="7"/>
    <col min="6" max="6" width="13.5703125" customWidth="1" style="7"/>
    <col min="7" max="11" width="14" customWidth="1" style="12"/>
    <col min="12" max="12" width="12.85546875" customWidth="1" style="12"/>
    <col min="13" max="13" width="14" customWidth="1" style="12"/>
    <col min="14" max="16384" width="8.7109375" customWidth="1" style="7"/>
  </cols>
  <sheetData>
    <row r="1" s="8" customFormat="1">
      <c r="A1" s="11" t="s">
        <v>537</v>
      </c>
      <c r="B1" s="11" t="s">
        <v>0</v>
      </c>
      <c r="C1" s="11" t="s">
        <v>1</v>
      </c>
      <c r="D1" s="11" t="s">
        <v>522</v>
      </c>
      <c r="E1" s="11" t="s">
        <v>523</v>
      </c>
      <c r="F1" s="11" t="s">
        <v>541</v>
      </c>
      <c r="G1" s="11" t="s">
        <v>747</v>
      </c>
      <c r="H1" s="11" t="s">
        <v>748</v>
      </c>
      <c r="I1" s="11" t="s">
        <v>749</v>
      </c>
      <c r="J1" s="11" t="s">
        <v>750</v>
      </c>
      <c r="K1" s="11" t="s">
        <v>751</v>
      </c>
      <c r="L1" s="11" t="s">
        <v>577</v>
      </c>
      <c r="M1" s="11" t="s">
        <v>752</v>
      </c>
    </row>
    <row r="2">
      <c r="F2" s="7" t="s">
        <v>753</v>
      </c>
    </row>
    <row r="3">
      <c r="F3" s="7" t="s">
        <v>754</v>
      </c>
    </row>
    <row r="4">
      <c r="F4" s="7" t="s">
        <v>729</v>
      </c>
    </row>
    <row r="5">
      <c r="F5" s="7" t="s">
        <v>755</v>
      </c>
    </row>
    <row r="6">
      <c r="F6" s="7" t="s">
        <v>756</v>
      </c>
    </row>
  </sheetData>
  <autoFilter ref="A1:M1"/>
  <pageMargins left="0.7" right="0.7" top="0.75" bottom="0.75" header="0.3" footer="0.3"/>
  <pageSetup orientation="portrait" horizontalDpi="0" verticalDpi="0"/>
  <headerFooter/>
</worksheet>
</file>

<file path=xl/worksheets/sheet49.xml><?xml version="1.0" encoding="utf-8"?>
<worksheet xmlns:r="http://schemas.openxmlformats.org/officeDocument/2006/relationships" xmlns="http://schemas.openxmlformats.org/spreadsheetml/2006/main">
  <sheetPr codeName="Compaction History"/>
  <dimension ref="A1:K2"/>
  <sheetViews>
    <sheetView workbookViewId="0">
      <pane ySplit="1" topLeftCell="A2" state="frozen" activePane="bottomLeft"/>
      <selection pane="bottomLeft" activeCell="A1" sqref="A1"/>
    </sheetView>
  </sheetViews>
  <sheetFormatPr defaultRowHeight="15"/>
  <cols>
    <col min="1" max="1" width="14.1767406463623" customWidth="1"/>
    <col min="2" max="2" width="17.5784320831299" customWidth="1"/>
    <col min="3" max="3" width="11.9802188873291" customWidth="1"/>
    <col min="4" max="4" width="9.140625" customWidth="1"/>
    <col min="5" max="5" width="29.9196681976318" customWidth="1" style="97"/>
    <col min="6" max="6" width="20.6926441192627" customWidth="1" style="99"/>
    <col min="7" max="7" width="18.2505855560303" customWidth="1" style="95"/>
    <col min="8" max="8" width="19.2797908782959" customWidth="1" style="99"/>
    <col min="9" max="9" width="16.8377332687378" customWidth="1" style="95"/>
    <col min="10" max="10" width="28.278392791748" customWidth="1"/>
  </cols>
  <sheetData>
    <row r="1" s="94" customFormat="1">
      <c r="A1" s="98" t="s">
        <v>0</v>
      </c>
      <c r="B1" s="98" t="s">
        <v>1</v>
      </c>
      <c r="C1" s="98" t="s">
        <v>522</v>
      </c>
      <c r="D1" s="98" t="s">
        <v>523</v>
      </c>
      <c r="E1" s="98" t="s">
        <v>524</v>
      </c>
      <c r="F1" s="100" t="s">
        <v>525</v>
      </c>
      <c r="G1" s="96" t="s">
        <v>526</v>
      </c>
      <c r="H1" s="100" t="s">
        <v>527</v>
      </c>
      <c r="I1" s="96" t="s">
        <v>528</v>
      </c>
      <c r="J1" s="94" t="s">
        <v>529</v>
      </c>
      <c r="K1" s="94" t="s">
        <v>530</v>
      </c>
    </row>
    <row r="2">
      <c r="A2" s="0" t="s">
        <v>6</v>
      </c>
      <c r="B2" s="0" t="s">
        <v>7</v>
      </c>
      <c r="C2" s="0" t="s">
        <v>531</v>
      </c>
      <c r="D2" s="0" t="s">
        <v>532</v>
      </c>
      <c r="E2" s="97">
        <v>42600.5834884722</v>
      </c>
      <c r="F2" s="99">
        <v>84</v>
      </c>
      <c r="G2" s="95">
        <v>84</v>
      </c>
      <c r="H2" s="99">
        <v>84</v>
      </c>
      <c r="I2" s="95">
        <v>84</v>
      </c>
      <c r="J2" s="0" t="s">
        <v>533</v>
      </c>
      <c r="K2" s="0" t="s">
        <v>534</v>
      </c>
    </row>
  </sheetData>
  <autoFilter ref="A1:J1"/>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2016-11-21T13:38:44Z</dcterms:modified>
</cp:coreProperties>
</file>